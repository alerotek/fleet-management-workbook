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📖 README — HOW TO USE" sheetId="1" state="visible" r:id="rId1"/>
    <sheet xmlns:r="http://schemas.openxmlformats.org/officeDocument/2006/relationships" name="FLEET REGISTER" sheetId="2" state="visible" r:id="rId2"/>
    <sheet xmlns:r="http://schemas.openxmlformats.org/officeDocument/2006/relationships" name="RAW ODOMETER" sheetId="3" state="visible" r:id="rId3"/>
    <sheet xmlns:r="http://schemas.openxmlformats.org/officeDocument/2006/relationships" name="RAW FUEL DATA" sheetId="4" state="visible" r:id="rId4"/>
    <sheet xmlns:r="http://schemas.openxmlformats.org/officeDocument/2006/relationships" name="RAW TRIPS" sheetId="5" state="visible" r:id="rId5"/>
    <sheet xmlns:r="http://schemas.openxmlformats.org/officeDocument/2006/relationships" name="MONTHLY ANALYSIS" sheetId="6" state="visible" r:id="rId6"/>
    <sheet xmlns:r="http://schemas.openxmlformats.org/officeDocument/2006/relationships" name="SPEED FLAGS" sheetId="7" state="visible" r:id="rId7"/>
    <sheet xmlns:r="http://schemas.openxmlformats.org/officeDocument/2006/relationships" name="LATE HOURS FLAGS" sheetId="8" state="visible" r:id="rId8"/>
    <sheet xmlns:r="http://schemas.openxmlformats.org/officeDocument/2006/relationships" name="DISCIPLINE TRACKER" sheetId="9" state="visible" r:id="rId9"/>
    <sheet xmlns:r="http://schemas.openxmlformats.org/officeDocument/2006/relationships" name="KPI DASHBOARD" sheetId="10" state="visible" r:id="rId10"/>
  </sheets>
  <definedNames>
    <definedName name="_xlnm._FilterDatabase" localSheetId="1" hidden="1">'FLEET REGISTER'!$A$3:$J$59</definedName>
    <definedName name="_xlnm._FilterDatabase" localSheetId="2" hidden="1">'RAW ODOMETER'!$A$3:$M$3</definedName>
    <definedName name="_xlnm._FilterDatabase" localSheetId="3" hidden="1">'RAW FUEL DATA'!$A$3:$Q$3</definedName>
    <definedName name="_xlnm._FilterDatabase" localSheetId="4" hidden="1">'RAW TRIPS'!$A$3:$I$3</definedName>
    <definedName name="_xlnm._FilterDatabase" localSheetId="5" hidden="1">'MONTHLY ANALYSIS'!$A$3:$R$59</definedName>
    <definedName name="_xlnm._FilterDatabase" localSheetId="6" hidden="1">'SPEED FLAGS'!$A$3:$L$3</definedName>
    <definedName name="_xlnm._FilterDatabase" localSheetId="7" hidden="1">'LATE HOURS FLAGS'!$A$3:$L$3</definedName>
    <definedName name="_xlnm._FilterDatabase" localSheetId="8" hidden="1">'DISCIPLINE TRACKER'!$A$3:$M$3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yyyy\-mm\-dd\ h:mm:ss"/>
    <numFmt numFmtId="165" formatCode="dd\-mm\-yyyy\ hh:mm:ss"/>
    <numFmt numFmtId="166" formatCode="0.0"/>
    <numFmt numFmtId="167" formatCode="dd\-mm\-yyyy"/>
    <numFmt numFmtId="168" formatCode="#,##0.0"/>
    <numFmt numFmtId="169" formatCode="0.0%"/>
  </numFmts>
  <fonts count="3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5"/>
    </font>
    <font>
      <name val="Calibri"/>
      <charset val="1"/>
      <family val="0"/>
      <i val="1"/>
      <color rgb="FF1B3A5C"/>
      <sz val="9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2C3E50"/>
      <sz val="9"/>
    </font>
    <font>
      <name val="Calibri"/>
      <charset val="1"/>
      <family val="0"/>
      <b val="1"/>
      <color rgb="FF1B3A5C"/>
      <sz val="9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color rgb="FF1E844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626567"/>
      <sz val="9"/>
    </font>
    <font>
      <name val="Calibri"/>
      <charset val="1"/>
      <family val="0"/>
      <b val="1"/>
      <color rgb="FF7B241C"/>
      <sz val="9"/>
    </font>
    <font>
      <name val="Calibri"/>
      <charset val="1"/>
      <family val="0"/>
      <color rgb="FF1B2631"/>
      <sz val="9"/>
    </font>
    <font>
      <name val="Calibri"/>
      <charset val="1"/>
      <family val="0"/>
      <b val="1"/>
      <color rgb="FF2C3E50"/>
      <sz val="9"/>
    </font>
    <font>
      <name val="Calibri"/>
      <charset val="1"/>
      <family val="0"/>
      <b val="1"/>
      <color rgb="FF922B21"/>
      <sz val="9"/>
    </font>
    <font>
      <name val="Calibri"/>
      <charset val="1"/>
      <family val="0"/>
      <b val="1"/>
      <color rgb="FF784212"/>
      <sz val="9"/>
    </font>
    <font>
      <name val="Calibri"/>
      <charset val="1"/>
      <family val="0"/>
      <b val="1"/>
      <color rgb="FF1E8449"/>
      <sz val="9"/>
    </font>
    <font>
      <name val="Calibri"/>
      <charset val="1"/>
      <family val="0"/>
      <b val="1"/>
      <color rgb="FF7D6608"/>
      <sz val="9"/>
    </font>
    <font>
      <name val="Calibri"/>
      <charset val="1"/>
      <family val="0"/>
      <color rgb="FF1A5276"/>
      <sz val="9"/>
    </font>
    <font>
      <name val="Calibri"/>
      <charset val="1"/>
      <family val="0"/>
      <i val="1"/>
      <color rgb="FFFFFFFF"/>
      <sz val="8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i val="1"/>
      <color rgb="FF1B3A5C"/>
      <sz val="8"/>
    </font>
    <font>
      <name val="Calibri"/>
      <charset val="1"/>
      <family val="0"/>
      <color rgb="FF000000"/>
      <sz val="9"/>
    </font>
    <font>
      <name val="Calibri"/>
      <charset val="1"/>
      <family val="0"/>
      <color rgb="FF7F8C8D"/>
      <sz val="9"/>
    </font>
    <font>
      <name val="Calibri"/>
      <charset val="1"/>
      <family val="0"/>
      <b val="1"/>
      <color rgb="FFC0392B"/>
      <sz val="9"/>
    </font>
    <font>
      <name val="Calibri"/>
      <charset val="1"/>
      <family val="0"/>
      <b val="1"/>
      <color rgb="FF1A5276"/>
      <sz val="9"/>
    </font>
    <font>
      <name val="Calibri"/>
      <charset val="1"/>
      <family val="0"/>
      <sz val="9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1B3A5C"/>
      <sz val="16"/>
    </font>
    <font>
      <name val="Calibri"/>
      <charset val="1"/>
      <family val="0"/>
      <b val="1"/>
      <color rgb="FF1E8449"/>
      <sz val="16"/>
    </font>
    <font>
      <name val="Calibri"/>
      <charset val="1"/>
      <family val="0"/>
      <b val="1"/>
      <color rgb="FFC0392B"/>
      <sz val="16"/>
    </font>
    <font>
      <name val="Calibri"/>
      <charset val="1"/>
      <family val="0"/>
      <b val="1"/>
      <color rgb="FF784212"/>
      <sz val="16"/>
    </font>
    <font>
      <name val="Calibri"/>
      <charset val="1"/>
      <family val="0"/>
      <b val="1"/>
      <color rgb="FF6E2C00"/>
      <sz val="16"/>
    </font>
    <font>
      <name val="Calibri"/>
      <charset val="1"/>
      <family val="0"/>
      <b val="1"/>
      <color rgb="FF9A7D0A"/>
      <sz val="16"/>
    </font>
    <font>
      <name val="Calibri"/>
      <charset val="1"/>
      <family val="0"/>
      <i val="1"/>
      <color rgb="FF7F8C8D"/>
      <sz val="8"/>
    </font>
  </fonts>
  <fills count="28">
    <fill>
      <patternFill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FEF9E7"/>
        <bgColor rgb="FFF8F9FA"/>
      </patternFill>
    </fill>
    <fill>
      <patternFill patternType="solid">
        <fgColor rgb="FFF8F9FA"/>
        <bgColor rgb="FFF7F9FC"/>
      </patternFill>
    </fill>
    <fill>
      <patternFill patternType="solid">
        <fgColor rgb="FFEBF5FB"/>
        <bgColor rgb="FFF2F3F4"/>
      </patternFill>
    </fill>
    <fill>
      <patternFill patternType="solid">
        <fgColor rgb="FF2779AE"/>
        <bgColor rgb="FF2E86AB"/>
      </patternFill>
    </fill>
    <fill>
      <patternFill patternType="solid">
        <fgColor rgb="FFF0B429"/>
        <bgColor rgb="FFF4D03F"/>
      </patternFill>
    </fill>
    <fill>
      <patternFill patternType="solid">
        <fgColor rgb="FFEBF9EE"/>
        <bgColor rgb="FFEBF5FB"/>
      </patternFill>
    </fill>
    <fill>
      <patternFill patternType="solid">
        <fgColor rgb="FF2E86AB"/>
        <bgColor rgb="FF2779AE"/>
      </patternFill>
    </fill>
    <fill>
      <patternFill patternType="solid">
        <fgColor rgb="FF5DADE2"/>
        <bgColor rgb="FF9999FF"/>
      </patternFill>
    </fill>
    <fill>
      <patternFill patternType="solid">
        <fgColor rgb="FF1E8449"/>
        <bgColor rgb="FF008000"/>
      </patternFill>
    </fill>
    <fill>
      <patternFill patternType="solid">
        <fgColor rgb="FFC0392B"/>
        <bgColor rgb="FF922B21"/>
      </patternFill>
    </fill>
    <fill>
      <patternFill patternType="solid">
        <fgColor rgb="FFE67E22"/>
        <bgColor rgb="FFFF8080"/>
      </patternFill>
    </fill>
    <fill>
      <patternFill patternType="solid">
        <fgColor rgb="FF6E2C00"/>
        <bgColor rgb="FF7B241C"/>
      </patternFill>
    </fill>
    <fill>
      <patternFill patternType="solid">
        <fgColor rgb="FF6C3483"/>
        <bgColor rgb="FF7B241C"/>
      </patternFill>
    </fill>
    <fill>
      <patternFill patternType="solid">
        <fgColor rgb="FFF2F3F4"/>
        <bgColor rgb="FFEBF5FB"/>
      </patternFill>
    </fill>
    <fill>
      <patternFill patternType="solid">
        <fgColor rgb="FF922B21"/>
        <bgColor rgb="FF7B241C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FF9C4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8F9FA"/>
      </patternFill>
    </fill>
    <fill>
      <patternFill patternType="solid">
        <fgColor rgb="FFFFF9C4"/>
        <bgColor rgb="FFFDEBD0"/>
      </patternFill>
    </fill>
    <fill>
      <patternFill patternType="solid">
        <fgColor rgb="FFF4D03F"/>
        <bgColor rgb="FFF0B429"/>
      </patternFill>
    </fill>
    <fill>
      <patternFill patternType="solid">
        <fgColor rgb="FFD6EAF8"/>
        <bgColor rgb="FFD5F5E3"/>
      </patternFill>
    </fill>
    <fill>
      <patternFill patternType="solid">
        <fgColor rgb="FFF7F9FC"/>
        <bgColor rgb="FFF8F9FA"/>
      </patternFill>
    </fill>
    <fill>
      <patternFill patternType="solid">
        <fgColor rgb="FF784212"/>
        <bgColor rgb="FF6E2C00"/>
      </patternFill>
    </fill>
    <fill>
      <patternFill patternType="solid">
        <fgColor rgb="FF9A7D0A"/>
        <bgColor rgb="FF7D6608"/>
      </patternFill>
    </fill>
  </fills>
  <borders count="1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C9CA"/>
      </left>
      <right/>
      <top style="thin">
        <color rgb="FFBFC9CA"/>
      </top>
      <bottom style="thin">
        <color rgb="FFBFC9CA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D5D8DC"/>
      </top>
      <bottom/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/>
      <top style="thin">
        <color rgb="FFBFC9CA"/>
      </top>
      <bottom/>
      <diagonal/>
    </border>
    <border>
      <left/>
      <right/>
      <top style="thin">
        <color rgb="FFBFC9CA"/>
      </top>
      <bottom style="thin">
        <color rgb="FFBFC9C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general" vertical="center" wrapText="1"/>
    </xf>
    <xf numFmtId="0" fontId="9" fillId="5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general" vertical="center" wrapText="1"/>
    </xf>
    <xf numFmtId="0" fontId="11" fillId="8" borderId="2" applyAlignment="1" pivotButton="0" quotePrefix="0" xfId="0">
      <alignment horizontal="general" vertical="center" wrapText="1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general" vertical="center" wrapText="1"/>
    </xf>
    <xf numFmtId="0" fontId="13" fillId="16" borderId="0" applyAlignment="1" pivotButton="0" quotePrefix="0" xfId="0">
      <alignment horizontal="general" vertical="center" wrapText="1"/>
    </xf>
    <xf numFmtId="0" fontId="7" fillId="17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general" vertical="center" wrapText="1"/>
    </xf>
    <xf numFmtId="0" fontId="16" fillId="16" borderId="0" applyAlignment="1" pivotButton="0" quotePrefix="0" xfId="0">
      <alignment horizontal="left" vertical="center"/>
    </xf>
    <xf numFmtId="0" fontId="17" fillId="18" borderId="2" applyAlignment="1" pivotButton="0" quotePrefix="0" xfId="0">
      <alignment horizontal="general" vertical="center"/>
    </xf>
    <xf numFmtId="0" fontId="8" fillId="4" borderId="2" applyAlignment="1" pivotButton="0" quotePrefix="0" xfId="0">
      <alignment horizontal="general" vertical="center"/>
    </xf>
    <xf numFmtId="0" fontId="18" fillId="19" borderId="2" applyAlignment="1" pivotButton="0" quotePrefix="0" xfId="0">
      <alignment horizontal="general" vertical="center"/>
    </xf>
    <xf numFmtId="0" fontId="19" fillId="20" borderId="2" applyAlignment="1" pivotButton="0" quotePrefix="0" xfId="0">
      <alignment horizontal="general" vertical="center"/>
    </xf>
    <xf numFmtId="0" fontId="16" fillId="21" borderId="2" applyAlignment="1" pivotButton="0" quotePrefix="0" xfId="0">
      <alignment horizontal="general" vertical="center"/>
    </xf>
    <xf numFmtId="0" fontId="10" fillId="6" borderId="0" applyAlignment="1" pivotButton="0" quotePrefix="0" xfId="0">
      <alignment horizontal="general" vertical="center"/>
    </xf>
    <xf numFmtId="0" fontId="20" fillId="22" borderId="2" applyAlignment="1" pivotButton="0" quotePrefix="0" xfId="0">
      <alignment horizontal="general" vertical="center"/>
    </xf>
    <xf numFmtId="0" fontId="18" fillId="23" borderId="2" applyAlignment="1" pivotButton="0" quotePrefix="0" xfId="0">
      <alignment horizontal="general" vertical="center"/>
    </xf>
    <xf numFmtId="0" fontId="21" fillId="24" borderId="0" applyAlignment="1" pivotButton="0" quotePrefix="0" xfId="0">
      <alignment horizontal="general" vertical="center" wrapText="1"/>
    </xf>
    <xf numFmtId="0" fontId="2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25" fillId="25" borderId="3" applyAlignment="1" pivotButton="0" quotePrefix="0" xfId="0">
      <alignment horizontal="center" vertical="center"/>
    </xf>
    <xf numFmtId="0" fontId="9" fillId="25" borderId="3" applyAlignment="1" pivotButton="0" quotePrefix="0" xfId="0">
      <alignment horizontal="center" vertical="center"/>
    </xf>
    <xf numFmtId="0" fontId="25" fillId="25" borderId="3" applyAlignment="1" pivotButton="0" quotePrefix="0" xfId="0">
      <alignment horizontal="left" vertical="center"/>
    </xf>
    <xf numFmtId="0" fontId="25" fillId="21" borderId="3" applyAlignment="1" pivotButton="0" quotePrefix="0" xfId="0">
      <alignment horizontal="center" vertical="center"/>
    </xf>
    <xf numFmtId="0" fontId="9" fillId="21" borderId="3" applyAlignment="1" pivotButton="0" quotePrefix="0" xfId="0">
      <alignment horizontal="center" vertical="center"/>
    </xf>
    <xf numFmtId="0" fontId="25" fillId="21" borderId="3" applyAlignment="1" pivotButton="0" quotePrefix="0" xfId="0">
      <alignment horizontal="left" vertical="center"/>
    </xf>
    <xf numFmtId="0" fontId="10" fillId="6" borderId="3" applyAlignment="1" pivotButton="0" quotePrefix="0" xfId="0">
      <alignment horizontal="center" vertical="center" wrapText="1"/>
    </xf>
    <xf numFmtId="0" fontId="25" fillId="8" borderId="3" applyAlignment="1" pivotButton="0" quotePrefix="0" xfId="0">
      <alignment horizontal="center" vertical="center"/>
    </xf>
    <xf numFmtId="0" fontId="25" fillId="5" borderId="3" applyAlignment="1" pivotButton="0" quotePrefix="0" xfId="0">
      <alignment horizontal="left" vertical="center"/>
    </xf>
    <xf numFmtId="0" fontId="25" fillId="5" borderId="3" applyAlignment="1" pivotButton="0" quotePrefix="0" xfId="0">
      <alignment horizontal="center" vertical="center"/>
    </xf>
    <xf numFmtId="0" fontId="25" fillId="5" borderId="3" applyAlignment="1" pivotButton="0" quotePrefix="0" xfId="0">
      <alignment horizontal="right" vertical="center"/>
    </xf>
    <xf numFmtId="4" fontId="25" fillId="5" borderId="3" applyAlignment="1" pivotButton="0" quotePrefix="0" xfId="0">
      <alignment horizontal="right" vertical="center"/>
    </xf>
    <xf numFmtId="0" fontId="26" fillId="8" borderId="3" applyAlignment="1" pivotButton="0" quotePrefix="0" xfId="0">
      <alignment horizontal="center" vertical="center"/>
    </xf>
    <xf numFmtId="0" fontId="25" fillId="25" borderId="3" applyAlignment="1" pivotButton="0" quotePrefix="0" xfId="0">
      <alignment horizontal="right" vertical="center"/>
    </xf>
    <xf numFmtId="164" fontId="25" fillId="5" borderId="3" applyAlignment="1" pivotButton="0" quotePrefix="0" xfId="0">
      <alignment horizontal="left" vertical="center"/>
    </xf>
    <xf numFmtId="164" fontId="25" fillId="25" borderId="3" applyAlignment="1" pivotButton="0" quotePrefix="0" xfId="0">
      <alignment horizontal="left" vertical="center"/>
    </xf>
    <xf numFmtId="0" fontId="9" fillId="5" borderId="3" applyAlignment="1" pivotButton="0" quotePrefix="0" xfId="0">
      <alignment horizontal="center" vertical="center"/>
    </xf>
    <xf numFmtId="165" fontId="25" fillId="5" borderId="3" applyAlignment="1" pivotButton="0" quotePrefix="0" xfId="0">
      <alignment horizontal="center" vertical="center"/>
    </xf>
    <xf numFmtId="166" fontId="25" fillId="5" borderId="3" applyAlignment="1" pivotButton="0" quotePrefix="0" xfId="0">
      <alignment horizontal="right" vertical="center"/>
    </xf>
    <xf numFmtId="1" fontId="25" fillId="5" borderId="3" applyAlignment="1" pivotButton="0" quotePrefix="0" xfId="0">
      <alignment horizontal="right" vertical="center"/>
    </xf>
    <xf numFmtId="167" fontId="25" fillId="8" borderId="3" applyAlignment="1" pivotButton="0" quotePrefix="0" xfId="0">
      <alignment horizontal="center" vertical="center"/>
    </xf>
    <xf numFmtId="0" fontId="24" fillId="8" borderId="0" applyAlignment="1" pivotButton="0" quotePrefix="0" xfId="0">
      <alignment horizontal="center" vertical="center"/>
    </xf>
    <xf numFmtId="0" fontId="10" fillId="12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4" fontId="25" fillId="8" borderId="3" applyAlignment="1" pivotButton="0" quotePrefix="0" xfId="0">
      <alignment horizontal="center" vertical="center"/>
    </xf>
    <xf numFmtId="168" fontId="25" fillId="8" borderId="3" applyAlignment="1" pivotButton="0" quotePrefix="0" xfId="0">
      <alignment horizontal="center" vertical="center"/>
    </xf>
    <xf numFmtId="1" fontId="25" fillId="8" borderId="3" applyAlignment="1" pivotButton="0" quotePrefix="0" xfId="0">
      <alignment horizontal="center" vertical="center"/>
    </xf>
    <xf numFmtId="0" fontId="27" fillId="21" borderId="3" applyAlignment="1" pivotButton="0" quotePrefix="0" xfId="0">
      <alignment horizontal="center" vertical="center"/>
    </xf>
    <xf numFmtId="0" fontId="20" fillId="21" borderId="3" applyAlignment="1" pivotButton="0" quotePrefix="0" xfId="0">
      <alignment horizontal="center" vertical="center"/>
    </xf>
    <xf numFmtId="0" fontId="28" fillId="21" borderId="3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10" fillId="14" borderId="3" applyAlignment="1" pivotButton="0" quotePrefix="0" xfId="0">
      <alignment horizontal="center" vertical="center" wrapText="1"/>
    </xf>
    <xf numFmtId="0" fontId="10" fillId="26" borderId="3" applyAlignment="1" pivotButton="0" quotePrefix="0" xfId="0">
      <alignment horizontal="center" vertical="center" wrapText="1"/>
    </xf>
    <xf numFmtId="0" fontId="25" fillId="19" borderId="3" applyAlignment="1" pivotButton="0" quotePrefix="0" xfId="0">
      <alignment horizontal="center" vertical="center"/>
    </xf>
    <xf numFmtId="165" fontId="25" fillId="19" borderId="3" applyAlignment="1" pivotButton="0" quotePrefix="0" xfId="0">
      <alignment horizontal="center" vertical="center"/>
    </xf>
    <xf numFmtId="0" fontId="27" fillId="18" borderId="3" applyAlignment="1" pivotButton="0" quotePrefix="0" xfId="0">
      <alignment horizontal="center" vertical="center"/>
    </xf>
    <xf numFmtId="0" fontId="29" fillId="21" borderId="3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24" fillId="19" borderId="0" applyAlignment="1" pivotButton="0" quotePrefix="0" xfId="0">
      <alignment horizontal="center" vertical="center"/>
    </xf>
    <xf numFmtId="0" fontId="9" fillId="19" borderId="3" applyAlignment="1" pivotButton="0" quotePrefix="0" xfId="0">
      <alignment horizontal="center" vertical="center"/>
    </xf>
    <xf numFmtId="1" fontId="25" fillId="19" borderId="3" applyAlignment="1" pivotButton="0" quotePrefix="0" xfId="0">
      <alignment horizontal="right" vertical="center"/>
    </xf>
    <xf numFmtId="1" fontId="25" fillId="18" borderId="3" applyAlignment="1" pivotButton="0" quotePrefix="0" xfId="0">
      <alignment horizontal="right" vertical="center"/>
    </xf>
    <xf numFmtId="0" fontId="27" fillId="19" borderId="3" applyAlignment="1" pivotButton="0" quotePrefix="0" xfId="0">
      <alignment horizontal="center" vertical="center"/>
    </xf>
    <xf numFmtId="0" fontId="26" fillId="19" borderId="3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general" vertical="center"/>
    </xf>
    <xf numFmtId="0" fontId="10" fillId="2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3" fontId="31" fillId="21" borderId="4" applyAlignment="1" pivotButton="0" quotePrefix="0" xfId="0">
      <alignment horizontal="center" vertical="center"/>
    </xf>
    <xf numFmtId="168" fontId="31" fillId="21" borderId="4" applyAlignment="1" pivotButton="0" quotePrefix="0" xfId="0">
      <alignment horizontal="center" vertical="center"/>
    </xf>
    <xf numFmtId="4" fontId="31" fillId="21" borderId="4" applyAlignment="1" pivotButton="0" quotePrefix="0" xfId="0">
      <alignment horizontal="center" vertical="center"/>
    </xf>
    <xf numFmtId="0" fontId="12" fillId="11" borderId="0" applyAlignment="1" pivotButton="0" quotePrefix="0" xfId="0">
      <alignment horizontal="general" vertical="center"/>
    </xf>
    <xf numFmtId="0" fontId="10" fillId="11" borderId="4" applyAlignment="1" pivotButton="0" quotePrefix="0" xfId="0">
      <alignment horizontal="center" vertical="center"/>
    </xf>
    <xf numFmtId="0" fontId="10" fillId="12" borderId="4" applyAlignment="1" pivotButton="0" quotePrefix="0" xfId="0">
      <alignment horizontal="center" vertical="center"/>
    </xf>
    <xf numFmtId="0" fontId="10" fillId="26" borderId="4" applyAlignment="1" pivotButton="0" quotePrefix="0" xfId="0">
      <alignment horizontal="center" vertical="center"/>
    </xf>
    <xf numFmtId="0" fontId="10" fillId="14" borderId="4" applyAlignment="1" pivotButton="0" quotePrefix="0" xfId="0">
      <alignment horizontal="center" vertical="center"/>
    </xf>
    <xf numFmtId="0" fontId="32" fillId="20" borderId="4" applyAlignment="1" pivotButton="0" quotePrefix="0" xfId="0">
      <alignment horizontal="center" vertical="center"/>
    </xf>
    <xf numFmtId="0" fontId="33" fillId="18" borderId="4" applyAlignment="1" pivotButton="0" quotePrefix="0" xfId="0">
      <alignment horizontal="center" vertical="center"/>
    </xf>
    <xf numFmtId="169" fontId="32" fillId="20" borderId="4" applyAlignment="1" pivotButton="0" quotePrefix="0" xfId="0">
      <alignment horizontal="center" vertical="center"/>
    </xf>
    <xf numFmtId="0" fontId="34" fillId="19" borderId="4" applyAlignment="1" pivotButton="0" quotePrefix="0" xfId="0">
      <alignment horizontal="center" vertical="center"/>
    </xf>
    <xf numFmtId="0" fontId="35" fillId="18" borderId="4" applyAlignment="1" pivotButton="0" quotePrefix="0" xfId="0">
      <alignment horizontal="center" vertical="center"/>
    </xf>
    <xf numFmtId="0" fontId="12" fillId="14" borderId="0" applyAlignment="1" pivotButton="0" quotePrefix="0" xfId="0">
      <alignment horizontal="general" vertical="center"/>
    </xf>
    <xf numFmtId="0" fontId="10" fillId="27" borderId="4" applyAlignment="1" pivotButton="0" quotePrefix="0" xfId="0">
      <alignment horizontal="center" vertical="center"/>
    </xf>
    <xf numFmtId="0" fontId="36" fillId="19" borderId="4" applyAlignment="1" pivotButton="0" quotePrefix="0" xfId="0">
      <alignment horizontal="center" vertical="center"/>
    </xf>
    <xf numFmtId="0" fontId="12" fillId="2" borderId="0" applyAlignment="1" pivotButton="0" quotePrefix="0" xfId="0">
      <alignment horizontal="general" vertical="center"/>
    </xf>
    <xf numFmtId="0" fontId="9" fillId="25" borderId="3" applyAlignment="1" pivotButton="0" quotePrefix="0" xfId="0">
      <alignment horizontal="left" vertical="center"/>
    </xf>
    <xf numFmtId="3" fontId="25" fillId="25" borderId="3" applyAlignment="1" pivotButton="0" quotePrefix="0" xfId="0">
      <alignment horizontal="right" vertical="center"/>
    </xf>
    <xf numFmtId="168" fontId="25" fillId="25" borderId="3" applyAlignment="1" pivotButton="0" quotePrefix="0" xfId="0">
      <alignment horizontal="right" vertical="center"/>
    </xf>
    <xf numFmtId="9" fontId="25" fillId="25" borderId="3" applyAlignment="1" pivotButton="0" quotePrefix="0" xfId="0">
      <alignment horizontal="center" vertical="center"/>
    </xf>
    <xf numFmtId="0" fontId="25" fillId="18" borderId="3" applyAlignment="1" pivotButton="0" quotePrefix="0" xfId="0">
      <alignment horizontal="center" vertical="center"/>
    </xf>
    <xf numFmtId="0" fontId="25" fillId="19" borderId="3" applyAlignment="1" pivotButton="0" quotePrefix="0" xfId="0">
      <alignment horizontal="center" vertical="center"/>
    </xf>
    <xf numFmtId="0" fontId="9" fillId="21" borderId="3" applyAlignment="1" pivotButton="0" quotePrefix="0" xfId="0">
      <alignment horizontal="left" vertical="center"/>
    </xf>
    <xf numFmtId="3" fontId="25" fillId="21" borderId="3" applyAlignment="1" pivotButton="0" quotePrefix="0" xfId="0">
      <alignment horizontal="right" vertical="center"/>
    </xf>
    <xf numFmtId="168" fontId="25" fillId="21" borderId="3" applyAlignment="1" pivotButton="0" quotePrefix="0" xfId="0">
      <alignment horizontal="right" vertical="center"/>
    </xf>
    <xf numFmtId="9" fontId="25" fillId="21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9" fontId="10" fillId="2" borderId="3" applyAlignment="1" pivotButton="0" quotePrefix="0" xfId="0">
      <alignment horizontal="center" vertical="center"/>
    </xf>
    <xf numFmtId="0" fontId="37" fillId="1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general" vertical="center" wrapText="1"/>
    </xf>
    <xf numFmtId="0" fontId="9" fillId="5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0" fillId="0" borderId="6" pivotButton="0" quotePrefix="0" xfId="0"/>
    <xf numFmtId="0" fontId="10" fillId="7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general" vertical="center" wrapText="1"/>
    </xf>
    <xf numFmtId="0" fontId="0" fillId="0" borderId="8" pivotButton="0" quotePrefix="0" xfId="0"/>
    <xf numFmtId="0" fontId="11" fillId="8" borderId="2" applyAlignment="1" pivotButton="0" quotePrefix="0" xfId="0">
      <alignment horizontal="general" vertical="center" wrapText="1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general" vertical="center" wrapText="1"/>
    </xf>
    <xf numFmtId="0" fontId="13" fillId="16" borderId="0" applyAlignment="1" pivotButton="0" quotePrefix="0" xfId="0">
      <alignment horizontal="general" vertical="center" wrapText="1"/>
    </xf>
    <xf numFmtId="0" fontId="7" fillId="17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general" vertical="center" wrapText="1"/>
    </xf>
    <xf numFmtId="0" fontId="16" fillId="16" borderId="0" applyAlignment="1" pivotButton="0" quotePrefix="0" xfId="0">
      <alignment horizontal="left" vertical="center"/>
    </xf>
    <xf numFmtId="0" fontId="17" fillId="18" borderId="2" applyAlignment="1" pivotButton="0" quotePrefix="0" xfId="0">
      <alignment horizontal="general" vertical="center"/>
    </xf>
    <xf numFmtId="0" fontId="8" fillId="4" borderId="2" applyAlignment="1" pivotButton="0" quotePrefix="0" xfId="0">
      <alignment horizontal="general" vertical="center"/>
    </xf>
    <xf numFmtId="0" fontId="18" fillId="19" borderId="2" applyAlignment="1" pivotButton="0" quotePrefix="0" xfId="0">
      <alignment horizontal="general" vertical="center"/>
    </xf>
    <xf numFmtId="0" fontId="19" fillId="20" borderId="2" applyAlignment="1" pivotButton="0" quotePrefix="0" xfId="0">
      <alignment horizontal="general" vertical="center"/>
    </xf>
    <xf numFmtId="0" fontId="16" fillId="21" borderId="2" applyAlignment="1" pivotButton="0" quotePrefix="0" xfId="0">
      <alignment horizontal="general" vertical="center"/>
    </xf>
    <xf numFmtId="0" fontId="20" fillId="22" borderId="2" applyAlignment="1" pivotButton="0" quotePrefix="0" xfId="0">
      <alignment horizontal="general" vertical="center"/>
    </xf>
    <xf numFmtId="0" fontId="18" fillId="23" borderId="2" applyAlignment="1" pivotButton="0" quotePrefix="0" xfId="0">
      <alignment horizontal="general" vertical="center"/>
    </xf>
    <xf numFmtId="0" fontId="21" fillId="24" borderId="0" applyAlignment="1" pivotButton="0" quotePrefix="0" xfId="0">
      <alignment horizontal="general" vertical="center" wrapText="1"/>
    </xf>
    <xf numFmtId="0" fontId="22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25" fillId="25" borderId="3" applyAlignment="1" pivotButton="0" quotePrefix="0" xfId="0">
      <alignment horizontal="center" vertical="center"/>
    </xf>
    <xf numFmtId="0" fontId="9" fillId="25" borderId="3" applyAlignment="1" pivotButton="0" quotePrefix="0" xfId="0">
      <alignment horizontal="center" vertical="center"/>
    </xf>
    <xf numFmtId="0" fontId="25" fillId="25" borderId="3" applyAlignment="1" pivotButton="0" quotePrefix="0" xfId="0">
      <alignment horizontal="left" vertical="center"/>
    </xf>
    <xf numFmtId="0" fontId="25" fillId="21" borderId="3" applyAlignment="1" pivotButton="0" quotePrefix="0" xfId="0">
      <alignment horizontal="center" vertical="center"/>
    </xf>
    <xf numFmtId="0" fontId="9" fillId="21" borderId="3" applyAlignment="1" pivotButton="0" quotePrefix="0" xfId="0">
      <alignment horizontal="center" vertical="center"/>
    </xf>
    <xf numFmtId="0" fontId="25" fillId="21" borderId="3" applyAlignment="1" pivotButton="0" quotePrefix="0" xfId="0">
      <alignment horizontal="left" vertical="center"/>
    </xf>
    <xf numFmtId="0" fontId="10" fillId="6" borderId="3" applyAlignment="1" pivotButton="0" quotePrefix="0" xfId="0">
      <alignment horizontal="center" vertical="center" wrapText="1"/>
    </xf>
    <xf numFmtId="0" fontId="25" fillId="8" borderId="3" applyAlignment="1" pivotButton="0" quotePrefix="0" xfId="0">
      <alignment horizontal="center" vertical="center"/>
    </xf>
    <xf numFmtId="0" fontId="25" fillId="5" borderId="3" applyAlignment="1" pivotButton="0" quotePrefix="0" xfId="0">
      <alignment horizontal="left" vertical="center"/>
    </xf>
    <xf numFmtId="0" fontId="25" fillId="5" borderId="3" applyAlignment="1" pivotButton="0" quotePrefix="0" xfId="0">
      <alignment horizontal="center" vertical="center"/>
    </xf>
    <xf numFmtId="0" fontId="25" fillId="5" borderId="3" applyAlignment="1" pivotButton="0" quotePrefix="0" xfId="0">
      <alignment horizontal="right" vertical="center"/>
    </xf>
    <xf numFmtId="4" fontId="25" fillId="5" borderId="3" applyAlignment="1" pivotButton="0" quotePrefix="0" xfId="0">
      <alignment horizontal="right" vertical="center"/>
    </xf>
    <xf numFmtId="0" fontId="26" fillId="8" borderId="3" applyAlignment="1" pivotButton="0" quotePrefix="0" xfId="0">
      <alignment horizontal="center" vertical="center"/>
    </xf>
    <xf numFmtId="0" fontId="25" fillId="25" borderId="3" applyAlignment="1" pivotButton="0" quotePrefix="0" xfId="0">
      <alignment horizontal="right" vertical="center"/>
    </xf>
    <xf numFmtId="164" fontId="25" fillId="5" borderId="3" applyAlignment="1" pivotButton="0" quotePrefix="0" xfId="0">
      <alignment horizontal="left" vertical="center"/>
    </xf>
    <xf numFmtId="164" fontId="25" fillId="25" borderId="3" applyAlignment="1" pivotButton="0" quotePrefix="0" xfId="0">
      <alignment horizontal="left" vertical="center"/>
    </xf>
    <xf numFmtId="0" fontId="9" fillId="5" borderId="3" applyAlignment="1" pivotButton="0" quotePrefix="0" xfId="0">
      <alignment horizontal="center" vertical="center"/>
    </xf>
    <xf numFmtId="165" fontId="25" fillId="5" borderId="3" applyAlignment="1" pivotButton="0" quotePrefix="0" xfId="0">
      <alignment horizontal="center" vertical="center"/>
    </xf>
    <xf numFmtId="166" fontId="25" fillId="5" borderId="3" applyAlignment="1" pivotButton="0" quotePrefix="0" xfId="0">
      <alignment horizontal="right" vertical="center"/>
    </xf>
    <xf numFmtId="1" fontId="25" fillId="5" borderId="3" applyAlignment="1" pivotButton="0" quotePrefix="0" xfId="0">
      <alignment horizontal="right" vertical="center"/>
    </xf>
    <xf numFmtId="167" fontId="25" fillId="8" borderId="3" applyAlignment="1" pivotButton="0" quotePrefix="0" xfId="0">
      <alignment horizontal="center" vertical="center"/>
    </xf>
    <xf numFmtId="0" fontId="24" fillId="8" borderId="0" applyAlignment="1" pivotButton="0" quotePrefix="0" xfId="0">
      <alignment horizontal="center" vertical="center"/>
    </xf>
    <xf numFmtId="0" fontId="10" fillId="12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4" fontId="25" fillId="8" borderId="3" applyAlignment="1" pivotButton="0" quotePrefix="0" xfId="0">
      <alignment horizontal="center" vertical="center"/>
    </xf>
    <xf numFmtId="168" fontId="25" fillId="8" borderId="3" applyAlignment="1" pivotButton="0" quotePrefix="0" xfId="0">
      <alignment horizontal="center" vertical="center"/>
    </xf>
    <xf numFmtId="1" fontId="25" fillId="8" borderId="3" applyAlignment="1" pivotButton="0" quotePrefix="0" xfId="0">
      <alignment horizontal="center" vertical="center"/>
    </xf>
    <xf numFmtId="0" fontId="27" fillId="21" borderId="3" applyAlignment="1" pivotButton="0" quotePrefix="0" xfId="0">
      <alignment horizontal="center" vertical="center"/>
    </xf>
    <xf numFmtId="0" fontId="20" fillId="21" borderId="3" applyAlignment="1" pivotButton="0" quotePrefix="0" xfId="0">
      <alignment horizontal="center" vertical="center"/>
    </xf>
    <xf numFmtId="0" fontId="28" fillId="21" borderId="3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10" fillId="14" borderId="3" applyAlignment="1" pivotButton="0" quotePrefix="0" xfId="0">
      <alignment horizontal="center" vertical="center" wrapText="1"/>
    </xf>
    <xf numFmtId="0" fontId="10" fillId="26" borderId="3" applyAlignment="1" pivotButton="0" quotePrefix="0" xfId="0">
      <alignment horizontal="center" vertical="center" wrapText="1"/>
    </xf>
    <xf numFmtId="0" fontId="25" fillId="19" borderId="3" applyAlignment="1" pivotButton="0" quotePrefix="0" xfId="0">
      <alignment horizontal="center" vertical="center"/>
    </xf>
    <xf numFmtId="165" fontId="25" fillId="19" borderId="3" applyAlignment="1" pivotButton="0" quotePrefix="0" xfId="0">
      <alignment horizontal="center" vertical="center"/>
    </xf>
    <xf numFmtId="0" fontId="27" fillId="18" borderId="3" applyAlignment="1" pivotButton="0" quotePrefix="0" xfId="0">
      <alignment horizontal="center" vertical="center"/>
    </xf>
    <xf numFmtId="0" fontId="29" fillId="21" borderId="3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24" fillId="19" borderId="0" applyAlignment="1" pivotButton="0" quotePrefix="0" xfId="0">
      <alignment horizontal="center" vertical="center"/>
    </xf>
    <xf numFmtId="0" fontId="9" fillId="19" borderId="3" applyAlignment="1" pivotButton="0" quotePrefix="0" xfId="0">
      <alignment horizontal="center" vertical="center"/>
    </xf>
    <xf numFmtId="1" fontId="25" fillId="19" borderId="3" applyAlignment="1" pivotButton="0" quotePrefix="0" xfId="0">
      <alignment horizontal="right" vertical="center"/>
    </xf>
    <xf numFmtId="1" fontId="25" fillId="18" borderId="3" applyAlignment="1" pivotButton="0" quotePrefix="0" xfId="0">
      <alignment horizontal="right" vertical="center"/>
    </xf>
    <xf numFmtId="0" fontId="27" fillId="19" borderId="3" applyAlignment="1" pivotButton="0" quotePrefix="0" xfId="0">
      <alignment horizontal="center" vertical="center"/>
    </xf>
    <xf numFmtId="0" fontId="26" fillId="19" borderId="3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general" vertical="center"/>
    </xf>
    <xf numFmtId="0" fontId="10" fillId="2" borderId="4" applyAlignment="1" pivotButton="0" quotePrefix="0" xfId="0">
      <alignment horizontal="center" vertical="center"/>
    </xf>
    <xf numFmtId="0" fontId="0" fillId="0" borderId="10" pivotButton="0" quotePrefix="0" xfId="0"/>
    <xf numFmtId="0" fontId="31" fillId="21" borderId="4" applyAlignment="1" pivotButton="0" quotePrefix="0" xfId="0">
      <alignment horizontal="center" vertical="center"/>
    </xf>
    <xf numFmtId="3" fontId="31" fillId="21" borderId="4" applyAlignment="1" pivotButton="0" quotePrefix="0" xfId="0">
      <alignment horizontal="center" vertical="center"/>
    </xf>
    <xf numFmtId="168" fontId="31" fillId="21" borderId="4" applyAlignment="1" pivotButton="0" quotePrefix="0" xfId="0">
      <alignment horizontal="center" vertical="center"/>
    </xf>
    <xf numFmtId="4" fontId="31" fillId="21" borderId="4" applyAlignment="1" pivotButton="0" quotePrefix="0" xfId="0">
      <alignment horizontal="center" vertical="center"/>
    </xf>
    <xf numFmtId="0" fontId="12" fillId="11" borderId="0" applyAlignment="1" pivotButton="0" quotePrefix="0" xfId="0">
      <alignment horizontal="general" vertical="center"/>
    </xf>
    <xf numFmtId="0" fontId="10" fillId="11" borderId="4" applyAlignment="1" pivotButton="0" quotePrefix="0" xfId="0">
      <alignment horizontal="center" vertical="center"/>
    </xf>
    <xf numFmtId="0" fontId="10" fillId="12" borderId="4" applyAlignment="1" pivotButton="0" quotePrefix="0" xfId="0">
      <alignment horizontal="center" vertical="center"/>
    </xf>
    <xf numFmtId="0" fontId="10" fillId="26" borderId="4" applyAlignment="1" pivotButton="0" quotePrefix="0" xfId="0">
      <alignment horizontal="center" vertical="center"/>
    </xf>
    <xf numFmtId="0" fontId="10" fillId="14" borderId="4" applyAlignment="1" pivotButton="0" quotePrefix="0" xfId="0">
      <alignment horizontal="center" vertical="center"/>
    </xf>
    <xf numFmtId="0" fontId="32" fillId="20" borderId="4" applyAlignment="1" pivotButton="0" quotePrefix="0" xfId="0">
      <alignment horizontal="center" vertical="center"/>
    </xf>
    <xf numFmtId="0" fontId="33" fillId="18" borderId="4" applyAlignment="1" pivotButton="0" quotePrefix="0" xfId="0">
      <alignment horizontal="center" vertical="center"/>
    </xf>
    <xf numFmtId="169" fontId="32" fillId="20" borderId="4" applyAlignment="1" pivotButton="0" quotePrefix="0" xfId="0">
      <alignment horizontal="center" vertical="center"/>
    </xf>
    <xf numFmtId="0" fontId="34" fillId="19" borderId="4" applyAlignment="1" pivotButton="0" quotePrefix="0" xfId="0">
      <alignment horizontal="center" vertical="center"/>
    </xf>
    <xf numFmtId="0" fontId="35" fillId="18" borderId="4" applyAlignment="1" pivotButton="0" quotePrefix="0" xfId="0">
      <alignment horizontal="center" vertical="center"/>
    </xf>
    <xf numFmtId="0" fontId="12" fillId="14" borderId="0" applyAlignment="1" pivotButton="0" quotePrefix="0" xfId="0">
      <alignment horizontal="general" vertical="center"/>
    </xf>
    <xf numFmtId="0" fontId="10" fillId="27" borderId="4" applyAlignment="1" pivotButton="0" quotePrefix="0" xfId="0">
      <alignment horizontal="center" vertical="center"/>
    </xf>
    <xf numFmtId="0" fontId="36" fillId="19" borderId="4" applyAlignment="1" pivotButton="0" quotePrefix="0" xfId="0">
      <alignment horizontal="center" vertical="center"/>
    </xf>
    <xf numFmtId="0" fontId="12" fillId="2" borderId="0" applyAlignment="1" pivotButton="0" quotePrefix="0" xfId="0">
      <alignment horizontal="general" vertical="center"/>
    </xf>
    <xf numFmtId="0" fontId="9" fillId="25" borderId="3" applyAlignment="1" pivotButton="0" quotePrefix="0" xfId="0">
      <alignment horizontal="left" vertical="center"/>
    </xf>
    <xf numFmtId="3" fontId="25" fillId="25" borderId="3" applyAlignment="1" pivotButton="0" quotePrefix="0" xfId="0">
      <alignment horizontal="right" vertical="center"/>
    </xf>
    <xf numFmtId="168" fontId="25" fillId="25" borderId="3" applyAlignment="1" pivotButton="0" quotePrefix="0" xfId="0">
      <alignment horizontal="right" vertical="center"/>
    </xf>
    <xf numFmtId="9" fontId="25" fillId="25" borderId="3" applyAlignment="1" pivotButton="0" quotePrefix="0" xfId="0">
      <alignment horizontal="center" vertical="center"/>
    </xf>
    <xf numFmtId="0" fontId="25" fillId="18" borderId="3" applyAlignment="1" pivotButton="0" quotePrefix="0" xfId="0">
      <alignment horizontal="center" vertical="center"/>
    </xf>
    <xf numFmtId="0" fontId="9" fillId="21" borderId="3" applyAlignment="1" pivotButton="0" quotePrefix="0" xfId="0">
      <alignment horizontal="left" vertical="center"/>
    </xf>
    <xf numFmtId="3" fontId="25" fillId="21" borderId="3" applyAlignment="1" pivotButton="0" quotePrefix="0" xfId="0">
      <alignment horizontal="right" vertical="center"/>
    </xf>
    <xf numFmtId="168" fontId="25" fillId="21" borderId="3" applyAlignment="1" pivotButton="0" quotePrefix="0" xfId="0">
      <alignment horizontal="right" vertical="center"/>
    </xf>
    <xf numFmtId="9" fontId="25" fillId="21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9" fontId="10" fillId="2" borderId="3" applyAlignment="1" pivotButton="0" quotePrefix="0" xfId="0">
      <alignment horizontal="center" vertical="center"/>
    </xf>
    <xf numFmtId="0" fontId="37" fillId="16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2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779AE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ont>
        <name val="Calibri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EBF9EE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>
          <bgColor rgb="FFFADBD8"/>
        </patternFill>
      </fill>
    </dxf>
    <dxf>
      <fill>
        <patternFill>
          <bgColor rgb="FFFDEBD0"/>
        </patternFill>
      </fill>
    </dxf>
    <dxf>
      <fill>
        <patternFill>
          <bgColor rgb="FFD5F5E3"/>
        </patternFill>
      </fill>
    </dxf>
    <dxf>
      <fill>
        <patternFill patternType="solid">
          <fgColor rgb="FF6E2C00"/>
          <bgColor rgb="FF000000"/>
        </patternFill>
      </fill>
    </dxf>
    <dxf>
      <fill>
        <patternFill patternType="solid">
          <fgColor rgb="FF784212"/>
          <bgColor rgb="FF000000"/>
        </patternFill>
      </fill>
    </dxf>
    <dxf>
      <font>
        <name val="Calibri"/>
        <charset val="1"/>
        <family val="0"/>
        <color rgb="FF7F8C8D"/>
        <sz val="9"/>
      </font>
      <fill>
        <patternFill>
          <bgColor rgb="FFF2F3F4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>
          <bgColor rgb="FFFFF9C4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922B2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7B241C"/>
      <rgbColor rgb="FF008000"/>
      <rgbColor rgb="FF000080"/>
      <rgbColor rgb="FF9A7D0A"/>
      <rgbColor rgb="FF800080"/>
      <rgbColor rgb="FF2779AE"/>
      <rgbColor rgb="FFBFC9CA"/>
      <rgbColor rgb="FF7F8C8D"/>
      <rgbColor rgb="FF9999FF"/>
      <rgbColor rgb="FF6C3483"/>
      <rgbColor rgb="FFFFF9C4"/>
      <rgbColor rgb="FFD6EAF8"/>
      <rgbColor rgb="FF784212"/>
      <rgbColor rgb="FFFF8080"/>
      <rgbColor rgb="FF0066CC"/>
      <rgbColor rgb="FFD5D8DC"/>
      <rgbColor rgb="FF000080"/>
      <rgbColor rgb="FFFF00FF"/>
      <rgbColor rgb="FFF8F9FA"/>
      <rgbColor rgb="FF00FFFF"/>
      <rgbColor rgb="FF800080"/>
      <rgbColor rgb="FF6E2C00"/>
      <rgbColor rgb="FF2E86AB"/>
      <rgbColor rgb="FF0000FF"/>
      <rgbColor rgb="FF00CCFF"/>
      <rgbColor rgb="FFEBF9EE"/>
      <rgbColor rgb="FFD5F5E3"/>
      <rgbColor rgb="FFFDEBD0"/>
      <rgbColor rgb="FFEBF5FB"/>
      <rgbColor rgb="FFF2F3F4"/>
      <rgbColor rgb="FFF7F9FC"/>
      <rgbColor rgb="FFFADBD8"/>
      <rgbColor rgb="FF3366FF"/>
      <rgbColor rgb="FF5DADE2"/>
      <rgbColor rgb="FF99CC00"/>
      <rgbColor rgb="FFF4D03F"/>
      <rgbColor rgb="FFF0B429"/>
      <rgbColor rgb="FFE67E22"/>
      <rgbColor rgb="FF626567"/>
      <rgbColor rgb="FF7D6608"/>
      <rgbColor rgb="FF1B3A5C"/>
      <rgbColor rgb="FF1E8449"/>
      <rgbColor rgb="FF003300"/>
      <rgbColor rgb="FF1B2631"/>
      <rgbColor rgb="FF922B21"/>
      <rgbColor rgb="FFC0392B"/>
      <rgbColor rgb="FF1A5276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9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21" min="1" max="1"/>
    <col width="16" customWidth="1" style="121" min="2" max="4"/>
    <col width="14" customWidth="1" style="121" min="5" max="7"/>
    <col width="16" customWidth="1" style="121" min="8" max="8"/>
    <col width="14" customWidth="1" style="121" min="9" max="14"/>
  </cols>
  <sheetData>
    <row r="1" ht="39.75" customHeight="1" s="122">
      <c r="A1" s="123" t="inlineStr">
        <is>
          <t>📖   FLEET MANAGEMENT WORKBOOK  —  USER GUIDE &amp; INSTRUCTIONS</t>
        </is>
      </c>
    </row>
    <row r="2" ht="18" customHeight="1" s="122">
      <c r="A2" s="124" t="inlineStr">
        <is>
          <t>Read this guide before using the workbook for the first time.  Share with anyone who will be updating data monthly.</t>
        </is>
      </c>
    </row>
    <row r="3" ht="6" customHeight="1" s="122">
      <c r="A3" s="125" t="n"/>
    </row>
    <row r="4" ht="25.5" customHeight="1" s="122">
      <c r="A4" s="126" t="inlineStr">
        <is>
          <t xml:space="preserve">  📊  WHAT THIS WORKBOOK DOES</t>
        </is>
      </c>
    </row>
    <row r="5" ht="36" customHeight="1" s="122">
      <c r="A5" s="127" t="inlineStr">
        <is>
          <t>This workbook automates the monthly fleet performance report for the [COMPANY] field fleet.  You paste three raw data exports each month — and the workbook handles the rest: it calculates KPIs, flags speed violations, flags late-night driving, and maintains a running discipline record across all vehicles and drivers.</t>
        </is>
      </c>
    </row>
    <row r="6" ht="6" customHeight="1" s="122">
      <c r="A6" s="125" t="n"/>
    </row>
    <row r="7" ht="19.5" customHeight="1" s="122">
      <c r="A7" s="128" t="inlineStr">
        <is>
          <t xml:space="preserve">   WORKBOOK TABS AT A GLANCE</t>
        </is>
      </c>
    </row>
    <row r="8" ht="19.5" customHeight="1" s="122">
      <c r="A8" s="129" t="inlineStr">
        <is>
          <t>TAB NAME</t>
        </is>
      </c>
      <c r="B8" s="130" t="n"/>
      <c r="C8" s="130" t="n"/>
      <c r="D8" s="129" t="inlineStr">
        <is>
          <t>PURPOSE</t>
        </is>
      </c>
      <c r="E8" s="130" t="n"/>
      <c r="F8" s="130" t="n"/>
      <c r="G8" s="130" t="n"/>
      <c r="H8" s="130" t="n"/>
      <c r="I8" s="129" t="inlineStr">
        <is>
          <t>YOUR MONTHLY ACTION</t>
        </is>
      </c>
      <c r="J8" s="130" t="n"/>
      <c r="K8" s="130" t="n"/>
      <c r="L8" s="130" t="n"/>
      <c r="M8" s="130" t="n"/>
      <c r="N8" s="130" t="n"/>
    </row>
    <row r="9" ht="24" customHeight="1" s="122">
      <c r="A9" s="131" t="inlineStr">
        <is>
          <t>📖 README</t>
        </is>
      </c>
      <c r="B9" s="130" t="n"/>
      <c r="C9" s="130" t="n"/>
      <c r="D9" s="132" t="inlineStr">
        <is>
          <t>This guide</t>
        </is>
      </c>
      <c r="E9" s="133" t="n"/>
      <c r="F9" s="133" t="n"/>
      <c r="G9" s="133" t="n"/>
      <c r="H9" s="133" t="n"/>
      <c r="I9" s="134" t="inlineStr">
        <is>
          <t>Read once.  Share with new users.</t>
        </is>
      </c>
      <c r="J9" s="133" t="n"/>
      <c r="K9" s="133" t="n"/>
      <c r="L9" s="133" t="n"/>
      <c r="M9" s="133" t="n"/>
      <c r="N9" s="133" t="n"/>
    </row>
    <row r="10" ht="24" customHeight="1" s="122">
      <c r="A10" s="135" t="inlineStr">
        <is>
          <t>📋 FLEET REGISTER</t>
        </is>
      </c>
      <c r="B10" s="130" t="n"/>
      <c r="C10" s="130" t="n"/>
      <c r="D10" s="132" t="inlineStr">
        <is>
          <t>Master list of all vehicles &amp; assigned drivers</t>
        </is>
      </c>
      <c r="E10" s="133" t="n"/>
      <c r="F10" s="133" t="n"/>
      <c r="G10" s="133" t="n"/>
      <c r="H10" s="133" t="n"/>
      <c r="I10" s="134" t="inlineStr">
        <is>
          <t>Update ONLY when there is a new vehicle, driver change, or transfer.  NOT monthly.</t>
        </is>
      </c>
      <c r="J10" s="133" t="n"/>
      <c r="K10" s="133" t="n"/>
      <c r="L10" s="133" t="n"/>
      <c r="M10" s="133" t="n"/>
      <c r="N10" s="133" t="n"/>
    </row>
    <row r="11" ht="24" customHeight="1" s="122">
      <c r="A11" s="136" t="inlineStr">
        <is>
          <t>📥 RAW ODOMETER</t>
        </is>
      </c>
      <c r="B11" s="130" t="n"/>
      <c r="C11" s="130" t="n"/>
      <c r="D11" s="132" t="inlineStr">
        <is>
          <t>Monthly GPS odometer export — distance per vehicle</t>
        </is>
      </c>
      <c r="E11" s="133" t="n"/>
      <c r="F11" s="133" t="n"/>
      <c r="G11" s="133" t="n"/>
      <c r="H11" s="133" t="n"/>
      <c r="I11" s="134" t="inlineStr">
        <is>
          <t>✅ PASTE new data here every month (start at row 4, column B onward).</t>
        </is>
      </c>
      <c r="J11" s="133" t="n"/>
      <c r="K11" s="133" t="n"/>
      <c r="L11" s="133" t="n"/>
      <c r="M11" s="133" t="n"/>
      <c r="N11" s="133" t="n"/>
    </row>
    <row r="12" ht="24" customHeight="1" s="122">
      <c r="A12" s="136" t="inlineStr">
        <is>
          <t>📥 RAW FUEL DATA</t>
        </is>
      </c>
      <c r="B12" s="130" t="n"/>
      <c r="C12" s="130" t="n"/>
      <c r="D12" s="132" t="inlineStr">
        <is>
          <t>Monthly fuel consumption &amp; PJP analysis export</t>
        </is>
      </c>
      <c r="E12" s="133" t="n"/>
      <c r="F12" s="133" t="n"/>
      <c r="G12" s="133" t="n"/>
      <c r="H12" s="133" t="n"/>
      <c r="I12" s="134" t="inlineStr">
        <is>
          <t>✅ PASTE new data here every month (start at row 4).</t>
        </is>
      </c>
      <c r="J12" s="133" t="n"/>
      <c r="K12" s="133" t="n"/>
      <c r="L12" s="133" t="n"/>
      <c r="M12" s="133" t="n"/>
      <c r="N12" s="133" t="n"/>
    </row>
    <row r="13" ht="24" customHeight="1" s="122">
      <c r="A13" s="136" t="inlineStr">
        <is>
          <t>📥 RAW TRIPS</t>
        </is>
      </c>
      <c r="B13" s="130" t="n"/>
      <c r="C13" s="130" t="n"/>
      <c r="D13" s="132" t="inlineStr">
        <is>
          <t>Trip-level GPS data — every journey logged by tracker</t>
        </is>
      </c>
      <c r="E13" s="133" t="n"/>
      <c r="F13" s="133" t="n"/>
      <c r="G13" s="133" t="n"/>
      <c r="H13" s="133" t="n"/>
      <c r="I13" s="134" t="inlineStr">
        <is>
          <t>✅ PASTE new data here every month (start at row 4).</t>
        </is>
      </c>
      <c r="J13" s="133" t="n"/>
      <c r="K13" s="133" t="n"/>
      <c r="L13" s="133" t="n"/>
      <c r="M13" s="133" t="n"/>
      <c r="N13" s="133" t="n"/>
    </row>
    <row r="14" ht="24" customHeight="1" s="122">
      <c r="A14" s="137" t="inlineStr">
        <is>
          <t>⚡ MONTHLY ANALYSIS</t>
        </is>
      </c>
      <c r="B14" s="130" t="n"/>
      <c r="C14" s="130" t="n"/>
      <c r="D14" s="132" t="inlineStr">
        <is>
          <t>Auto-calculated metrics for every vehicle</t>
        </is>
      </c>
      <c r="E14" s="133" t="n"/>
      <c r="F14" s="133" t="n"/>
      <c r="G14" s="133" t="n"/>
      <c r="H14" s="133" t="n"/>
      <c r="I14" s="134" t="inlineStr">
        <is>
          <t>🚫 DO NOT EDIT.  Updates automatically when you paste raw data.</t>
        </is>
      </c>
      <c r="J14" s="133" t="n"/>
      <c r="K14" s="133" t="n"/>
      <c r="L14" s="133" t="n"/>
      <c r="M14" s="133" t="n"/>
      <c r="N14" s="133" t="n"/>
    </row>
    <row r="15" ht="24" customHeight="1" s="122">
      <c r="A15" s="138" t="inlineStr">
        <is>
          <t>🚨 SPEED FLAGS</t>
        </is>
      </c>
      <c r="B15" s="130" t="n"/>
      <c r="C15" s="130" t="n"/>
      <c r="D15" s="132" t="inlineStr">
        <is>
          <t>Every trip exceeding 90 km/h — full audit trail</t>
        </is>
      </c>
      <c r="E15" s="133" t="n"/>
      <c r="F15" s="133" t="n"/>
      <c r="G15" s="133" t="n"/>
      <c r="H15" s="133" t="n"/>
      <c r="I15" s="134" t="inlineStr">
        <is>
          <t>✏️ Fill in Permission &amp; Discipline Action columns only.</t>
        </is>
      </c>
      <c r="J15" s="133" t="n"/>
      <c r="K15" s="133" t="n"/>
      <c r="L15" s="133" t="n"/>
      <c r="M15" s="133" t="n"/>
      <c r="N15" s="133" t="n"/>
    </row>
    <row r="16" ht="24" customHeight="1" s="122">
      <c r="A16" s="139" t="inlineStr">
        <is>
          <t>🌙 LATE HOURS FLAGS</t>
        </is>
      </c>
      <c r="B16" s="130" t="n"/>
      <c r="C16" s="130" t="n"/>
      <c r="D16" s="132" t="inlineStr">
        <is>
          <t>Vehicles driven past 10pm or past midnight</t>
        </is>
      </c>
      <c r="E16" s="133" t="n"/>
      <c r="F16" s="133" t="n"/>
      <c r="G16" s="133" t="n"/>
      <c r="H16" s="133" t="n"/>
      <c r="I16" s="134" t="inlineStr">
        <is>
          <t>✏️ Fill in Permission &amp; Discipline Action columns only.</t>
        </is>
      </c>
      <c r="J16" s="133" t="n"/>
      <c r="K16" s="133" t="n"/>
      <c r="L16" s="133" t="n"/>
      <c r="M16" s="133" t="n"/>
      <c r="N16" s="133" t="n"/>
    </row>
    <row r="17" ht="24" customHeight="1" s="122">
      <c r="A17" s="140" t="inlineStr">
        <is>
          <t>📝 DISCIPLINE TRACKER</t>
        </is>
      </c>
      <c r="B17" s="130" t="n"/>
      <c r="C17" s="130" t="n"/>
      <c r="D17" s="132" t="inlineStr">
        <is>
          <t>Cumulative record of all warnings and actions — never cleared</t>
        </is>
      </c>
      <c r="E17" s="133" t="n"/>
      <c r="F17" s="133" t="n"/>
      <c r="G17" s="133" t="n"/>
      <c r="H17" s="133" t="n"/>
      <c r="I17" s="134" t="inlineStr">
        <is>
          <t>✏️ Add new rows each month.  Never delete old entries.</t>
        </is>
      </c>
      <c r="J17" s="133" t="n"/>
      <c r="K17" s="133" t="n"/>
      <c r="L17" s="133" t="n"/>
      <c r="M17" s="133" t="n"/>
      <c r="N17" s="133" t="n"/>
    </row>
    <row r="18" ht="24" customHeight="1" s="122">
      <c r="A18" s="141" t="inlineStr">
        <is>
          <t>📊 KPI DASHBOARD</t>
        </is>
      </c>
      <c r="B18" s="130" t="n"/>
      <c r="C18" s="130" t="n"/>
      <c r="D18" s="132" t="inlineStr">
        <is>
          <t>Summary KPIs and regional breakdown — auto-calculated</t>
        </is>
      </c>
      <c r="E18" s="133" t="n"/>
      <c r="F18" s="133" t="n"/>
      <c r="G18" s="133" t="n"/>
      <c r="H18" s="133" t="n"/>
      <c r="I18" s="134" t="inlineStr">
        <is>
          <t>🚫 DO NOT EDIT.  Read-only summary view.</t>
        </is>
      </c>
      <c r="J18" s="133" t="n"/>
      <c r="K18" s="133" t="n"/>
      <c r="L18" s="133" t="n"/>
      <c r="M18" s="133" t="n"/>
      <c r="N18" s="133" t="n"/>
    </row>
    <row r="19" ht="6" customHeight="1" s="122">
      <c r="A19" s="125" t="n"/>
    </row>
    <row r="20" ht="25.5" customHeight="1" s="122">
      <c r="A20" s="126" t="inlineStr">
        <is>
          <t xml:space="preserve">  📅  MONTHLY UPDATE — STEP BY STEP</t>
        </is>
      </c>
    </row>
    <row r="21" ht="18" customHeight="1" s="122">
      <c r="A21" s="142" t="n"/>
      <c r="B21" s="143" t="inlineStr">
        <is>
          <t xml:space="preserve">   ACTION</t>
        </is>
      </c>
      <c r="H21" s="143" t="inlineStr">
        <is>
          <t xml:space="preserve">   NOTES / WHERE TO LOOK</t>
        </is>
      </c>
    </row>
    <row r="22" ht="27.75" customHeight="1" s="122">
      <c r="A22" s="144" t="inlineStr">
        <is>
          <t>1</t>
        </is>
      </c>
      <c r="B22" s="145" t="inlineStr">
        <is>
          <t>GET THE ODOMETER REPORT from the GPS tracking system (same format as the monthly export)</t>
        </is>
      </c>
      <c r="H22" s="146" t="inlineStr">
        <is>
          <t>File is usually named: odometer_report_YYYY_MM_DD.xls</t>
        </is>
      </c>
    </row>
    <row r="23" ht="27.75" customHeight="1" s="122">
      <c r="A23" s="144" t="inlineStr">
        <is>
          <t>2</t>
        </is>
      </c>
      <c r="B23" s="145" t="inlineStr">
        <is>
          <t>OPEN the RAW ODOMETER tab in this workbook</t>
        </is>
      </c>
      <c r="H23" s="146" t="inlineStr">
        <is>
          <t>Tab is blue.  Look for the yellow instruction row at the top.</t>
        </is>
      </c>
    </row>
    <row r="24" ht="27.75" customHeight="1" s="122">
      <c r="A24" s="144" t="inlineStr">
        <is>
          <t>3</t>
        </is>
      </c>
      <c r="B24" s="145" t="inlineStr">
        <is>
          <t>CLEAR old data in RAW ODOMETER — select rows 4 downward, columns B to M only.  Delete.</t>
        </is>
      </c>
      <c r="H24" s="146" t="inlineStr">
        <is>
          <t>⚠  NEVER delete or overwrite column A — it contains auto-formulas that extract the Reg No key.</t>
        </is>
      </c>
    </row>
    <row r="25" ht="27.75" customHeight="1" s="122">
      <c r="A25" s="144" t="inlineStr">
        <is>
          <t>4</t>
        </is>
      </c>
      <c r="B25" s="145" t="inlineStr">
        <is>
          <t>PASTE the new odometer export starting at cell B4 — paste values only (Ctrl+Shift+V)</t>
        </is>
      </c>
      <c r="H25" s="146" t="inlineStr">
        <is>
          <t>Column A will auto-populate the Reg No from the Device name.  Check it looks correct.</t>
        </is>
      </c>
    </row>
    <row r="26" ht="27.75" customHeight="1" s="122">
      <c r="A26" s="144" t="inlineStr">
        <is>
          <t>5</t>
        </is>
      </c>
      <c r="B26" s="145" t="inlineStr">
        <is>
          <t>OPEN the RAW FUEL DATA tab.  Clear rows 4 downward.  Paste the new fuel analysis export from cell A4.</t>
        </is>
      </c>
      <c r="H26" s="146" t="inlineStr">
        <is>
          <t>This tab has no protected columns — paste the full export as-is.</t>
        </is>
      </c>
    </row>
    <row r="27" ht="27.75" customHeight="1" s="122">
      <c r="A27" s="144" t="inlineStr">
        <is>
          <t>6</t>
        </is>
      </c>
      <c r="B27" s="145" t="inlineStr">
        <is>
          <t>OPEN the RAW TRIPS tab.  Clear rows 4 downward (columns A–G only).  Paste trip-level GPS export from A4.</t>
        </is>
      </c>
      <c r="H27" s="146" t="inlineStr">
        <is>
          <t>⚠  Column H (Past Midnight) and Column I (Date) are auto-calculated — do not overwrite them.</t>
        </is>
      </c>
    </row>
    <row r="28" ht="27.75" customHeight="1" s="122">
      <c r="A28" s="144" t="inlineStr">
        <is>
          <t>7</t>
        </is>
      </c>
      <c r="B28" s="145" t="inlineStr">
        <is>
          <t>CHECK the MONTHLY ANALYSIS tab — all metrics should now be populated for every vehicle.</t>
        </is>
      </c>
      <c r="H28" s="146" t="inlineStr">
        <is>
          <t>Green rows = fully compliant.  Red rows = speed violation.  Amber rows = late-night driving.</t>
        </is>
      </c>
    </row>
    <row r="29" ht="27.75" customHeight="1" s="122">
      <c r="A29" s="144" t="inlineStr">
        <is>
          <t>8</t>
        </is>
      </c>
      <c r="B29" s="145" t="inlineStr">
        <is>
          <t>REVIEW the SPEED FLAGS tab.  For each flagged vehicle: select Permission? and fill Discipline Action.</t>
        </is>
      </c>
      <c r="H29" s="146" t="inlineStr">
        <is>
          <t>Rows with Permission Granted turn gray.  Rows with no action taken glow red.</t>
        </is>
      </c>
    </row>
    <row r="30" ht="27.75" customHeight="1" s="122">
      <c r="A30" s="144" t="inlineStr">
        <is>
          <t>9</t>
        </is>
      </c>
      <c r="B30" s="145" t="inlineStr">
        <is>
          <t>REVIEW the LATE HOURS FLAGS tab.  Red rows = past midnight.  Amber rows = past 10pm only.</t>
        </is>
      </c>
      <c r="H30" s="146" t="inlineStr">
        <is>
          <t>Fill in Permission and Discipline Action for each case.</t>
        </is>
      </c>
    </row>
    <row r="31" ht="27.75" customHeight="1" s="122">
      <c r="A31" s="144" t="inlineStr">
        <is>
          <t>10</t>
        </is>
      </c>
      <c r="B31" s="145" t="inlineStr">
        <is>
          <t>ADD new entries to the DISCIPLINE TRACKER for every action issued this month.</t>
        </is>
      </c>
      <c r="H31" s="146" t="inlineStr">
        <is>
          <t>Add a new row for each verbal warning, official warning, show cause, or hearing.  Never delete old rows.</t>
        </is>
      </c>
    </row>
    <row r="32" ht="27.75" customHeight="1" s="122">
      <c r="A32" s="144" t="inlineStr">
        <is>
          <t>11</t>
        </is>
      </c>
      <c r="B32" s="145" t="inlineStr">
        <is>
          <t>VIEW the KPI DASHBOARD for the final summary to share with management.</t>
        </is>
      </c>
      <c r="H32" s="146" t="inlineStr">
        <is>
          <t>The dashboard updates automatically — no editing needed.</t>
        </is>
      </c>
    </row>
    <row r="33" ht="6" customHeight="1" s="122">
      <c r="A33" s="125" t="n"/>
    </row>
    <row r="34" ht="25.5" customHeight="1" s="122">
      <c r="A34" s="147" t="inlineStr">
        <is>
          <t xml:space="preserve">  ⚠  PASTING RAW DATA — RULES &amp; WARNINGS</t>
        </is>
      </c>
    </row>
    <row r="35" ht="19.5" customHeight="1" s="122">
      <c r="A35" s="148" t="inlineStr">
        <is>
          <t>⛔   ALWAYS paste as VALUES ONLY (not formulas).  In Excel: Ctrl+Shift+V → Values.  In Google Sheets: Ctrl+Shift+V.</t>
        </is>
      </c>
    </row>
    <row r="36" ht="3.75" customHeight="1" s="122">
      <c r="A36" s="125" t="n"/>
    </row>
    <row r="37" ht="21.75" customHeight="1" s="122">
      <c r="A37" s="143" t="inlineStr">
        <is>
          <t xml:space="preserve">   📥  RAW ODOMETER   —   Start pasting at cell B4   |   Paste columns: B to M   |   Protected (do not overwrite): A</t>
        </is>
      </c>
    </row>
    <row r="38" ht="18" customHeight="1" s="122">
      <c r="A38" s="149" t="inlineStr">
        <is>
          <t xml:space="preserve">        •   Column A auto-extracts Reg No from the Device name (e.g. "KAA 754A SouthRift" → "KAA 754A")</t>
        </is>
      </c>
    </row>
    <row r="39" ht="18" customHeight="1" s="122">
      <c r="A39" s="149" t="inlineStr">
        <is>
          <t xml:space="preserve">        •   If column A shows blank or wrong value, check that the Device name in column B starts with the plate number</t>
        </is>
      </c>
    </row>
    <row r="40" ht="18" customHeight="1" s="122">
      <c r="A40" s="149" t="inlineStr">
        <is>
          <t xml:space="preserve">        •   The GPS system export may include a blank row 1 and a header row 2 — start your paste at row 4, skipping those</t>
        </is>
      </c>
    </row>
    <row r="41" ht="3.75" customHeight="1" s="122">
      <c r="A41" s="125" t="n"/>
    </row>
    <row r="42" ht="21.75" customHeight="1" s="122">
      <c r="A42" s="143" t="inlineStr">
        <is>
          <t xml:space="preserve">   📥  RAW FUEL DATA   —   Start pasting at cell A4   |   Paste columns: A to Q   |   Protected (do not overwrite): None</t>
        </is>
      </c>
    </row>
    <row r="43" ht="18" customHeight="1" s="122">
      <c r="A43" s="149" t="inlineStr">
        <is>
          <t xml:space="preserve">        •   Paste the entire "PJP Evaluation and Fuel Analysis" sheet export here</t>
        </is>
      </c>
    </row>
    <row r="44" ht="18" customHeight="1" s="122">
      <c r="A44" s="149" t="inlineStr">
        <is>
          <t xml:space="preserve">        •   All columns are paste-safe — no protected formulas in this tab</t>
        </is>
      </c>
    </row>
    <row r="45" ht="18" customHeight="1" s="122">
      <c r="A45" s="149" t="inlineStr">
        <is>
          <t xml:space="preserve">        •   If a vehicle has zero KM (tracker offline), the KM/L column will show "No Data" — this is expected</t>
        </is>
      </c>
    </row>
    <row r="46" ht="3.75" customHeight="1" s="122">
      <c r="A46" s="125" t="n"/>
    </row>
    <row r="47" ht="21.75" customHeight="1" s="122">
      <c r="A47" s="143" t="inlineStr">
        <is>
          <t xml:space="preserve">   📥  RAW TRIPS   —   Start pasting at cell A4   |   Paste columns: A to G   |   Protected (do not overwrite): H and I</t>
        </is>
      </c>
    </row>
    <row r="48" ht="18" customHeight="1" s="122">
      <c r="A48" s="149" t="inlineStr">
        <is>
          <t xml:space="preserve">        •   Columns H (Past Midnight) and I (Date) are calculated automatically — do not paste over them</t>
        </is>
      </c>
    </row>
    <row r="49" ht="18" customHeight="1" s="122">
      <c r="A49" s="149" t="inlineStr">
        <is>
          <t xml:space="preserve">        •   The trip export can be large (1,000–5,000+ rows) — this is normal, paste all rows</t>
        </is>
      </c>
    </row>
    <row r="50" ht="18" customHeight="1" s="122">
      <c r="A50" s="149" t="inlineStr">
        <is>
          <t xml:space="preserve">        •   The Speed Flags and Late Hours Flags tabs pull directly from this data via FILTER formulas</t>
        </is>
      </c>
    </row>
    <row r="51" ht="3.75" customHeight="1" s="122">
      <c r="A51" s="125" t="n"/>
    </row>
    <row r="52" ht="6" customHeight="1" s="122">
      <c r="A52" s="125" t="n"/>
    </row>
    <row r="53" ht="25.5" customHeight="1" s="122">
      <c r="A53" s="126" t="inlineStr">
        <is>
          <t xml:space="preserve">  📝  UNDERSTANDING THE FLAGS &amp; DISCIPLINE TRACKER</t>
        </is>
      </c>
    </row>
    <row r="54" ht="19.5" customHeight="1" s="122">
      <c r="A54" s="150" t="inlineStr">
        <is>
          <t xml:space="preserve">   COLOUR CODE GUIDE — MONTHLY ANALYSIS TAB</t>
        </is>
      </c>
    </row>
    <row r="55" ht="19.5" customHeight="1" s="122">
      <c r="A55" s="151" t="inlineStr">
        <is>
          <t xml:space="preserve">   RED row</t>
        </is>
      </c>
      <c r="B55" s="133" t="n"/>
      <c r="C55" s="133" t="n"/>
      <c r="D55" s="152" t="inlineStr">
        <is>
          <t xml:space="preserve">  Vehicle recorded a top speed above 90 km/h during the month</t>
        </is>
      </c>
      <c r="E55" s="133" t="n"/>
      <c r="F55" s="133" t="n"/>
      <c r="G55" s="133" t="n"/>
      <c r="H55" s="133" t="n"/>
      <c r="I55" s="133" t="n"/>
      <c r="J55" s="133" t="n"/>
      <c r="K55" s="133" t="n"/>
      <c r="L55" s="133" t="n"/>
      <c r="M55" s="133" t="n"/>
      <c r="N55" s="133" t="n"/>
    </row>
    <row r="56" ht="19.5" customHeight="1" s="122">
      <c r="A56" s="153" t="inlineStr">
        <is>
          <t xml:space="preserve">   AMBER row</t>
        </is>
      </c>
      <c r="B56" s="133" t="n"/>
      <c r="C56" s="133" t="n"/>
      <c r="D56" s="152" t="inlineStr">
        <is>
          <t xml:space="preserve">  Vehicle was driven past 10pm at least once — without permission</t>
        </is>
      </c>
      <c r="E56" s="133" t="n"/>
      <c r="F56" s="133" t="n"/>
      <c r="G56" s="133" t="n"/>
      <c r="H56" s="133" t="n"/>
      <c r="I56" s="133" t="n"/>
      <c r="J56" s="133" t="n"/>
      <c r="K56" s="133" t="n"/>
      <c r="L56" s="133" t="n"/>
      <c r="M56" s="133" t="n"/>
      <c r="N56" s="133" t="n"/>
    </row>
    <row r="57" ht="19.5" customHeight="1" s="122">
      <c r="A57" s="154" t="inlineStr">
        <is>
          <t xml:space="preserve">   GREEN row</t>
        </is>
      </c>
      <c r="B57" s="133" t="n"/>
      <c r="C57" s="133" t="n"/>
      <c r="D57" s="152" t="inlineStr">
        <is>
          <t xml:space="preserve">  Vehicle is fully compliant: speed OK, no late hours, fuel compliant</t>
        </is>
      </c>
      <c r="E57" s="133" t="n"/>
      <c r="F57" s="133" t="n"/>
      <c r="G57" s="133" t="n"/>
      <c r="H57" s="133" t="n"/>
      <c r="I57" s="133" t="n"/>
      <c r="J57" s="133" t="n"/>
      <c r="K57" s="133" t="n"/>
      <c r="L57" s="133" t="n"/>
      <c r="M57" s="133" t="n"/>
      <c r="N57" s="133" t="n"/>
    </row>
    <row r="58" ht="19.5" customHeight="1" s="122">
      <c r="A58" s="155" t="inlineStr">
        <is>
          <t xml:space="preserve">   White row</t>
        </is>
      </c>
      <c r="B58" s="133" t="n"/>
      <c r="C58" s="133" t="n"/>
      <c r="D58" s="152" t="inlineStr">
        <is>
          <t xml:space="preserve">  No violations detected — but fuel may still be non-compliant (check column K)</t>
        </is>
      </c>
      <c r="E58" s="133" t="n"/>
      <c r="F58" s="133" t="n"/>
      <c r="G58" s="133" t="n"/>
      <c r="H58" s="133" t="n"/>
      <c r="I58" s="133" t="n"/>
      <c r="J58" s="133" t="n"/>
      <c r="K58" s="133" t="n"/>
      <c r="L58" s="133" t="n"/>
      <c r="M58" s="133" t="n"/>
      <c r="N58" s="133" t="n"/>
    </row>
    <row r="59" ht="6" customHeight="1" s="122">
      <c r="A59" s="125" t="n"/>
    </row>
    <row r="60" ht="19.5" customHeight="1" s="122">
      <c r="A60" s="150" t="inlineStr">
        <is>
          <t xml:space="preserve">   DISCIPLINE PROGRESSION — SPEED FLAGS &amp; LATE HOURS FLAGS TABS</t>
        </is>
      </c>
    </row>
    <row r="61" ht="18" customHeight="1" s="122">
      <c r="A61" s="143" t="inlineStr">
        <is>
          <t>OFFENCE</t>
        </is>
      </c>
      <c r="C61" s="143" t="inlineStr">
        <is>
          <t>DROPDOWN VALUE</t>
        </is>
      </c>
      <c r="G61" s="143" t="inlineStr">
        <is>
          <t>ACTION TO TAKE</t>
        </is>
      </c>
    </row>
    <row r="62" ht="21.75" customHeight="1" s="122">
      <c r="A62" s="156" t="inlineStr">
        <is>
          <t xml:space="preserve">  1st offence</t>
        </is>
      </c>
      <c r="B62" s="133" t="n"/>
      <c r="C62" s="156" t="inlineStr">
        <is>
          <t xml:space="preserve">  Verbal Warning</t>
        </is>
      </c>
      <c r="D62" s="133" t="n"/>
      <c r="E62" s="133" t="n"/>
      <c r="F62" s="133" t="n"/>
      <c r="G62" s="132" t="inlineStr">
        <is>
          <t xml:space="preserve">  Select "Verbal Warning" in the Discipline Action column.  Log it in DISCIPLINE TRACKER.</t>
        </is>
      </c>
      <c r="H62" s="133" t="n"/>
      <c r="I62" s="133" t="n"/>
      <c r="J62" s="133" t="n"/>
      <c r="K62" s="133" t="n"/>
      <c r="L62" s="133" t="n"/>
      <c r="M62" s="133" t="n"/>
      <c r="N62" s="133" t="n"/>
    </row>
    <row r="63" ht="21.75" customHeight="1" s="122">
      <c r="A63" s="153" t="inlineStr">
        <is>
          <t xml:space="preserve">  2nd offence</t>
        </is>
      </c>
      <c r="B63" s="133" t="n"/>
      <c r="C63" s="153" t="inlineStr">
        <is>
          <t xml:space="preserve">  Official Warning</t>
        </is>
      </c>
      <c r="D63" s="133" t="n"/>
      <c r="E63" s="133" t="n"/>
      <c r="F63" s="133" t="n"/>
      <c r="G63" s="132" t="inlineStr">
        <is>
          <t xml:space="preserve">  Issue a formal written warning.  Select "Official Warning".  Log in DISCIPLINE TRACKER.</t>
        </is>
      </c>
      <c r="H63" s="133" t="n"/>
      <c r="I63" s="133" t="n"/>
      <c r="J63" s="133" t="n"/>
      <c r="K63" s="133" t="n"/>
      <c r="L63" s="133" t="n"/>
      <c r="M63" s="133" t="n"/>
      <c r="N63" s="133" t="n"/>
    </row>
    <row r="64" ht="21.75" customHeight="1" s="122">
      <c r="A64" s="151" t="inlineStr">
        <is>
          <t xml:space="preserve">  3rd offence</t>
        </is>
      </c>
      <c r="B64" s="133" t="n"/>
      <c r="C64" s="151" t="inlineStr">
        <is>
          <t xml:space="preserve">  Show Cause Letter</t>
        </is>
      </c>
      <c r="D64" s="133" t="n"/>
      <c r="E64" s="133" t="n"/>
      <c r="F64" s="133" t="n"/>
      <c r="G64" s="132" t="inlineStr">
        <is>
          <t xml:space="preserve">  Driver must respond in writing explaining the violation.  Log with date issued.</t>
        </is>
      </c>
      <c r="H64" s="133" t="n"/>
      <c r="I64" s="133" t="n"/>
      <c r="J64" s="133" t="n"/>
      <c r="K64" s="133" t="n"/>
      <c r="L64" s="133" t="n"/>
      <c r="M64" s="133" t="n"/>
      <c r="N64" s="133" t="n"/>
    </row>
    <row r="65" ht="21.75" customHeight="1" s="122">
      <c r="A65" s="157" t="inlineStr">
        <is>
          <t xml:space="preserve">  4th offence+</t>
        </is>
      </c>
      <c r="B65" s="133" t="n"/>
      <c r="C65" s="157" t="inlineStr">
        <is>
          <t xml:space="preserve">  Disciplinary Hearing</t>
        </is>
      </c>
      <c r="D65" s="133" t="n"/>
      <c r="E65" s="133" t="n"/>
      <c r="F65" s="133" t="n"/>
      <c r="G65" s="132" t="inlineStr">
        <is>
          <t xml:space="preserve">  Escalate to HR / management for a formal hearing.  Log outcome in the tracker.</t>
        </is>
      </c>
      <c r="H65" s="133" t="n"/>
      <c r="I65" s="133" t="n"/>
      <c r="J65" s="133" t="n"/>
      <c r="K65" s="133" t="n"/>
      <c r="L65" s="133" t="n"/>
      <c r="M65" s="133" t="n"/>
      <c r="N65" s="133" t="n"/>
    </row>
    <row r="66" ht="21.75" customHeight="1" s="122">
      <c r="A66" s="154" t="inlineStr">
        <is>
          <t xml:space="preserve">  Permission OK</t>
        </is>
      </c>
      <c r="B66" s="133" t="n"/>
      <c r="C66" s="154" t="inlineStr">
        <is>
          <t xml:space="preserve">  Permission Granted</t>
        </is>
      </c>
      <c r="D66" s="133" t="n"/>
      <c r="E66" s="133" t="n"/>
      <c r="F66" s="133" t="n"/>
      <c r="G66" s="132" t="inlineStr">
        <is>
          <t xml:space="preserve">  Select "Permission Granted" in the Permission column.  Row turns gray — no action needed.</t>
        </is>
      </c>
      <c r="H66" s="133" t="n"/>
      <c r="I66" s="133" t="n"/>
      <c r="J66" s="133" t="n"/>
      <c r="K66" s="133" t="n"/>
      <c r="L66" s="133" t="n"/>
      <c r="M66" s="133" t="n"/>
      <c r="N66" s="133" t="n"/>
    </row>
    <row r="67" ht="6" customHeight="1" s="122">
      <c r="A67" s="125" t="n"/>
    </row>
    <row r="68" ht="25.5" customHeight="1" s="122">
      <c r="A68" s="126" t="inlineStr">
        <is>
          <t xml:space="preserve">  📋  FLEET REGISTER — WHEN &amp; HOW TO UPDATE</t>
        </is>
      </c>
    </row>
    <row r="69" ht="19.5" customHeight="1" s="122">
      <c r="A69" s="154" t="inlineStr">
        <is>
          <t xml:space="preserve">   Update when →</t>
        </is>
      </c>
      <c r="B69" s="133" t="n"/>
      <c r="C69" s="133" t="n"/>
      <c r="D69" s="132" t="inlineStr">
        <is>
          <t xml:space="preserve">  A new vehicle is added to the fleet</t>
        </is>
      </c>
      <c r="E69" s="133" t="n"/>
      <c r="F69" s="133" t="n"/>
      <c r="G69" s="133" t="n"/>
      <c r="H69" s="133" t="n"/>
      <c r="I69" s="133" t="n"/>
      <c r="J69" s="133" t="n"/>
      <c r="K69" s="133" t="n"/>
      <c r="L69" s="133" t="n"/>
      <c r="M69" s="133" t="n"/>
      <c r="N69" s="133" t="n"/>
    </row>
    <row r="70" ht="19.5" customHeight="1" s="122">
      <c r="A70" s="154" t="inlineStr">
        <is>
          <t xml:space="preserve">   Update when →</t>
        </is>
      </c>
      <c r="B70" s="133" t="n"/>
      <c r="C70" s="133" t="n"/>
      <c r="D70" s="132" t="inlineStr">
        <is>
          <t xml:space="preserve">  A driver is changed or transferred to a different vehicle or region</t>
        </is>
      </c>
      <c r="E70" s="133" t="n"/>
      <c r="F70" s="133" t="n"/>
      <c r="G70" s="133" t="n"/>
      <c r="H70" s="133" t="n"/>
      <c r="I70" s="133" t="n"/>
      <c r="J70" s="133" t="n"/>
      <c r="K70" s="133" t="n"/>
      <c r="L70" s="133" t="n"/>
      <c r="M70" s="133" t="n"/>
      <c r="N70" s="133" t="n"/>
    </row>
    <row r="71" ht="19.5" customHeight="1" s="122">
      <c r="A71" s="154" t="inlineStr">
        <is>
          <t xml:space="preserve">   Update when →</t>
        </is>
      </c>
      <c r="B71" s="133" t="n"/>
      <c r="C71" s="133" t="n"/>
      <c r="D71" s="132" t="inlineStr">
        <is>
          <t xml:space="preserve">  A vehicle is decommissioned or returned to the leasing company</t>
        </is>
      </c>
      <c r="E71" s="133" t="n"/>
      <c r="F71" s="133" t="n"/>
      <c r="G71" s="133" t="n"/>
      <c r="H71" s="133" t="n"/>
      <c r="I71" s="133" t="n"/>
      <c r="J71" s="133" t="n"/>
      <c r="K71" s="133" t="n"/>
      <c r="L71" s="133" t="n"/>
      <c r="M71" s="133" t="n"/>
      <c r="N71" s="133" t="n"/>
    </row>
    <row r="72" ht="19.5" customHeight="1" s="122">
      <c r="A72" s="151" t="inlineStr">
        <is>
          <t xml:space="preserve">   NEVER →</t>
        </is>
      </c>
      <c r="B72" s="133" t="n"/>
      <c r="C72" s="133" t="n"/>
      <c r="D72" s="132" t="inlineStr">
        <is>
          <t xml:space="preserve">  Do not update the Fleet Register as part of the monthly data paste routine</t>
        </is>
      </c>
      <c r="E72" s="133" t="n"/>
      <c r="F72" s="133" t="n"/>
      <c r="G72" s="133" t="n"/>
      <c r="H72" s="133" t="n"/>
      <c r="I72" s="133" t="n"/>
      <c r="J72" s="133" t="n"/>
      <c r="K72" s="133" t="n"/>
      <c r="L72" s="133" t="n"/>
      <c r="M72" s="133" t="n"/>
      <c r="N72" s="133" t="n"/>
    </row>
    <row r="73" ht="19.5" customHeight="1" s="122">
      <c r="A73" s="151" t="inlineStr">
        <is>
          <t xml:space="preserve">   NEVER →</t>
        </is>
      </c>
      <c r="B73" s="133" t="n"/>
      <c r="C73" s="133" t="n"/>
      <c r="D73" s="132" t="inlineStr">
        <is>
          <t xml:space="preserve">  Do not change the Reg No column (column B) — it is the lookup key used by all other tabs</t>
        </is>
      </c>
      <c r="E73" s="133" t="n"/>
      <c r="F73" s="133" t="n"/>
      <c r="G73" s="133" t="n"/>
      <c r="H73" s="133" t="n"/>
      <c r="I73" s="133" t="n"/>
      <c r="J73" s="133" t="n"/>
      <c r="K73" s="133" t="n"/>
      <c r="L73" s="133" t="n"/>
      <c r="M73" s="133" t="n"/>
      <c r="N73" s="133" t="n"/>
    </row>
    <row r="74" ht="19.5" customHeight="1" s="122">
      <c r="A74" s="151" t="inlineStr">
        <is>
          <t xml:space="preserve">   NEVER →</t>
        </is>
      </c>
      <c r="B74" s="133" t="n"/>
      <c r="C74" s="133" t="n"/>
      <c r="D74" s="132" t="inlineStr">
        <is>
          <t xml:space="preserve">  Do not add blank rows in the middle of the Fleet Register — always add new vehicles at the bottom</t>
        </is>
      </c>
      <c r="E74" s="133" t="n"/>
      <c r="F74" s="133" t="n"/>
      <c r="G74" s="133" t="n"/>
      <c r="H74" s="133" t="n"/>
      <c r="I74" s="133" t="n"/>
      <c r="J74" s="133" t="n"/>
      <c r="K74" s="133" t="n"/>
      <c r="L74" s="133" t="n"/>
      <c r="M74" s="133" t="n"/>
      <c r="N74" s="133" t="n"/>
    </row>
    <row r="75" ht="6" customHeight="1" s="122">
      <c r="A75" s="125" t="n"/>
    </row>
    <row r="76" ht="25.5" customHeight="1" s="122">
      <c r="A76" s="126" t="inlineStr">
        <is>
          <t xml:space="preserve">  ⚡  QUICK REFERENCE</t>
        </is>
      </c>
    </row>
    <row r="77" ht="18" customHeight="1" s="122">
      <c r="A77" s="158" t="inlineStr">
        <is>
          <t xml:space="preserve">  💡  Speed limit threshold is 90 km/h.  Any trip with a top speed above 90 appears in the SPEED FLAGS tab automatically.</t>
        </is>
      </c>
    </row>
    <row r="78" ht="3" customHeight="1" s="122">
      <c r="A78" s="125" t="n"/>
    </row>
    <row r="79" ht="18" customHeight="1" s="122">
      <c r="A79" s="158" t="inlineStr">
        <is>
          <t xml:space="preserve">  💡  Fuel compliance thresholds: Honda motorcycles must achieve ≥ 40.5 KM/L.  Toyota Probox must achieve ≥ 12.6 KM/L.</t>
        </is>
      </c>
    </row>
    <row r="80" ht="3" customHeight="1" s="122">
      <c r="A80" s="125" t="n"/>
    </row>
    <row r="81" ht="18" customHeight="1" s="122">
      <c r="A81" s="158" t="inlineStr">
        <is>
          <t xml:space="preserve">  💡  The DISCIPLINE TRACKER is cumulative — never delete rows.  Each month, ADD new rows at the bottom for new actions.</t>
        </is>
      </c>
    </row>
    <row r="82" ht="3" customHeight="1" s="122">
      <c r="A82" s="125" t="n"/>
    </row>
    <row r="83" ht="18" customHeight="1" s="122">
      <c r="A83" s="158" t="inlineStr">
        <is>
          <t xml:space="preserve">  💡  The "All-time Offence Count" column in DISCIPLINE TRACKER updates automatically — it counts all entries for each driver across all months.</t>
        </is>
      </c>
    </row>
    <row r="84" ht="3" customHeight="1" s="122">
      <c r="A84" s="125" t="n"/>
    </row>
    <row r="85" ht="18" customHeight="1" s="122">
      <c r="A85" s="158" t="inlineStr">
        <is>
          <t xml:space="preserve">  💡  If a vehicle has no trip data (tracker offline), it will show 0 KM and "No Data" in fuel compliance.  Flag for investigation separately.</t>
        </is>
      </c>
    </row>
    <row r="86" ht="3" customHeight="1" s="122">
      <c r="A86" s="125" t="n"/>
    </row>
    <row r="87" ht="18" customHeight="1" s="122">
      <c r="A87" s="158" t="inlineStr">
        <is>
          <t xml:space="preserve">  💡  Vehicles flagged for late-night driving with a valid reason should be marked "Permission Granted" — the row turns gray and is excluded from action counts.</t>
        </is>
      </c>
    </row>
    <row r="88" ht="3" customHeight="1" s="122">
      <c r="A88" s="125" t="n"/>
    </row>
    <row r="89" ht="18" customHeight="1" s="122">
      <c r="A89" s="158" t="inlineStr">
        <is>
          <t xml:space="preserve">  💡  The KPI Dashboard automatically reflects all changes.  Use it for management reporting — no additional work needed.</t>
        </is>
      </c>
    </row>
    <row r="90" ht="3" customHeight="1" s="122">
      <c r="A90" s="125" t="n"/>
    </row>
    <row r="91" ht="18" customHeight="1" s="122">
      <c r="A91" s="158" t="inlineStr">
        <is>
          <t xml:space="preserve">  💡  When importing to Google Sheets: File → Import → Upload.  XLOOKUP and FILTER formulas are fully compatible with Google Sheets.</t>
        </is>
      </c>
    </row>
    <row r="92" ht="3" customHeight="1" s="122">
      <c r="A92" s="125" t="n"/>
    </row>
    <row r="93" ht="6" customHeight="1" s="122">
      <c r="A93" s="125" t="n"/>
    </row>
    <row r="94" ht="21.75" customHeight="1" s="122">
      <c r="A94" s="159" t="inlineStr">
        <is>
          <t>Fleet Management Workbook  |  Covers: Toyota Probox &amp; Honda Motorcycles  |  Regions: Nairobi, Coast, Mountain, Nyanza, North Rift, South Rift, Western</t>
        </is>
      </c>
    </row>
  </sheetData>
  <mergeCells count="147">
    <mergeCell ref="A39:N39"/>
    <mergeCell ref="A64:B64"/>
    <mergeCell ref="D10:H10"/>
    <mergeCell ref="A48:N48"/>
    <mergeCell ref="A59:N59"/>
    <mergeCell ref="A45:N45"/>
    <mergeCell ref="I12:N12"/>
    <mergeCell ref="A57:C57"/>
    <mergeCell ref="A79:N79"/>
    <mergeCell ref="H23:N23"/>
    <mergeCell ref="A71:C71"/>
    <mergeCell ref="A87:N87"/>
    <mergeCell ref="I14:N14"/>
    <mergeCell ref="D11:H11"/>
    <mergeCell ref="C62:F62"/>
    <mergeCell ref="A46:N46"/>
    <mergeCell ref="A37:N37"/>
    <mergeCell ref="D70:N70"/>
    <mergeCell ref="A89:N89"/>
    <mergeCell ref="C64:F64"/>
    <mergeCell ref="D72:N72"/>
    <mergeCell ref="H25:N25"/>
    <mergeCell ref="C63:F63"/>
    <mergeCell ref="D56:N56"/>
    <mergeCell ref="D71:N71"/>
    <mergeCell ref="D9:H9"/>
    <mergeCell ref="A62:B62"/>
    <mergeCell ref="D58:N58"/>
    <mergeCell ref="G64:N64"/>
    <mergeCell ref="A91:N91"/>
    <mergeCell ref="B22:G22"/>
    <mergeCell ref="B31:G31"/>
    <mergeCell ref="A52:N52"/>
    <mergeCell ref="D73:N73"/>
    <mergeCell ref="A69:C69"/>
    <mergeCell ref="B21:G21"/>
    <mergeCell ref="A93:N93"/>
    <mergeCell ref="I16:N16"/>
    <mergeCell ref="H28:N28"/>
    <mergeCell ref="A34:N34"/>
    <mergeCell ref="A77:N77"/>
    <mergeCell ref="A83:N83"/>
    <mergeCell ref="A92:N92"/>
    <mergeCell ref="B23:G23"/>
    <mergeCell ref="I18:N18"/>
    <mergeCell ref="A49:N49"/>
    <mergeCell ref="A55:C55"/>
    <mergeCell ref="A12:C12"/>
    <mergeCell ref="A36:N36"/>
    <mergeCell ref="A1:N1"/>
    <mergeCell ref="A94:N94"/>
    <mergeCell ref="A78:N78"/>
    <mergeCell ref="A14:C14"/>
    <mergeCell ref="H29:N29"/>
    <mergeCell ref="G66:N66"/>
    <mergeCell ref="A75:N75"/>
    <mergeCell ref="D17:H17"/>
    <mergeCell ref="A80:N80"/>
    <mergeCell ref="A3:N3"/>
    <mergeCell ref="A13:C13"/>
    <mergeCell ref="H31:N31"/>
    <mergeCell ref="I13:N13"/>
    <mergeCell ref="A58:C58"/>
    <mergeCell ref="H21:N21"/>
    <mergeCell ref="A5:N5"/>
    <mergeCell ref="A15:C15"/>
    <mergeCell ref="A73:C73"/>
    <mergeCell ref="B25:G25"/>
    <mergeCell ref="I15:N15"/>
    <mergeCell ref="D12:H12"/>
    <mergeCell ref="A4:N4"/>
    <mergeCell ref="A38:N38"/>
    <mergeCell ref="A63:B63"/>
    <mergeCell ref="B27:G27"/>
    <mergeCell ref="A43:N43"/>
    <mergeCell ref="D14:H14"/>
    <mergeCell ref="A16:C16"/>
    <mergeCell ref="A40:N40"/>
    <mergeCell ref="A67:N67"/>
    <mergeCell ref="H22:N22"/>
    <mergeCell ref="A82:N82"/>
    <mergeCell ref="A18:C18"/>
    <mergeCell ref="A60:N60"/>
    <mergeCell ref="B29:G29"/>
    <mergeCell ref="C66:F66"/>
    <mergeCell ref="A6:N6"/>
    <mergeCell ref="A65:B65"/>
    <mergeCell ref="H30:N30"/>
    <mergeCell ref="I17:N17"/>
    <mergeCell ref="G62:N62"/>
    <mergeCell ref="A84:N84"/>
    <mergeCell ref="A72:C72"/>
    <mergeCell ref="B24:G24"/>
    <mergeCell ref="D16:H16"/>
    <mergeCell ref="A50:N50"/>
    <mergeCell ref="A2:N2"/>
    <mergeCell ref="A86:N86"/>
    <mergeCell ref="B32:G32"/>
    <mergeCell ref="I9:N9"/>
    <mergeCell ref="B26:G26"/>
    <mergeCell ref="C65:F65"/>
    <mergeCell ref="A47:N47"/>
    <mergeCell ref="D18:H18"/>
    <mergeCell ref="D8:H8"/>
    <mergeCell ref="I11:N11"/>
    <mergeCell ref="A20:N20"/>
    <mergeCell ref="A70:C70"/>
    <mergeCell ref="A81:N81"/>
    <mergeCell ref="H32:N32"/>
    <mergeCell ref="A44:N44"/>
    <mergeCell ref="D69:N69"/>
    <mergeCell ref="H27:N27"/>
    <mergeCell ref="A74:C74"/>
    <mergeCell ref="A56:C56"/>
    <mergeCell ref="A51:N51"/>
    <mergeCell ref="H24:N24"/>
    <mergeCell ref="A88:N88"/>
    <mergeCell ref="B28:G28"/>
    <mergeCell ref="A8:C8"/>
    <mergeCell ref="A54:N54"/>
    <mergeCell ref="H26:N26"/>
    <mergeCell ref="D13:H13"/>
    <mergeCell ref="A7:N7"/>
    <mergeCell ref="A17:C17"/>
    <mergeCell ref="D57:N57"/>
    <mergeCell ref="A41:N41"/>
    <mergeCell ref="I8:N8"/>
    <mergeCell ref="A66:B66"/>
    <mergeCell ref="A90:N90"/>
    <mergeCell ref="B30:G30"/>
    <mergeCell ref="A10:C10"/>
    <mergeCell ref="I10:N10"/>
    <mergeCell ref="A9:C9"/>
    <mergeCell ref="A76:N76"/>
    <mergeCell ref="A33:N33"/>
    <mergeCell ref="A85:N85"/>
    <mergeCell ref="A42:N42"/>
    <mergeCell ref="G65:N65"/>
    <mergeCell ref="A11:C11"/>
    <mergeCell ref="D15:H15"/>
    <mergeCell ref="A53:N53"/>
    <mergeCell ref="A35:N35"/>
    <mergeCell ref="D74:N74"/>
    <mergeCell ref="G63:N63"/>
    <mergeCell ref="D55:N55"/>
    <mergeCell ref="A19:N19"/>
    <mergeCell ref="A68:N6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5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21" min="1" max="1"/>
    <col width="12" customWidth="1" style="121" min="2" max="3"/>
    <col width="22" customWidth="1" style="121" min="4" max="4"/>
    <col width="16" customWidth="1" style="121" min="5" max="5"/>
    <col width="14" customWidth="1" style="121" min="6" max="6"/>
    <col width="22" customWidth="1" style="121" min="7" max="7"/>
    <col width="15" customWidth="1" style="121" min="8" max="8"/>
    <col width="16" customWidth="1" style="121" min="9" max="9"/>
    <col width="14" customWidth="1" style="121" min="10" max="10"/>
  </cols>
  <sheetData>
    <row r="1" ht="27.75" customHeight="1" s="122">
      <c r="A1" s="160" t="inlineStr">
        <is>
          <t>📋  FLEET REGISTER — MASTER VEHICLE &amp; DRIVER DATABASE</t>
        </is>
      </c>
    </row>
    <row r="2" ht="15.75" customHeight="1" s="122">
      <c r="A2" s="161" t="inlineStr">
        <is>
          <t>Maintain this tab whenever there is a vehicle transfer, new allocation, or driver change.  Do NOT modify this tab monthly.</t>
        </is>
      </c>
    </row>
    <row r="3" ht="21.75" customHeight="1" s="122">
      <c r="A3" s="162" t="inlineStr">
        <is>
          <t>#</t>
        </is>
      </c>
      <c r="B3" s="162" t="inlineStr">
        <is>
          <t>Reg No</t>
        </is>
      </c>
      <c r="C3" s="162" t="inlineStr">
        <is>
          <t>New Plate</t>
        </is>
      </c>
      <c r="D3" s="162" t="inlineStr">
        <is>
          <t>Driver Name</t>
        </is>
      </c>
      <c r="E3" s="162" t="inlineStr">
        <is>
          <t>Designation</t>
        </is>
      </c>
      <c r="F3" s="162" t="inlineStr">
        <is>
          <t>Region</t>
        </is>
      </c>
      <c r="G3" s="162" t="inlineStr">
        <is>
          <t>Territory</t>
        </is>
      </c>
      <c r="H3" s="162" t="inlineStr">
        <is>
          <t>Vehicle Type</t>
        </is>
      </c>
      <c r="I3" s="162" t="inlineStr">
        <is>
          <t>Make/Model</t>
        </is>
      </c>
      <c r="J3" s="162" t="inlineStr">
        <is>
          <t>Tel. Contact</t>
        </is>
      </c>
    </row>
    <row r="4" ht="15" customHeight="1" s="122">
      <c r="A4" s="163" t="n">
        <v>1</v>
      </c>
      <c r="B4" s="164" t="inlineStr">
        <is>
          <t>KAA 754A</t>
        </is>
      </c>
      <c r="C4" s="163" t="inlineStr">
        <is>
          <t>KAA 754A</t>
        </is>
      </c>
      <c r="D4" s="165" t="inlineStr">
        <is>
          <t>Driver_01</t>
        </is>
      </c>
      <c r="E4" s="163" t="inlineStr">
        <is>
          <t>Stock Controller</t>
        </is>
      </c>
      <c r="F4" s="163" t="inlineStr">
        <is>
          <t>South Rift</t>
        </is>
      </c>
      <c r="G4" s="165" t="inlineStr">
        <is>
          <t>Territory_26</t>
        </is>
      </c>
      <c r="H4" s="163" t="inlineStr">
        <is>
          <t>Toyota Probox</t>
        </is>
      </c>
      <c r="I4" s="163" t="inlineStr">
        <is>
          <t>Toyota Probox</t>
        </is>
      </c>
      <c r="J4" s="163" t="inlineStr">
        <is>
          <t>07XX-XXX-XXX</t>
        </is>
      </c>
    </row>
    <row r="5" ht="15" customHeight="1" s="122">
      <c r="A5" s="166" t="n">
        <v>2</v>
      </c>
      <c r="B5" s="167" t="inlineStr">
        <is>
          <t>KAA 214B</t>
        </is>
      </c>
      <c r="C5" s="166" t="inlineStr">
        <is>
          <t>KAA 214B</t>
        </is>
      </c>
      <c r="D5" s="168" t="inlineStr">
        <is>
          <t>Driver_02</t>
        </is>
      </c>
      <c r="E5" s="166" t="inlineStr">
        <is>
          <t>ABM</t>
        </is>
      </c>
      <c r="F5" s="166" t="inlineStr">
        <is>
          <t>Territory_25</t>
        </is>
      </c>
      <c r="G5" s="168" t="inlineStr">
        <is>
          <t>Territory_19</t>
        </is>
      </c>
      <c r="H5" s="166" t="inlineStr">
        <is>
          <t>Toyota Probox</t>
        </is>
      </c>
      <c r="I5" s="166" t="inlineStr">
        <is>
          <t>Toyota Probox</t>
        </is>
      </c>
      <c r="J5" s="166" t="inlineStr">
        <is>
          <t>07XX-XXX-XXX</t>
        </is>
      </c>
    </row>
    <row r="6" ht="15" customHeight="1" s="122">
      <c r="A6" s="163" t="n">
        <v>3</v>
      </c>
      <c r="B6" s="164" t="inlineStr">
        <is>
          <t>KBB 102Q</t>
        </is>
      </c>
      <c r="C6" s="163" t="inlineStr">
        <is>
          <t>KBB 102Q</t>
        </is>
      </c>
      <c r="D6" s="165" t="inlineStr">
        <is>
          <t>Driver_03</t>
        </is>
      </c>
      <c r="E6" s="163" t="inlineStr">
        <is>
          <t>Stock Controller</t>
        </is>
      </c>
      <c r="F6" s="163" t="inlineStr">
        <is>
          <t>Territory_03</t>
        </is>
      </c>
      <c r="G6" s="165" t="inlineStr">
        <is>
          <t>Territory_03</t>
        </is>
      </c>
      <c r="H6" s="163" t="inlineStr">
        <is>
          <t>Toyota Probox</t>
        </is>
      </c>
      <c r="I6" s="163" t="inlineStr">
        <is>
          <t>Toyota Probox</t>
        </is>
      </c>
      <c r="J6" s="163" t="inlineStr">
        <is>
          <t>07XX-XXX-XXX</t>
        </is>
      </c>
    </row>
    <row r="7" ht="15" customHeight="1" s="122">
      <c r="A7" s="166" t="n">
        <v>4</v>
      </c>
      <c r="B7" s="167" t="inlineStr">
        <is>
          <t>KBB 103Q</t>
        </is>
      </c>
      <c r="C7" s="166" t="inlineStr">
        <is>
          <t>KBB 103Q</t>
        </is>
      </c>
      <c r="D7" s="168" t="inlineStr">
        <is>
          <t>Driver_04</t>
        </is>
      </c>
      <c r="E7" s="166" t="inlineStr">
        <is>
          <t>ABM</t>
        </is>
      </c>
      <c r="F7" s="166" t="inlineStr">
        <is>
          <t>Territory_03</t>
        </is>
      </c>
      <c r="G7" s="168" t="inlineStr">
        <is>
          <t>Territory_38</t>
        </is>
      </c>
      <c r="H7" s="166" t="inlineStr">
        <is>
          <t>Toyota Probox</t>
        </is>
      </c>
      <c r="I7" s="166" t="inlineStr">
        <is>
          <t>Toyota Probox</t>
        </is>
      </c>
      <c r="J7" s="166" t="inlineStr">
        <is>
          <t>07XX-XXX-XXX</t>
        </is>
      </c>
    </row>
    <row r="8" ht="15" customHeight="1" s="122">
      <c r="A8" s="163" t="n">
        <v>5</v>
      </c>
      <c r="B8" s="164" t="inlineStr">
        <is>
          <t>KBB 104Q</t>
        </is>
      </c>
      <c r="C8" s="163" t="inlineStr">
        <is>
          <t>KBB 104Q</t>
        </is>
      </c>
      <c r="D8" s="165" t="inlineStr">
        <is>
          <t>Driver_05</t>
        </is>
      </c>
      <c r="E8" s="163" t="inlineStr">
        <is>
          <t>Stock Controller</t>
        </is>
      </c>
      <c r="F8" s="163" t="inlineStr">
        <is>
          <t>Mountain</t>
        </is>
      </c>
      <c r="G8" s="165" t="inlineStr">
        <is>
          <t>Territory_34</t>
        </is>
      </c>
      <c r="H8" s="163" t="inlineStr">
        <is>
          <t>Toyota Probox</t>
        </is>
      </c>
      <c r="I8" s="163" t="inlineStr">
        <is>
          <t>Toyota Probox</t>
        </is>
      </c>
      <c r="J8" s="163" t="inlineStr">
        <is>
          <t>07XX-XXX-XXX</t>
        </is>
      </c>
    </row>
    <row r="9" ht="15" customHeight="1" s="122">
      <c r="A9" s="166" t="n">
        <v>6</v>
      </c>
      <c r="B9" s="167" t="inlineStr">
        <is>
          <t>KBB 105Q</t>
        </is>
      </c>
      <c r="C9" s="166" t="inlineStr">
        <is>
          <t>KBB 105Q</t>
        </is>
      </c>
      <c r="D9" s="168" t="inlineStr">
        <is>
          <t>Driver_06</t>
        </is>
      </c>
      <c r="E9" s="166" t="inlineStr">
        <is>
          <t>Stock Controller</t>
        </is>
      </c>
      <c r="F9" s="166" t="inlineStr">
        <is>
          <t>Nyanza</t>
        </is>
      </c>
      <c r="G9" s="168" t="inlineStr">
        <is>
          <t>Territory_14</t>
        </is>
      </c>
      <c r="H9" s="166" t="inlineStr">
        <is>
          <t>Toyota Probox</t>
        </is>
      </c>
      <c r="I9" s="166" t="inlineStr">
        <is>
          <t>Toyota Probox</t>
        </is>
      </c>
      <c r="J9" s="166" t="inlineStr">
        <is>
          <t>07XX-XXX-XXX</t>
        </is>
      </c>
    </row>
    <row r="10" ht="15" customHeight="1" s="122">
      <c r="A10" s="163" t="n">
        <v>7</v>
      </c>
      <c r="B10" s="164" t="inlineStr">
        <is>
          <t>KBB 106Q</t>
        </is>
      </c>
      <c r="C10" s="163" t="inlineStr">
        <is>
          <t>KBB 106Q</t>
        </is>
      </c>
      <c r="D10" s="165" t="inlineStr">
        <is>
          <t>Driver_07</t>
        </is>
      </c>
      <c r="E10" s="163" t="inlineStr">
        <is>
          <t>ABM</t>
        </is>
      </c>
      <c r="F10" s="163" t="inlineStr">
        <is>
          <t>Territory_42</t>
        </is>
      </c>
      <c r="G10" s="165" t="inlineStr">
        <is>
          <t>Territory_42</t>
        </is>
      </c>
      <c r="H10" s="163" t="inlineStr">
        <is>
          <t>Toyota Probox</t>
        </is>
      </c>
      <c r="I10" s="163" t="inlineStr">
        <is>
          <t>Toyota Probox</t>
        </is>
      </c>
      <c r="J10" s="163" t="inlineStr">
        <is>
          <t>07XX-XXX-XXX</t>
        </is>
      </c>
    </row>
    <row r="11" ht="15" customHeight="1" s="122">
      <c r="A11" s="166" t="n">
        <v>8</v>
      </c>
      <c r="B11" s="167" t="inlineStr">
        <is>
          <t>KBB 107Q</t>
        </is>
      </c>
      <c r="C11" s="166" t="inlineStr">
        <is>
          <t>KBB 107Q</t>
        </is>
      </c>
      <c r="D11" s="168" t="inlineStr">
        <is>
          <t>Driver_08</t>
        </is>
      </c>
      <c r="E11" s="166" t="inlineStr">
        <is>
          <t>Trainer</t>
        </is>
      </c>
      <c r="F11" s="166" t="inlineStr">
        <is>
          <t>Mountain</t>
        </is>
      </c>
      <c r="G11" s="168" t="inlineStr">
        <is>
          <t>Territory_35</t>
        </is>
      </c>
      <c r="H11" s="166" t="inlineStr">
        <is>
          <t>Toyota Probox</t>
        </is>
      </c>
      <c r="I11" s="166" t="inlineStr">
        <is>
          <t>Toyota Probox</t>
        </is>
      </c>
      <c r="J11" s="166" t="inlineStr">
        <is>
          <t>07XX-XXX-XXX</t>
        </is>
      </c>
    </row>
    <row r="12" ht="15" customHeight="1" s="122">
      <c r="A12" s="163" t="n">
        <v>9</v>
      </c>
      <c r="B12" s="164" t="inlineStr">
        <is>
          <t>KBB 108Q</t>
        </is>
      </c>
      <c r="C12" s="163" t="inlineStr">
        <is>
          <t>KBB 108Q</t>
        </is>
      </c>
      <c r="D12" s="165" t="inlineStr">
        <is>
          <t>Driver_09</t>
        </is>
      </c>
      <c r="E12" s="163" t="inlineStr">
        <is>
          <t>Trainer</t>
        </is>
      </c>
      <c r="F12" s="163" t="inlineStr">
        <is>
          <t>North Rift</t>
        </is>
      </c>
      <c r="G12" s="165" t="inlineStr">
        <is>
          <t>Territory_08</t>
        </is>
      </c>
      <c r="H12" s="163" t="inlineStr">
        <is>
          <t>Toyota Probox</t>
        </is>
      </c>
      <c r="I12" s="163" t="inlineStr">
        <is>
          <t>Toyota Probox</t>
        </is>
      </c>
      <c r="J12" s="163" t="inlineStr">
        <is>
          <t>07XX-XXX-XXX</t>
        </is>
      </c>
    </row>
    <row r="13" ht="15" customHeight="1" s="122">
      <c r="A13" s="166" t="n">
        <v>10</v>
      </c>
      <c r="B13" s="167" t="inlineStr">
        <is>
          <t>KBB 109Q</t>
        </is>
      </c>
      <c r="C13" s="166" t="inlineStr">
        <is>
          <t>KBB 109Q</t>
        </is>
      </c>
      <c r="D13" s="168" t="inlineStr">
        <is>
          <t>Driver_10</t>
        </is>
      </c>
      <c r="E13" s="166" t="inlineStr">
        <is>
          <t>Trainer</t>
        </is>
      </c>
      <c r="F13" s="166" t="inlineStr">
        <is>
          <t>Territory_25</t>
        </is>
      </c>
      <c r="G13" s="168" t="inlineStr">
        <is>
          <t>Territory_37</t>
        </is>
      </c>
      <c r="H13" s="166" t="inlineStr">
        <is>
          <t>Toyota Probox</t>
        </is>
      </c>
      <c r="I13" s="166" t="inlineStr">
        <is>
          <t>Toyota Probox</t>
        </is>
      </c>
      <c r="J13" s="166" t="inlineStr">
        <is>
          <t>07XX-XXX-XXX</t>
        </is>
      </c>
    </row>
    <row r="14" ht="15" customHeight="1" s="122">
      <c r="A14" s="163" t="n">
        <v>11</v>
      </c>
      <c r="B14" s="164" t="inlineStr">
        <is>
          <t>KBB 110Q</t>
        </is>
      </c>
      <c r="C14" s="163" t="inlineStr">
        <is>
          <t>KBB 110Q</t>
        </is>
      </c>
      <c r="D14" s="165" t="inlineStr">
        <is>
          <t>Driver_11</t>
        </is>
      </c>
      <c r="E14" s="163" t="inlineStr">
        <is>
          <t>Trainer</t>
        </is>
      </c>
      <c r="F14" s="163" t="inlineStr">
        <is>
          <t>Territory_25</t>
        </is>
      </c>
      <c r="G14" s="165" t="inlineStr">
        <is>
          <t>Territory_19</t>
        </is>
      </c>
      <c r="H14" s="163" t="inlineStr">
        <is>
          <t>Toyota Probox</t>
        </is>
      </c>
      <c r="I14" s="163" t="inlineStr">
        <is>
          <t>Toyota Probox</t>
        </is>
      </c>
      <c r="J14" s="163" t="inlineStr">
        <is>
          <t>07XX-XXX-XXX</t>
        </is>
      </c>
    </row>
    <row r="15" ht="15" customHeight="1" s="122">
      <c r="A15" s="166" t="n">
        <v>12</v>
      </c>
      <c r="B15" s="167" t="inlineStr">
        <is>
          <t>KBB 111Q</t>
        </is>
      </c>
      <c r="C15" s="166" t="inlineStr">
        <is>
          <t>KBB 111Q</t>
        </is>
      </c>
      <c r="D15" s="168" t="inlineStr">
        <is>
          <t>Driver_12</t>
        </is>
      </c>
      <c r="E15" s="166" t="inlineStr">
        <is>
          <t>ABM</t>
        </is>
      </c>
      <c r="F15" s="166" t="inlineStr">
        <is>
          <t>North Rift</t>
        </is>
      </c>
      <c r="G15" s="168" t="inlineStr">
        <is>
          <t>Territory_16</t>
        </is>
      </c>
      <c r="H15" s="166" t="inlineStr">
        <is>
          <t>Toyota Probox</t>
        </is>
      </c>
      <c r="I15" s="166" t="inlineStr">
        <is>
          <t>Toyota Probox</t>
        </is>
      </c>
      <c r="J15" s="166" t="inlineStr">
        <is>
          <t>07XX-XXX-XXX</t>
        </is>
      </c>
    </row>
    <row r="16" ht="15" customHeight="1" s="122">
      <c r="A16" s="163" t="n">
        <v>13</v>
      </c>
      <c r="B16" s="164" t="inlineStr">
        <is>
          <t>KBB 112Q</t>
        </is>
      </c>
      <c r="C16" s="163" t="inlineStr">
        <is>
          <t>KBB 112Q</t>
        </is>
      </c>
      <c r="D16" s="165" t="inlineStr">
        <is>
          <t>Driver_13</t>
        </is>
      </c>
      <c r="E16" s="163" t="inlineStr">
        <is>
          <t>Trainer</t>
        </is>
      </c>
      <c r="F16" s="163" t="inlineStr">
        <is>
          <t>Nyanza</t>
        </is>
      </c>
      <c r="G16" s="165" t="inlineStr">
        <is>
          <t>Territory_22</t>
        </is>
      </c>
      <c r="H16" s="163" t="inlineStr">
        <is>
          <t>Toyota Probox</t>
        </is>
      </c>
      <c r="I16" s="163" t="inlineStr">
        <is>
          <t>Toyota Probox</t>
        </is>
      </c>
      <c r="J16" s="163" t="inlineStr">
        <is>
          <t>07XX-XXX-XXX</t>
        </is>
      </c>
    </row>
    <row r="17" ht="15" customHeight="1" s="122">
      <c r="A17" s="166" t="n">
        <v>14</v>
      </c>
      <c r="B17" s="167" t="inlineStr">
        <is>
          <t>KBB 113Q</t>
        </is>
      </c>
      <c r="C17" s="166" t="inlineStr">
        <is>
          <t>KBB 113Q</t>
        </is>
      </c>
      <c r="D17" s="168" t="inlineStr">
        <is>
          <t>Driver_14</t>
        </is>
      </c>
      <c r="E17" s="166" t="inlineStr">
        <is>
          <t>Trainer</t>
        </is>
      </c>
      <c r="F17" s="166" t="inlineStr">
        <is>
          <t>Nyanza</t>
        </is>
      </c>
      <c r="G17" s="168" t="inlineStr">
        <is>
          <t>Territory_15</t>
        </is>
      </c>
      <c r="H17" s="166" t="inlineStr">
        <is>
          <t>Toyota Probox</t>
        </is>
      </c>
      <c r="I17" s="166" t="inlineStr">
        <is>
          <t>Toyota Probox</t>
        </is>
      </c>
      <c r="J17" s="166" t="inlineStr">
        <is>
          <t>07XX-XXX-XXX</t>
        </is>
      </c>
    </row>
    <row r="18" ht="15" customHeight="1" s="122">
      <c r="A18" s="163" t="n">
        <v>15</v>
      </c>
      <c r="B18" s="164" t="inlineStr">
        <is>
          <t>KBB 114Q</t>
        </is>
      </c>
      <c r="C18" s="163" t="inlineStr">
        <is>
          <t>KBB 114Q</t>
        </is>
      </c>
      <c r="D18" s="165" t="inlineStr">
        <is>
          <t>Driver_15</t>
        </is>
      </c>
      <c r="E18" s="163" t="inlineStr">
        <is>
          <t>Trainer</t>
        </is>
      </c>
      <c r="F18" s="163" t="inlineStr">
        <is>
          <t>Nyanza</t>
        </is>
      </c>
      <c r="G18" s="165" t="inlineStr">
        <is>
          <t>Territory_15</t>
        </is>
      </c>
      <c r="H18" s="163" t="inlineStr">
        <is>
          <t>Toyota Probox</t>
        </is>
      </c>
      <c r="I18" s="163" t="inlineStr">
        <is>
          <t>Toyota Probox</t>
        </is>
      </c>
      <c r="J18" s="163" t="inlineStr">
        <is>
          <t>07XX-XXX-XXX</t>
        </is>
      </c>
    </row>
    <row r="19" ht="15" customHeight="1" s="122">
      <c r="A19" s="166" t="n">
        <v>16</v>
      </c>
      <c r="B19" s="167" t="inlineStr">
        <is>
          <t>KBB 115Q</t>
        </is>
      </c>
      <c r="C19" s="166" t="inlineStr">
        <is>
          <t>KBB 115Q</t>
        </is>
      </c>
      <c r="D19" s="168" t="inlineStr">
        <is>
          <t>Driver_16</t>
        </is>
      </c>
      <c r="E19" s="166" t="inlineStr">
        <is>
          <t>Trainer</t>
        </is>
      </c>
      <c r="F19" s="166" t="inlineStr">
        <is>
          <t>South Rift</t>
        </is>
      </c>
      <c r="G19" s="168" t="inlineStr">
        <is>
          <t>Territory_26</t>
        </is>
      </c>
      <c r="H19" s="166" t="inlineStr">
        <is>
          <t>Toyota Probox</t>
        </is>
      </c>
      <c r="I19" s="166" t="inlineStr">
        <is>
          <t>Toyota Probox</t>
        </is>
      </c>
      <c r="J19" s="166" t="inlineStr">
        <is>
          <t>07XX-XXX-XXX</t>
        </is>
      </c>
    </row>
    <row r="20" ht="15" customHeight="1" s="122">
      <c r="A20" s="163" t="n">
        <v>17</v>
      </c>
      <c r="B20" s="164" t="inlineStr">
        <is>
          <t>KBB 116Q</t>
        </is>
      </c>
      <c r="C20" s="163" t="inlineStr">
        <is>
          <t>KBB 116Q</t>
        </is>
      </c>
      <c r="D20" s="165" t="inlineStr">
        <is>
          <t>Driver_17</t>
        </is>
      </c>
      <c r="E20" s="163" t="inlineStr">
        <is>
          <t>ABM</t>
        </is>
      </c>
      <c r="F20" s="163" t="inlineStr">
        <is>
          <t>South Rift</t>
        </is>
      </c>
      <c r="G20" s="165" t="inlineStr">
        <is>
          <t>Territory_26</t>
        </is>
      </c>
      <c r="H20" s="163" t="inlineStr">
        <is>
          <t>Toyota Probox</t>
        </is>
      </c>
      <c r="I20" s="163" t="inlineStr">
        <is>
          <t>Toyota Probox</t>
        </is>
      </c>
      <c r="J20" s="163" t="inlineStr">
        <is>
          <t>07XX-XXX-XXX</t>
        </is>
      </c>
    </row>
    <row r="21" ht="15" customHeight="1" s="122">
      <c r="A21" s="166" t="n">
        <v>18</v>
      </c>
      <c r="B21" s="167" t="inlineStr">
        <is>
          <t>KBB 117Q</t>
        </is>
      </c>
      <c r="C21" s="166" t="inlineStr">
        <is>
          <t>KBB 117Q</t>
        </is>
      </c>
      <c r="D21" s="168" t="inlineStr">
        <is>
          <t>Driver_18</t>
        </is>
      </c>
      <c r="E21" s="166" t="inlineStr">
        <is>
          <t>ABM</t>
        </is>
      </c>
      <c r="F21" s="166" t="inlineStr">
        <is>
          <t>Territory_42</t>
        </is>
      </c>
      <c r="G21" s="168" t="inlineStr">
        <is>
          <t>Territory_08</t>
        </is>
      </c>
      <c r="H21" s="166" t="inlineStr">
        <is>
          <t>Toyota Probox</t>
        </is>
      </c>
      <c r="I21" s="166" t="inlineStr">
        <is>
          <t>Toyota Probox</t>
        </is>
      </c>
      <c r="J21" s="166" t="inlineStr">
        <is>
          <t>07XX-XXX-XXX</t>
        </is>
      </c>
    </row>
    <row r="22" ht="15" customHeight="1" s="122">
      <c r="A22" s="163" t="n">
        <v>19</v>
      </c>
      <c r="B22" s="164" t="inlineStr">
        <is>
          <t>KBB 118Q</t>
        </is>
      </c>
      <c r="C22" s="163" t="inlineStr">
        <is>
          <t>KBB 118Q</t>
        </is>
      </c>
      <c r="D22" s="165" t="inlineStr">
        <is>
          <t>Driver_19</t>
        </is>
      </c>
      <c r="E22" s="163" t="inlineStr">
        <is>
          <t>ABM</t>
        </is>
      </c>
      <c r="F22" s="163" t="inlineStr">
        <is>
          <t>Territory_03</t>
        </is>
      </c>
      <c r="G22" s="165" t="inlineStr">
        <is>
          <t>Territory_24</t>
        </is>
      </c>
      <c r="H22" s="163" t="inlineStr">
        <is>
          <t>Toyota Probox</t>
        </is>
      </c>
      <c r="I22" s="163" t="inlineStr">
        <is>
          <t>Toyota Probox</t>
        </is>
      </c>
      <c r="J22" s="163" t="inlineStr">
        <is>
          <t>07XX-XXX-XXX</t>
        </is>
      </c>
    </row>
    <row r="23" ht="15" customHeight="1" s="122">
      <c r="A23" s="166" t="n">
        <v>20</v>
      </c>
      <c r="B23" s="167" t="inlineStr">
        <is>
          <t>KBB 119Q</t>
        </is>
      </c>
      <c r="C23" s="166" t="inlineStr">
        <is>
          <t>KBB 119Q</t>
        </is>
      </c>
      <c r="D23" s="168" t="inlineStr">
        <is>
          <t>Driver_20</t>
        </is>
      </c>
      <c r="E23" s="166" t="inlineStr">
        <is>
          <t>ABM</t>
        </is>
      </c>
      <c r="F23" s="166" t="inlineStr">
        <is>
          <t>South Rift</t>
        </is>
      </c>
      <c r="G23" s="168" t="inlineStr">
        <is>
          <t>Territory_30</t>
        </is>
      </c>
      <c r="H23" s="166" t="inlineStr">
        <is>
          <t>Toyota Probox</t>
        </is>
      </c>
      <c r="I23" s="166" t="inlineStr">
        <is>
          <t>Toyota Probox</t>
        </is>
      </c>
      <c r="J23" s="166" t="inlineStr">
        <is>
          <t>07XX-XXX-XXX</t>
        </is>
      </c>
    </row>
    <row r="24" ht="15" customHeight="1" s="122">
      <c r="A24" s="163" t="n">
        <v>21</v>
      </c>
      <c r="B24" s="164" t="inlineStr">
        <is>
          <t>KBB 120Q</t>
        </is>
      </c>
      <c r="C24" s="163" t="inlineStr">
        <is>
          <t>KBB 120Q</t>
        </is>
      </c>
      <c r="D24" s="165" t="inlineStr">
        <is>
          <t>Driver_21</t>
        </is>
      </c>
      <c r="E24" s="163" t="inlineStr">
        <is>
          <t>ABM</t>
        </is>
      </c>
      <c r="F24" s="163" t="inlineStr">
        <is>
          <t>Territory_25</t>
        </is>
      </c>
      <c r="G24" s="165" t="inlineStr">
        <is>
          <t>Territory_25</t>
        </is>
      </c>
      <c r="H24" s="163" t="inlineStr">
        <is>
          <t>Toyota Probox</t>
        </is>
      </c>
      <c r="I24" s="163" t="inlineStr">
        <is>
          <t>Toyota Probox</t>
        </is>
      </c>
      <c r="J24" s="163" t="inlineStr">
        <is>
          <t>07XX-XXX-XXX</t>
        </is>
      </c>
    </row>
    <row r="25" ht="15" customHeight="1" s="122">
      <c r="A25" s="166" t="n">
        <v>22</v>
      </c>
      <c r="B25" s="167" t="inlineStr">
        <is>
          <t>KBB 121Q</t>
        </is>
      </c>
      <c r="C25" s="166" t="inlineStr">
        <is>
          <t>KBB 121Q</t>
        </is>
      </c>
      <c r="D25" s="168" t="inlineStr">
        <is>
          <t>Driver_22</t>
        </is>
      </c>
      <c r="E25" s="166" t="inlineStr">
        <is>
          <t>ABM</t>
        </is>
      </c>
      <c r="F25" s="166" t="inlineStr">
        <is>
          <t>North Rift</t>
        </is>
      </c>
      <c r="G25" s="168" t="inlineStr">
        <is>
          <t>Territory_05</t>
        </is>
      </c>
      <c r="H25" s="166" t="inlineStr">
        <is>
          <t>Toyota Probox</t>
        </is>
      </c>
      <c r="I25" s="166" t="inlineStr">
        <is>
          <t>Toyota Probox</t>
        </is>
      </c>
      <c r="J25" s="166" t="inlineStr">
        <is>
          <t>07XX-XXX-XXX</t>
        </is>
      </c>
    </row>
    <row r="26" ht="15" customHeight="1" s="122">
      <c r="A26" s="163" t="n">
        <v>23</v>
      </c>
      <c r="B26" s="164" t="inlineStr">
        <is>
          <t>KBB 122Q</t>
        </is>
      </c>
      <c r="C26" s="163" t="inlineStr">
        <is>
          <t>KBB 122Q</t>
        </is>
      </c>
      <c r="D26" s="165" t="inlineStr">
        <is>
          <t>Driver_23</t>
        </is>
      </c>
      <c r="E26" s="163" t="inlineStr">
        <is>
          <t>ABM</t>
        </is>
      </c>
      <c r="F26" s="163" t="inlineStr">
        <is>
          <t>Territory_42</t>
        </is>
      </c>
      <c r="G26" s="165" t="inlineStr">
        <is>
          <t>Territory_08</t>
        </is>
      </c>
      <c r="H26" s="163" t="inlineStr">
        <is>
          <t>Toyota Probox</t>
        </is>
      </c>
      <c r="I26" s="163" t="inlineStr">
        <is>
          <t>Toyota Probox</t>
        </is>
      </c>
      <c r="J26" s="163" t="inlineStr">
        <is>
          <t>07XX-XXX-XXX</t>
        </is>
      </c>
    </row>
    <row r="27" ht="15" customHeight="1" s="122">
      <c r="A27" s="166" t="n">
        <v>24</v>
      </c>
      <c r="B27" s="167" t="inlineStr">
        <is>
          <t>KBB 123Q</t>
        </is>
      </c>
      <c r="C27" s="166" t="inlineStr">
        <is>
          <t>KBB 123Q</t>
        </is>
      </c>
      <c r="D27" s="168" t="inlineStr">
        <is>
          <t>Driver_24</t>
        </is>
      </c>
      <c r="E27" s="166" t="inlineStr">
        <is>
          <t>ABM</t>
        </is>
      </c>
      <c r="F27" s="166" t="inlineStr">
        <is>
          <t>North Rift</t>
        </is>
      </c>
      <c r="G27" s="168" t="inlineStr">
        <is>
          <t>Territory_05</t>
        </is>
      </c>
      <c r="H27" s="166" t="inlineStr">
        <is>
          <t>Toyota Probox</t>
        </is>
      </c>
      <c r="I27" s="166" t="inlineStr">
        <is>
          <t>Toyota Probox</t>
        </is>
      </c>
      <c r="J27" s="166" t="inlineStr">
        <is>
          <t>07XX-XXX-XXX</t>
        </is>
      </c>
    </row>
    <row r="28" ht="15" customHeight="1" s="122">
      <c r="A28" s="163" t="n">
        <v>25</v>
      </c>
      <c r="B28" s="164" t="inlineStr">
        <is>
          <t>KBB 124Q</t>
        </is>
      </c>
      <c r="C28" s="163" t="inlineStr">
        <is>
          <t>KBB 124Q</t>
        </is>
      </c>
      <c r="D28" s="165" t="inlineStr">
        <is>
          <t>Driver_25</t>
        </is>
      </c>
      <c r="E28" s="163" t="inlineStr">
        <is>
          <t>ABM</t>
        </is>
      </c>
      <c r="F28" s="163" t="inlineStr">
        <is>
          <t>Mountain</t>
        </is>
      </c>
      <c r="G28" s="165" t="inlineStr">
        <is>
          <t>Territory_34</t>
        </is>
      </c>
      <c r="H28" s="163" t="inlineStr">
        <is>
          <t>Toyota Probox</t>
        </is>
      </c>
      <c r="I28" s="163" t="inlineStr">
        <is>
          <t>Toyota Probox</t>
        </is>
      </c>
      <c r="J28" s="163" t="inlineStr">
        <is>
          <t>07XX-XXX-XXX</t>
        </is>
      </c>
    </row>
    <row r="29" ht="15" customHeight="1" s="122">
      <c r="A29" s="166" t="n">
        <v>26</v>
      </c>
      <c r="B29" s="167" t="inlineStr">
        <is>
          <t>KBB 125Q</t>
        </is>
      </c>
      <c r="C29" s="166" t="inlineStr">
        <is>
          <t>KBB 125Q</t>
        </is>
      </c>
      <c r="D29" s="168" t="inlineStr">
        <is>
          <t>Driver_26</t>
        </is>
      </c>
      <c r="E29" s="166" t="inlineStr">
        <is>
          <t>ABM</t>
        </is>
      </c>
      <c r="F29" s="166" t="inlineStr">
        <is>
          <t>Mountain</t>
        </is>
      </c>
      <c r="G29" s="168" t="inlineStr">
        <is>
          <t>Territory_41</t>
        </is>
      </c>
      <c r="H29" s="166" t="inlineStr">
        <is>
          <t>Toyota Probox</t>
        </is>
      </c>
      <c r="I29" s="166" t="inlineStr">
        <is>
          <t>Toyota Probox</t>
        </is>
      </c>
      <c r="J29" s="166" t="inlineStr">
        <is>
          <t>07XX-XXX-XXX</t>
        </is>
      </c>
    </row>
    <row r="30" ht="15" customHeight="1" s="122">
      <c r="A30" s="163" t="n">
        <v>27</v>
      </c>
      <c r="B30" s="164" t="inlineStr">
        <is>
          <t>KBB 126Q</t>
        </is>
      </c>
      <c r="C30" s="163" t="inlineStr">
        <is>
          <t>KBB 126Q</t>
        </is>
      </c>
      <c r="D30" s="165" t="inlineStr">
        <is>
          <t>Driver_27</t>
        </is>
      </c>
      <c r="E30" s="163" t="inlineStr">
        <is>
          <t>ABM</t>
        </is>
      </c>
      <c r="F30" s="163" t="inlineStr">
        <is>
          <t>Mountain</t>
        </is>
      </c>
      <c r="G30" s="165" t="inlineStr">
        <is>
          <t>Territory_06</t>
        </is>
      </c>
      <c r="H30" s="163" t="inlineStr">
        <is>
          <t>Toyota Probox</t>
        </is>
      </c>
      <c r="I30" s="163" t="inlineStr">
        <is>
          <t>Toyota Probox</t>
        </is>
      </c>
      <c r="J30" s="163" t="inlineStr">
        <is>
          <t>07XX-XXX-XXX</t>
        </is>
      </c>
    </row>
    <row r="31" ht="15" customHeight="1" s="122">
      <c r="A31" s="166" t="n">
        <v>28</v>
      </c>
      <c r="B31" s="167" t="inlineStr">
        <is>
          <t>KBB 127Q</t>
        </is>
      </c>
      <c r="C31" s="166" t="inlineStr">
        <is>
          <t>KBB 127Q</t>
        </is>
      </c>
      <c r="D31" s="168" t="inlineStr">
        <is>
          <t>Driver_28</t>
        </is>
      </c>
      <c r="E31" s="166" t="inlineStr">
        <is>
          <t>ABM</t>
        </is>
      </c>
      <c r="F31" s="166" t="inlineStr">
        <is>
          <t>Territory_03</t>
        </is>
      </c>
      <c r="G31" s="168" t="inlineStr">
        <is>
          <t>Territory_38</t>
        </is>
      </c>
      <c r="H31" s="166" t="inlineStr">
        <is>
          <t>Toyota Probox</t>
        </is>
      </c>
      <c r="I31" s="166" t="inlineStr">
        <is>
          <t>Toyota Probox</t>
        </is>
      </c>
      <c r="J31" s="166" t="inlineStr">
        <is>
          <t>07XX-XXX-XXX</t>
        </is>
      </c>
    </row>
    <row r="32" ht="15" customHeight="1" s="122">
      <c r="A32" s="163" t="n">
        <v>29</v>
      </c>
      <c r="B32" s="164" t="inlineStr">
        <is>
          <t>KBB 128Q</t>
        </is>
      </c>
      <c r="C32" s="163" t="inlineStr">
        <is>
          <t>KBB 128Q</t>
        </is>
      </c>
      <c r="D32" s="165" t="inlineStr">
        <is>
          <t>Driver_29</t>
        </is>
      </c>
      <c r="E32" s="163" t="inlineStr">
        <is>
          <t>ABM</t>
        </is>
      </c>
      <c r="F32" s="163" t="inlineStr">
        <is>
          <t>North Rift</t>
        </is>
      </c>
      <c r="G32" s="165" t="inlineStr">
        <is>
          <t>Territory_05</t>
        </is>
      </c>
      <c r="H32" s="163" t="inlineStr">
        <is>
          <t>Toyota Probox</t>
        </is>
      </c>
      <c r="I32" s="163" t="inlineStr">
        <is>
          <t>Toyota Probox</t>
        </is>
      </c>
      <c r="J32" s="163" t="inlineStr">
        <is>
          <t>07XX-XXX-XXX</t>
        </is>
      </c>
    </row>
    <row r="33" ht="15" customHeight="1" s="122">
      <c r="A33" s="166" t="n">
        <v>30</v>
      </c>
      <c r="B33" s="167" t="inlineStr">
        <is>
          <t>KAAB 200Z</t>
        </is>
      </c>
      <c r="C33" s="166" t="inlineStr">
        <is>
          <t>KAAB 200Z</t>
        </is>
      </c>
      <c r="D33" s="168" t="inlineStr">
        <is>
          <t>Driver_30</t>
        </is>
      </c>
      <c r="E33" s="166" t="inlineStr">
        <is>
          <t>TBE</t>
        </is>
      </c>
      <c r="F33" s="166" t="inlineStr">
        <is>
          <t>Territory_03</t>
        </is>
      </c>
      <c r="G33" s="168" t="inlineStr">
        <is>
          <t>Territory_40</t>
        </is>
      </c>
      <c r="H33" s="166" t="inlineStr">
        <is>
          <t>Honda</t>
        </is>
      </c>
      <c r="I33" s="166" t="inlineStr">
        <is>
          <t>Honda</t>
        </is>
      </c>
      <c r="J33" s="166" t="inlineStr">
        <is>
          <t>07XX-XXX-XXX</t>
        </is>
      </c>
    </row>
    <row r="34" ht="15" customHeight="1" s="122">
      <c r="A34" s="163" t="n">
        <v>31</v>
      </c>
      <c r="B34" s="164" t="inlineStr">
        <is>
          <t>KAAC 300C</t>
        </is>
      </c>
      <c r="C34" s="163" t="inlineStr">
        <is>
          <t>KAAC 300C</t>
        </is>
      </c>
      <c r="D34" s="165" t="inlineStr">
        <is>
          <t>Driver_31</t>
        </is>
      </c>
      <c r="E34" s="163" t="inlineStr">
        <is>
          <t>TBE</t>
        </is>
      </c>
      <c r="F34" s="163" t="inlineStr">
        <is>
          <t>Territory_03</t>
        </is>
      </c>
      <c r="G34" s="165" t="inlineStr">
        <is>
          <t>Territory_44</t>
        </is>
      </c>
      <c r="H34" s="163" t="inlineStr">
        <is>
          <t>Honda</t>
        </is>
      </c>
      <c r="I34" s="163" t="inlineStr">
        <is>
          <t>Honda</t>
        </is>
      </c>
      <c r="J34" s="163" t="inlineStr">
        <is>
          <t>07XX-XXX-XXX</t>
        </is>
      </c>
    </row>
    <row r="35" ht="15" customHeight="1" s="122">
      <c r="A35" s="166" t="n">
        <v>32</v>
      </c>
      <c r="B35" s="167" t="inlineStr">
        <is>
          <t>KAAC 301C</t>
        </is>
      </c>
      <c r="C35" s="166" t="inlineStr">
        <is>
          <t>KAAC 301C</t>
        </is>
      </c>
      <c r="D35" s="168" t="inlineStr">
        <is>
          <t>Driver_32</t>
        </is>
      </c>
      <c r="E35" s="166" t="inlineStr">
        <is>
          <t>TBE</t>
        </is>
      </c>
      <c r="F35" s="166" t="inlineStr">
        <is>
          <t>Territory_03</t>
        </is>
      </c>
      <c r="G35" s="168" t="inlineStr">
        <is>
          <t>Territory_09</t>
        </is>
      </c>
      <c r="H35" s="166" t="inlineStr">
        <is>
          <t>Honda</t>
        </is>
      </c>
      <c r="I35" s="166" t="inlineStr">
        <is>
          <t>Honda</t>
        </is>
      </c>
      <c r="J35" s="166" t="inlineStr">
        <is>
          <t>07XX-XXX-XXX</t>
        </is>
      </c>
    </row>
    <row r="36" ht="15" customHeight="1" s="122">
      <c r="A36" s="163" t="n">
        <v>33</v>
      </c>
      <c r="B36" s="164" t="inlineStr">
        <is>
          <t>KAAB 201Z</t>
        </is>
      </c>
      <c r="C36" s="163" t="inlineStr">
        <is>
          <t>KAAB 201Z</t>
        </is>
      </c>
      <c r="D36" s="165" t="inlineStr">
        <is>
          <t>Driver_33</t>
        </is>
      </c>
      <c r="E36" s="163" t="inlineStr">
        <is>
          <t>TBE</t>
        </is>
      </c>
      <c r="F36" s="163" t="inlineStr">
        <is>
          <t>Territory_03</t>
        </is>
      </c>
      <c r="G36" s="165" t="inlineStr">
        <is>
          <t>Territory_17</t>
        </is>
      </c>
      <c r="H36" s="163" t="inlineStr">
        <is>
          <t>Honda</t>
        </is>
      </c>
      <c r="I36" s="163" t="inlineStr">
        <is>
          <t>Honda</t>
        </is>
      </c>
      <c r="J36" s="163" t="inlineStr">
        <is>
          <t>07XX-XXX-XXX</t>
        </is>
      </c>
    </row>
    <row r="37" ht="15" customHeight="1" s="122">
      <c r="A37" s="166" t="n">
        <v>34</v>
      </c>
      <c r="B37" s="167" t="inlineStr">
        <is>
          <t>KAAB 202Z</t>
        </is>
      </c>
      <c r="C37" s="166" t="inlineStr">
        <is>
          <t>KAAB 202Z</t>
        </is>
      </c>
      <c r="D37" s="168" t="inlineStr">
        <is>
          <t>Driver_34</t>
        </is>
      </c>
      <c r="E37" s="166" t="inlineStr">
        <is>
          <t>TBE</t>
        </is>
      </c>
      <c r="F37" s="166" t="inlineStr">
        <is>
          <t>Territory_03</t>
        </is>
      </c>
      <c r="G37" s="168" t="inlineStr">
        <is>
          <t>Territory_39</t>
        </is>
      </c>
      <c r="H37" s="166" t="inlineStr">
        <is>
          <t>Honda</t>
        </is>
      </c>
      <c r="I37" s="166" t="inlineStr">
        <is>
          <t>Honda</t>
        </is>
      </c>
      <c r="J37" s="166" t="inlineStr">
        <is>
          <t>07XX-XXX-XXX</t>
        </is>
      </c>
    </row>
    <row r="38" ht="15" customHeight="1" s="122">
      <c r="A38" s="163" t="n">
        <v>35</v>
      </c>
      <c r="B38" s="164" t="inlineStr">
        <is>
          <t>KAAC 302C</t>
        </is>
      </c>
      <c r="C38" s="163" t="inlineStr">
        <is>
          <t>KAAC 302C</t>
        </is>
      </c>
      <c r="D38" s="165" t="inlineStr">
        <is>
          <t>Driver_35</t>
        </is>
      </c>
      <c r="E38" s="163" t="inlineStr">
        <is>
          <t>TBE</t>
        </is>
      </c>
      <c r="F38" s="163" t="inlineStr">
        <is>
          <t>Territory_25</t>
        </is>
      </c>
      <c r="G38" s="165" t="inlineStr">
        <is>
          <t>Territory_13</t>
        </is>
      </c>
      <c r="H38" s="163" t="inlineStr">
        <is>
          <t>Honda</t>
        </is>
      </c>
      <c r="I38" s="163" t="inlineStr">
        <is>
          <t>Honda</t>
        </is>
      </c>
      <c r="J38" s="163" t="inlineStr">
        <is>
          <t>07XX-XXX-XXX</t>
        </is>
      </c>
    </row>
    <row r="39" ht="15" customHeight="1" s="122">
      <c r="A39" s="166" t="n">
        <v>36</v>
      </c>
      <c r="B39" s="167" t="inlineStr">
        <is>
          <t>KAAC 303C</t>
        </is>
      </c>
      <c r="C39" s="166" t="inlineStr">
        <is>
          <t>KAAC 303C</t>
        </is>
      </c>
      <c r="D39" s="168" t="inlineStr">
        <is>
          <t>Driver_36</t>
        </is>
      </c>
      <c r="E39" s="166" t="inlineStr">
        <is>
          <t>TBE</t>
        </is>
      </c>
      <c r="F39" s="166" t="inlineStr">
        <is>
          <t>Territory_25</t>
        </is>
      </c>
      <c r="G39" s="168" t="inlineStr">
        <is>
          <t>Territory_36</t>
        </is>
      </c>
      <c r="H39" s="166" t="inlineStr">
        <is>
          <t>Honda</t>
        </is>
      </c>
      <c r="I39" s="166" t="inlineStr">
        <is>
          <t>Honda</t>
        </is>
      </c>
      <c r="J39" s="166" t="inlineStr">
        <is>
          <t>07XX-XXX-XXX</t>
        </is>
      </c>
    </row>
    <row r="40" ht="15" customHeight="1" s="122">
      <c r="A40" s="163" t="n">
        <v>37</v>
      </c>
      <c r="B40" s="164" t="inlineStr">
        <is>
          <t>KAAB 203Z</t>
        </is>
      </c>
      <c r="C40" s="163" t="inlineStr">
        <is>
          <t>KAAB 203Z</t>
        </is>
      </c>
      <c r="D40" s="165" t="inlineStr">
        <is>
          <t>Driver_37</t>
        </is>
      </c>
      <c r="E40" s="163" t="inlineStr">
        <is>
          <t>TBE</t>
        </is>
      </c>
      <c r="F40" s="163" t="inlineStr">
        <is>
          <t>Territory_25</t>
        </is>
      </c>
      <c r="G40" s="165" t="inlineStr">
        <is>
          <t>Territory_33</t>
        </is>
      </c>
      <c r="H40" s="163" t="inlineStr">
        <is>
          <t>Honda</t>
        </is>
      </c>
      <c r="I40" s="163" t="inlineStr">
        <is>
          <t>Honda</t>
        </is>
      </c>
      <c r="J40" s="163" t="inlineStr">
        <is>
          <t>07XX-XXX-XXX</t>
        </is>
      </c>
    </row>
    <row r="41" ht="15" customHeight="1" s="122">
      <c r="A41" s="166" t="n">
        <v>38</v>
      </c>
      <c r="B41" s="167" t="inlineStr">
        <is>
          <t>KAAC 304C</t>
        </is>
      </c>
      <c r="C41" s="166" t="inlineStr">
        <is>
          <t>KAAC 304C</t>
        </is>
      </c>
      <c r="D41" s="168" t="inlineStr">
        <is>
          <t>Driver_38</t>
        </is>
      </c>
      <c r="E41" s="166" t="inlineStr">
        <is>
          <t>TBE</t>
        </is>
      </c>
      <c r="F41" s="166" t="inlineStr">
        <is>
          <t>Territory_25</t>
        </is>
      </c>
      <c r="G41" s="168" t="inlineStr">
        <is>
          <t>Territory_07</t>
        </is>
      </c>
      <c r="H41" s="166" t="inlineStr">
        <is>
          <t>Honda</t>
        </is>
      </c>
      <c r="I41" s="166" t="inlineStr">
        <is>
          <t>Honda</t>
        </is>
      </c>
      <c r="J41" s="166" t="inlineStr">
        <is>
          <t>07XX-XXX-XXX</t>
        </is>
      </c>
    </row>
    <row r="42" ht="15" customHeight="1" s="122">
      <c r="A42" s="163" t="n">
        <v>39</v>
      </c>
      <c r="B42" s="164" t="inlineStr">
        <is>
          <t>KAAB 204Z</t>
        </is>
      </c>
      <c r="C42" s="163" t="inlineStr">
        <is>
          <t>KAAB 204Z</t>
        </is>
      </c>
      <c r="D42" s="165" t="inlineStr">
        <is>
          <t>Driver_39</t>
        </is>
      </c>
      <c r="E42" s="163" t="inlineStr">
        <is>
          <t>TBE</t>
        </is>
      </c>
      <c r="F42" s="163" t="inlineStr">
        <is>
          <t>North Rift</t>
        </is>
      </c>
      <c r="G42" s="165" t="inlineStr">
        <is>
          <t>Territory_11</t>
        </is>
      </c>
      <c r="H42" s="163" t="inlineStr">
        <is>
          <t>Honda</t>
        </is>
      </c>
      <c r="I42" s="163" t="inlineStr">
        <is>
          <t>Honda</t>
        </is>
      </c>
      <c r="J42" s="163" t="inlineStr">
        <is>
          <t>07XX-XXX-XXX</t>
        </is>
      </c>
    </row>
    <row r="43" ht="15" customHeight="1" s="122">
      <c r="A43" s="166" t="n">
        <v>40</v>
      </c>
      <c r="B43" s="167" t="inlineStr">
        <is>
          <t>KAAB 205Z</t>
        </is>
      </c>
      <c r="C43" s="166" t="inlineStr">
        <is>
          <t>KAAB 205Z</t>
        </is>
      </c>
      <c r="D43" s="168" t="inlineStr">
        <is>
          <t>Driver_40</t>
        </is>
      </c>
      <c r="E43" s="166" t="inlineStr">
        <is>
          <t>TBE</t>
        </is>
      </c>
      <c r="F43" s="166" t="inlineStr">
        <is>
          <t>North Rift</t>
        </is>
      </c>
      <c r="G43" s="168" t="inlineStr">
        <is>
          <t>Territory_29</t>
        </is>
      </c>
      <c r="H43" s="166" t="inlineStr">
        <is>
          <t>Honda</t>
        </is>
      </c>
      <c r="I43" s="166" t="inlineStr">
        <is>
          <t>Honda</t>
        </is>
      </c>
      <c r="J43" s="166" t="inlineStr">
        <is>
          <t>07XX-XXX-XXX</t>
        </is>
      </c>
    </row>
    <row r="44" ht="15" customHeight="1" s="122">
      <c r="A44" s="163" t="n">
        <v>41</v>
      </c>
      <c r="B44" s="164" t="inlineStr">
        <is>
          <t>KAAC 305C</t>
        </is>
      </c>
      <c r="C44" s="163" t="inlineStr">
        <is>
          <t>KAAC 305C</t>
        </is>
      </c>
      <c r="D44" s="165" t="inlineStr">
        <is>
          <t>Driver_41</t>
        </is>
      </c>
      <c r="E44" s="163" t="inlineStr">
        <is>
          <t>TBE</t>
        </is>
      </c>
      <c r="F44" s="163" t="inlineStr">
        <is>
          <t>North Rift</t>
        </is>
      </c>
      <c r="G44" s="165" t="inlineStr">
        <is>
          <t>Territory_18</t>
        </is>
      </c>
      <c r="H44" s="163" t="inlineStr">
        <is>
          <t>Honda</t>
        </is>
      </c>
      <c r="I44" s="163" t="inlineStr">
        <is>
          <t>Honda</t>
        </is>
      </c>
      <c r="J44" s="163" t="inlineStr">
        <is>
          <t>07XX-XXX-XXX</t>
        </is>
      </c>
    </row>
    <row r="45" ht="15" customHeight="1" s="122">
      <c r="A45" s="166" t="n">
        <v>42</v>
      </c>
      <c r="B45" s="167" t="inlineStr">
        <is>
          <t>KAAB 206Z</t>
        </is>
      </c>
      <c r="C45" s="166" t="inlineStr">
        <is>
          <t>KAAB 206Z</t>
        </is>
      </c>
      <c r="D45" s="168" t="inlineStr">
        <is>
          <t>Driver_42</t>
        </is>
      </c>
      <c r="E45" s="166" t="inlineStr">
        <is>
          <t>TBE</t>
        </is>
      </c>
      <c r="F45" s="166" t="inlineStr">
        <is>
          <t>North Rift</t>
        </is>
      </c>
      <c r="G45" s="168" t="inlineStr">
        <is>
          <t>Territory_10</t>
        </is>
      </c>
      <c r="H45" s="166" t="inlineStr">
        <is>
          <t>Honda</t>
        </is>
      </c>
      <c r="I45" s="166" t="inlineStr">
        <is>
          <t>Honda</t>
        </is>
      </c>
      <c r="J45" s="166" t="inlineStr">
        <is>
          <t>07XX-XXX-XXX</t>
        </is>
      </c>
    </row>
    <row r="46" ht="15" customHeight="1" s="122">
      <c r="A46" s="163" t="n">
        <v>43</v>
      </c>
      <c r="B46" s="164" t="inlineStr">
        <is>
          <t>KAAC 306C</t>
        </is>
      </c>
      <c r="C46" s="163" t="inlineStr">
        <is>
          <t>KAAC 306C</t>
        </is>
      </c>
      <c r="D46" s="165" t="inlineStr">
        <is>
          <t>Driver_43</t>
        </is>
      </c>
      <c r="E46" s="163" t="inlineStr">
        <is>
          <t>TBE</t>
        </is>
      </c>
      <c r="F46" s="163" t="inlineStr">
        <is>
          <t>North Rift</t>
        </is>
      </c>
      <c r="G46" s="165" t="inlineStr">
        <is>
          <t>Territory_04</t>
        </is>
      </c>
      <c r="H46" s="163" t="inlineStr">
        <is>
          <t>Honda</t>
        </is>
      </c>
      <c r="I46" s="163" t="inlineStr">
        <is>
          <t>Honda</t>
        </is>
      </c>
      <c r="J46" s="163" t="inlineStr">
        <is>
          <t>07XX-XXX-XXX</t>
        </is>
      </c>
    </row>
    <row r="47" ht="15" customHeight="1" s="122">
      <c r="A47" s="166" t="n">
        <v>44</v>
      </c>
      <c r="B47" s="167" t="inlineStr">
        <is>
          <t>KAAC 307C</t>
        </is>
      </c>
      <c r="C47" s="166" t="inlineStr">
        <is>
          <t>KAAC 307C</t>
        </is>
      </c>
      <c r="D47" s="168" t="inlineStr">
        <is>
          <t>Driver_44</t>
        </is>
      </c>
      <c r="E47" s="166" t="inlineStr">
        <is>
          <t>TBE</t>
        </is>
      </c>
      <c r="F47" s="166" t="inlineStr">
        <is>
          <t>North Rift</t>
        </is>
      </c>
      <c r="G47" s="168" t="inlineStr">
        <is>
          <t>Territory_16</t>
        </is>
      </c>
      <c r="H47" s="166" t="inlineStr">
        <is>
          <t>Honda</t>
        </is>
      </c>
      <c r="I47" s="166" t="inlineStr">
        <is>
          <t>Honda</t>
        </is>
      </c>
      <c r="J47" s="166" t="inlineStr">
        <is>
          <t>07XX-XXX-XXX</t>
        </is>
      </c>
    </row>
    <row r="48" ht="15" customHeight="1" s="122">
      <c r="A48" s="163" t="n">
        <v>45</v>
      </c>
      <c r="B48" s="164" t="inlineStr">
        <is>
          <t>KAAC 308C</t>
        </is>
      </c>
      <c r="C48" s="163" t="inlineStr">
        <is>
          <t>KAAC 308C</t>
        </is>
      </c>
      <c r="D48" s="165" t="inlineStr">
        <is>
          <t>Driver_45</t>
        </is>
      </c>
      <c r="E48" s="163" t="inlineStr">
        <is>
          <t>TBE</t>
        </is>
      </c>
      <c r="F48" s="163" t="inlineStr">
        <is>
          <t>North Rift</t>
        </is>
      </c>
      <c r="G48" s="165" t="inlineStr">
        <is>
          <t>Territory_23</t>
        </is>
      </c>
      <c r="H48" s="163" t="inlineStr">
        <is>
          <t>Honda</t>
        </is>
      </c>
      <c r="I48" s="163" t="inlineStr">
        <is>
          <t>Honda</t>
        </is>
      </c>
      <c r="J48" s="163" t="inlineStr">
        <is>
          <t>07XX-XXX-XXX</t>
        </is>
      </c>
    </row>
    <row r="49" ht="15" customHeight="1" s="122">
      <c r="A49" s="166" t="n">
        <v>46</v>
      </c>
      <c r="B49" s="167" t="inlineStr">
        <is>
          <t>KAAB 207Z</t>
        </is>
      </c>
      <c r="C49" s="166" t="inlineStr">
        <is>
          <t>KAAB 207Z</t>
        </is>
      </c>
      <c r="D49" s="168" t="inlineStr">
        <is>
          <t>Driver_46</t>
        </is>
      </c>
      <c r="E49" s="166" t="inlineStr">
        <is>
          <t>TBE</t>
        </is>
      </c>
      <c r="F49" s="166" t="inlineStr">
        <is>
          <t>North Rift</t>
        </is>
      </c>
      <c r="G49" s="168" t="inlineStr">
        <is>
          <t>Territory_28</t>
        </is>
      </c>
      <c r="H49" s="166" t="inlineStr">
        <is>
          <t>Honda</t>
        </is>
      </c>
      <c r="I49" s="166" t="inlineStr">
        <is>
          <t>Honda</t>
        </is>
      </c>
      <c r="J49" s="166" t="inlineStr">
        <is>
          <t>07XX-XXX-XXX</t>
        </is>
      </c>
    </row>
    <row r="50" ht="15" customHeight="1" s="122">
      <c r="A50" s="163" t="n">
        <v>47</v>
      </c>
      <c r="B50" s="164" t="inlineStr">
        <is>
          <t>KAAC 309C</t>
        </is>
      </c>
      <c r="C50" s="163" t="inlineStr">
        <is>
          <t>KAAC 309C</t>
        </is>
      </c>
      <c r="D50" s="165" t="inlineStr">
        <is>
          <t>Driver_47</t>
        </is>
      </c>
      <c r="E50" s="163" t="inlineStr">
        <is>
          <t>TBE</t>
        </is>
      </c>
      <c r="F50" s="163" t="inlineStr">
        <is>
          <t>Nyanza</t>
        </is>
      </c>
      <c r="G50" s="165" t="inlineStr">
        <is>
          <t>Territory_43</t>
        </is>
      </c>
      <c r="H50" s="163" t="inlineStr">
        <is>
          <t>Honda</t>
        </is>
      </c>
      <c r="I50" s="163" t="inlineStr">
        <is>
          <t>Honda</t>
        </is>
      </c>
      <c r="J50" s="163" t="inlineStr">
        <is>
          <t>07XX-XXX-XXX</t>
        </is>
      </c>
    </row>
    <row r="51" ht="15" customHeight="1" s="122">
      <c r="A51" s="166" t="n">
        <v>48</v>
      </c>
      <c r="B51" s="167" t="inlineStr">
        <is>
          <t>KAAC 310C</t>
        </is>
      </c>
      <c r="C51" s="166" t="inlineStr">
        <is>
          <t>KAAC 310C</t>
        </is>
      </c>
      <c r="D51" s="168" t="inlineStr">
        <is>
          <t>Driver_48</t>
        </is>
      </c>
      <c r="E51" s="166" t="inlineStr">
        <is>
          <t>TBE</t>
        </is>
      </c>
      <c r="F51" s="166" t="inlineStr">
        <is>
          <t>South Rift</t>
        </is>
      </c>
      <c r="G51" s="168" t="inlineStr">
        <is>
          <t>Territory_12</t>
        </is>
      </c>
      <c r="H51" s="166" t="inlineStr">
        <is>
          <t>Honda</t>
        </is>
      </c>
      <c r="I51" s="166" t="inlineStr">
        <is>
          <t>Honda</t>
        </is>
      </c>
      <c r="J51" s="166" t="inlineStr">
        <is>
          <t>07XX-XXX-XXX</t>
        </is>
      </c>
    </row>
    <row r="52" ht="15" customHeight="1" s="122">
      <c r="A52" s="163" t="n">
        <v>49</v>
      </c>
      <c r="B52" s="164" t="inlineStr">
        <is>
          <t>KAAC 311C</t>
        </is>
      </c>
      <c r="C52" s="163" t="inlineStr">
        <is>
          <t>KAAC 311C</t>
        </is>
      </c>
      <c r="D52" s="165" t="inlineStr">
        <is>
          <t>Driver_49</t>
        </is>
      </c>
      <c r="E52" s="163" t="inlineStr">
        <is>
          <t>TBE</t>
        </is>
      </c>
      <c r="F52" s="163" t="inlineStr">
        <is>
          <t>South Rift</t>
        </is>
      </c>
      <c r="G52" s="165" t="inlineStr">
        <is>
          <t>Territory_31</t>
        </is>
      </c>
      <c r="H52" s="163" t="inlineStr">
        <is>
          <t>Honda</t>
        </is>
      </c>
      <c r="I52" s="163" t="inlineStr">
        <is>
          <t>Honda</t>
        </is>
      </c>
      <c r="J52" s="163" t="inlineStr">
        <is>
          <t>07XX-XXX-XXX</t>
        </is>
      </c>
    </row>
    <row r="53" ht="15" customHeight="1" s="122">
      <c r="A53" s="166" t="n">
        <v>50</v>
      </c>
      <c r="B53" s="167" t="inlineStr">
        <is>
          <t>KAAC 312C</t>
        </is>
      </c>
      <c r="C53" s="166" t="inlineStr">
        <is>
          <t>KAAC 312C</t>
        </is>
      </c>
      <c r="D53" s="168" t="inlineStr">
        <is>
          <t>Driver_50</t>
        </is>
      </c>
      <c r="E53" s="166" t="inlineStr">
        <is>
          <t>TBE</t>
        </is>
      </c>
      <c r="F53" s="166" t="inlineStr">
        <is>
          <t>South Rift</t>
        </is>
      </c>
      <c r="G53" s="168" t="inlineStr">
        <is>
          <t>Territory_27</t>
        </is>
      </c>
      <c r="H53" s="166" t="inlineStr">
        <is>
          <t>Honda</t>
        </is>
      </c>
      <c r="I53" s="166" t="inlineStr">
        <is>
          <t>Honda</t>
        </is>
      </c>
      <c r="J53" s="166" t="inlineStr">
        <is>
          <t>07XX-XXX-XXX</t>
        </is>
      </c>
    </row>
    <row r="54" ht="15" customHeight="1" s="122">
      <c r="A54" s="163" t="n">
        <v>51</v>
      </c>
      <c r="B54" s="164" t="inlineStr">
        <is>
          <t>KAAB 208Z</t>
        </is>
      </c>
      <c r="C54" s="163" t="inlineStr">
        <is>
          <t>KAAB 208Z</t>
        </is>
      </c>
      <c r="D54" s="165" t="inlineStr">
        <is>
          <t>Driver_51</t>
        </is>
      </c>
      <c r="E54" s="163" t="inlineStr">
        <is>
          <t>TBE</t>
        </is>
      </c>
      <c r="F54" s="163" t="inlineStr">
        <is>
          <t>South Rift</t>
        </is>
      </c>
      <c r="G54" s="165" t="inlineStr">
        <is>
          <t>Territory_21</t>
        </is>
      </c>
      <c r="H54" s="163" t="inlineStr">
        <is>
          <t>Honda</t>
        </is>
      </c>
      <c r="I54" s="163" t="inlineStr">
        <is>
          <t>Honda</t>
        </is>
      </c>
      <c r="J54" s="163" t="inlineStr">
        <is>
          <t>07XX-XXX-XXX</t>
        </is>
      </c>
    </row>
    <row r="55" ht="15" customHeight="1" s="122">
      <c r="A55" s="166" t="n">
        <v>52</v>
      </c>
      <c r="B55" s="167" t="inlineStr">
        <is>
          <t>KAAC 313C</t>
        </is>
      </c>
      <c r="C55" s="166" t="inlineStr">
        <is>
          <t>KAAC 313C</t>
        </is>
      </c>
      <c r="D55" s="168" t="inlineStr">
        <is>
          <t>Driver_52</t>
        </is>
      </c>
      <c r="E55" s="166" t="inlineStr">
        <is>
          <t>TBE</t>
        </is>
      </c>
      <c r="F55" s="166" t="inlineStr">
        <is>
          <t>South Rift</t>
        </is>
      </c>
      <c r="G55" s="168" t="inlineStr">
        <is>
          <t>Territory_01</t>
        </is>
      </c>
      <c r="H55" s="166" t="inlineStr">
        <is>
          <t>Honda</t>
        </is>
      </c>
      <c r="I55" s="166" t="inlineStr">
        <is>
          <t>Honda</t>
        </is>
      </c>
      <c r="J55" s="166" t="inlineStr">
        <is>
          <t>07XX-XXX-XXX</t>
        </is>
      </c>
    </row>
    <row r="56" ht="15" customHeight="1" s="122">
      <c r="A56" s="163" t="n">
        <v>53</v>
      </c>
      <c r="B56" s="164" t="inlineStr">
        <is>
          <t>KAAB 209Z</t>
        </is>
      </c>
      <c r="C56" s="163" t="inlineStr">
        <is>
          <t>KAAB 209Z</t>
        </is>
      </c>
      <c r="D56" s="165" t="inlineStr">
        <is>
          <t>Driver_53</t>
        </is>
      </c>
      <c r="E56" s="163" t="inlineStr">
        <is>
          <t>TBE</t>
        </is>
      </c>
      <c r="F56" s="163" t="inlineStr">
        <is>
          <t>South Rift</t>
        </is>
      </c>
      <c r="G56" s="165" t="inlineStr">
        <is>
          <t>Territory_32</t>
        </is>
      </c>
      <c r="H56" s="163" t="inlineStr">
        <is>
          <t>Honda</t>
        </is>
      </c>
      <c r="I56" s="163" t="inlineStr">
        <is>
          <t>Honda</t>
        </is>
      </c>
      <c r="J56" s="163" t="inlineStr">
        <is>
          <t>07XX-XXX-XXX</t>
        </is>
      </c>
    </row>
    <row r="57" ht="15" customHeight="1" s="122">
      <c r="A57" s="166" t="n">
        <v>54</v>
      </c>
      <c r="B57" s="167" t="inlineStr">
        <is>
          <t>KAAC 314C</t>
        </is>
      </c>
      <c r="C57" s="166" t="inlineStr">
        <is>
          <t>KAAC 314C</t>
        </is>
      </c>
      <c r="D57" s="168" t="inlineStr">
        <is>
          <t>Driver_54</t>
        </is>
      </c>
      <c r="E57" s="166" t="inlineStr">
        <is>
          <t>TBE</t>
        </is>
      </c>
      <c r="F57" s="166" t="inlineStr">
        <is>
          <t>Territory_42</t>
        </is>
      </c>
      <c r="G57" s="168" t="inlineStr">
        <is>
          <t>Territory_02</t>
        </is>
      </c>
      <c r="H57" s="166" t="inlineStr">
        <is>
          <t>Honda</t>
        </is>
      </c>
      <c r="I57" s="166" t="inlineStr">
        <is>
          <t>Honda</t>
        </is>
      </c>
      <c r="J57" s="166" t="inlineStr">
        <is>
          <t>07XX-XXX-XXX</t>
        </is>
      </c>
    </row>
    <row r="58" ht="15" customHeight="1" s="122">
      <c r="A58" s="163" t="n">
        <v>55</v>
      </c>
      <c r="B58" s="164" t="inlineStr">
        <is>
          <t>KAAC 315C</t>
        </is>
      </c>
      <c r="C58" s="163" t="inlineStr">
        <is>
          <t>KAAC 315C</t>
        </is>
      </c>
      <c r="D58" s="165" t="inlineStr">
        <is>
          <t>Driver_55</t>
        </is>
      </c>
      <c r="E58" s="163" t="inlineStr">
        <is>
          <t>TBE</t>
        </is>
      </c>
      <c r="F58" s="163" t="inlineStr">
        <is>
          <t>Territory_42</t>
        </is>
      </c>
      <c r="G58" s="165" t="inlineStr">
        <is>
          <t>Territory_20</t>
        </is>
      </c>
      <c r="H58" s="163" t="inlineStr">
        <is>
          <t>Honda</t>
        </is>
      </c>
      <c r="I58" s="163" t="inlineStr">
        <is>
          <t>Honda</t>
        </is>
      </c>
      <c r="J58" s="163" t="inlineStr">
        <is>
          <t>07XX-XXX-XXX</t>
        </is>
      </c>
    </row>
  </sheetData>
  <autoFilter ref="A3:J59"/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4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21" min="1" max="1"/>
    <col width="24" customWidth="1" style="121" min="2" max="2"/>
    <col width="10" customWidth="1" style="121" min="3" max="3"/>
    <col width="16" customWidth="1" style="121" min="4" max="4"/>
    <col width="22" customWidth="1" style="121" min="5" max="5"/>
    <col width="14" customWidth="1" style="121" min="6" max="6"/>
    <col width="16" customWidth="1" style="121" min="7" max="7"/>
    <col width="12" customWidth="1" style="121" min="8" max="8"/>
    <col width="18" customWidth="1" style="121" min="9" max="9"/>
    <col width="16" customWidth="1" style="121" min="10" max="10"/>
    <col width="12" customWidth="1" style="121" min="11" max="12"/>
    <col width="14" customWidth="1" style="121" min="13" max="13"/>
  </cols>
  <sheetData>
    <row r="1" ht="27.75" customHeight="1" s="122">
      <c r="A1" s="160" t="inlineStr">
        <is>
          <t>📥  RAW ODOMETER — PASTE MONTHLY GPS EXPORT HERE</t>
        </is>
      </c>
    </row>
    <row r="2" ht="15.75" customHeight="1" s="122">
      <c r="A2" s="161" t="inlineStr">
        <is>
          <t>Each month: paste the full odometer report starting at row 4.  Column A auto-extracts the Reg No key from the Device name.  Do not edit column A.</t>
        </is>
      </c>
    </row>
    <row r="3" ht="21.75" customHeight="1" s="122">
      <c r="A3" s="169" t="inlineStr">
        <is>
          <t>Reg No (KEY) ← auto</t>
        </is>
      </c>
      <c r="B3" s="162" t="inlineStr">
        <is>
          <t>Device (Raw)</t>
        </is>
      </c>
      <c r="C3" s="162" t="inlineStr">
        <is>
          <t>Group</t>
        </is>
      </c>
      <c r="D3" s="162" t="inlineStr">
        <is>
          <t>Model</t>
        </is>
      </c>
      <c r="E3" s="162" t="inlineStr">
        <is>
          <t>Owner/Manager</t>
        </is>
      </c>
      <c r="F3" s="162" t="inlineStr">
        <is>
          <t>Plate Number</t>
        </is>
      </c>
      <c r="G3" s="162" t="inlineStr">
        <is>
          <t>Asset No.</t>
        </is>
      </c>
      <c r="H3" s="162" t="inlineStr">
        <is>
          <t>Expiry</t>
        </is>
      </c>
      <c r="I3" s="162" t="inlineStr">
        <is>
          <t>VIN</t>
        </is>
      </c>
      <c r="J3" s="162" t="inlineStr">
        <is>
          <t>Drivers</t>
        </is>
      </c>
      <c r="K3" s="162" t="inlineStr">
        <is>
          <t>Start KM</t>
        </is>
      </c>
      <c r="L3" s="162" t="inlineStr">
        <is>
          <t>End KM</t>
        </is>
      </c>
      <c r="M3" s="162" t="inlineStr">
        <is>
          <t>Distance (km)</t>
        </is>
      </c>
    </row>
    <row r="4" ht="15" customHeight="1" s="122">
      <c r="A4" s="170">
        <f>IF(B4="","",IFERROR(LEFT(B4,FIND(" ",B4,FIND(" ",B4)+1)-1),TRIM(B4)))</f>
        <v/>
      </c>
      <c r="B4" s="171" t="inlineStr">
        <is>
          <t>KAA 754A SouthRift</t>
        </is>
      </c>
      <c r="C4" s="172" t="inlineStr">
        <is>
          <t>nan</t>
        </is>
      </c>
      <c r="D4" s="172" t="inlineStr">
        <is>
          <t>FMB130</t>
        </is>
      </c>
      <c r="E4" s="171" t="inlineStr">
        <is>
          <t>[COMPANY]</t>
        </is>
      </c>
      <c r="F4" s="172" t="inlineStr">
        <is>
          <t>nan</t>
        </is>
      </c>
      <c r="G4" s="172" t="inlineStr">
        <is>
          <t>nan</t>
        </is>
      </c>
      <c r="H4" s="172" t="inlineStr">
        <is>
          <t>-</t>
        </is>
      </c>
      <c r="I4" s="172" t="inlineStr">
        <is>
          <t>NCP160-0003864</t>
        </is>
      </c>
      <c r="J4" s="171" t="n"/>
      <c r="K4" s="173" t="n"/>
      <c r="L4" s="173" t="n"/>
      <c r="M4" s="174" t="n">
        <v>2142.26</v>
      </c>
    </row>
    <row r="5" ht="15" customHeight="1" s="122">
      <c r="A5" s="170">
        <f>IF(B5="","",IFERROR(LEFT(B5,FIND(" ",B5,FIND(" ",B5)+1)-1),TRIM(B5)))</f>
        <v/>
      </c>
      <c r="B5" s="171" t="inlineStr">
        <is>
          <t>KAA 214B Nairobi</t>
        </is>
      </c>
      <c r="C5" s="172" t="inlineStr">
        <is>
          <t>[COMPANY]</t>
        </is>
      </c>
      <c r="D5" s="172" t="inlineStr">
        <is>
          <t>NSP160-0011848</t>
        </is>
      </c>
      <c r="E5" s="171" t="inlineStr">
        <is>
          <t>[COMPANY]</t>
        </is>
      </c>
      <c r="F5" s="172" t="inlineStr">
        <is>
          <t>nan</t>
        </is>
      </c>
      <c r="G5" s="172" t="inlineStr">
        <is>
          <t>nan</t>
        </is>
      </c>
      <c r="H5" s="172" t="inlineStr">
        <is>
          <t>-</t>
        </is>
      </c>
      <c r="I5" s="172" t="inlineStr">
        <is>
          <t>nan</t>
        </is>
      </c>
      <c r="J5" s="171" t="n"/>
      <c r="K5" s="173" t="n"/>
      <c r="L5" s="173" t="n"/>
      <c r="M5" s="174" t="n">
        <v>3381.29</v>
      </c>
    </row>
    <row r="6" ht="15" customHeight="1" s="122">
      <c r="A6" s="170">
        <f>IF(B6="","",IFERROR(LEFT(B6,FIND(" ",B6,FIND(" ",B6)+1)-1),TRIM(B6)))</f>
        <v/>
      </c>
      <c r="B6" s="171" t="inlineStr">
        <is>
          <t>KBB 102Q Coast</t>
        </is>
      </c>
      <c r="C6" s="172" t="inlineStr">
        <is>
          <t>[COMPANY]</t>
        </is>
      </c>
      <c r="D6" s="172" t="inlineStr">
        <is>
          <t>FMB130</t>
        </is>
      </c>
      <c r="E6" s="171" t="inlineStr">
        <is>
          <t>Driver_56</t>
        </is>
      </c>
      <c r="F6" s="172" t="inlineStr">
        <is>
          <t>nan</t>
        </is>
      </c>
      <c r="G6" s="172" t="inlineStr">
        <is>
          <t>nan</t>
        </is>
      </c>
      <c r="H6" s="172" t="inlineStr">
        <is>
          <t>-</t>
        </is>
      </c>
      <c r="I6" s="172" t="inlineStr">
        <is>
          <t>NSP160-0010579</t>
        </is>
      </c>
      <c r="J6" s="171" t="n"/>
      <c r="K6" s="173" t="n"/>
      <c r="L6" s="173" t="n"/>
      <c r="M6" s="174" t="n">
        <v>1620.01</v>
      </c>
    </row>
    <row r="7" ht="15" customHeight="1" s="122">
      <c r="A7" s="170">
        <f>IF(B7="","",IFERROR(LEFT(B7,FIND(" ",B7,FIND(" ",B7)+1)-1),TRIM(B7)))</f>
        <v/>
      </c>
      <c r="B7" s="171" t="inlineStr">
        <is>
          <t>KBB 103Q Coast</t>
        </is>
      </c>
      <c r="C7" s="172" t="inlineStr">
        <is>
          <t>[COMPANY]</t>
        </is>
      </c>
      <c r="D7" s="172" t="inlineStr">
        <is>
          <t>TOYOTA PROBOX</t>
        </is>
      </c>
      <c r="E7" s="171" t="inlineStr">
        <is>
          <t>nan</t>
        </is>
      </c>
      <c r="F7" s="172" t="inlineStr">
        <is>
          <t>nan</t>
        </is>
      </c>
      <c r="G7" s="172" t="inlineStr">
        <is>
          <t>nan</t>
        </is>
      </c>
      <c r="H7" s="172" t="inlineStr">
        <is>
          <t>-</t>
        </is>
      </c>
      <c r="I7" s="172" t="inlineStr">
        <is>
          <t>NCP160-0029107</t>
        </is>
      </c>
      <c r="J7" s="171" t="n"/>
      <c r="K7" s="173" t="n"/>
      <c r="L7" s="173" t="n"/>
      <c r="M7" s="174" t="n">
        <v>2682</v>
      </c>
    </row>
    <row r="8" ht="15" customHeight="1" s="122">
      <c r="A8" s="170">
        <f>IF(B8="","",IFERROR(LEFT(B8,FIND(" ",B8,FIND(" ",B8)+1)-1),TRIM(B8)))</f>
        <v/>
      </c>
      <c r="B8" s="171" t="inlineStr">
        <is>
          <t>KBB 104Q Mountain</t>
        </is>
      </c>
      <c r="C8" s="172" t="inlineStr">
        <is>
          <t>[COMPANY]</t>
        </is>
      </c>
      <c r="D8" s="172" t="inlineStr">
        <is>
          <t>FMB130</t>
        </is>
      </c>
      <c r="E8" s="171" t="inlineStr">
        <is>
          <t>Driver_57</t>
        </is>
      </c>
      <c r="F8" s="172" t="inlineStr">
        <is>
          <t>nan</t>
        </is>
      </c>
      <c r="G8" s="172" t="inlineStr">
        <is>
          <t>nan</t>
        </is>
      </c>
      <c r="H8" s="172" t="inlineStr">
        <is>
          <t>-</t>
        </is>
      </c>
      <c r="I8" s="172" t="inlineStr">
        <is>
          <t>NCP160-0025456</t>
        </is>
      </c>
      <c r="J8" s="171" t="n"/>
      <c r="K8" s="173" t="n"/>
      <c r="L8" s="173" t="n"/>
      <c r="M8" s="174" t="n">
        <v>2088</v>
      </c>
    </row>
    <row r="9" ht="15" customHeight="1" s="122">
      <c r="A9" s="170">
        <f>IF(B9="","",IFERROR(LEFT(B9,FIND(" ",B9,FIND(" ",B9)+1)-1),TRIM(B9)))</f>
        <v/>
      </c>
      <c r="B9" s="171" t="inlineStr">
        <is>
          <t>KBB 105Q Nyanza</t>
        </is>
      </c>
      <c r="C9" s="172" t="inlineStr">
        <is>
          <t>[COMPANY]</t>
        </is>
      </c>
      <c r="D9" s="172" t="inlineStr">
        <is>
          <t>FMB130</t>
        </is>
      </c>
      <c r="E9" s="171" t="inlineStr">
        <is>
          <t>Driver_58</t>
        </is>
      </c>
      <c r="F9" s="172" t="inlineStr">
        <is>
          <t>nan</t>
        </is>
      </c>
      <c r="G9" s="172" t="inlineStr">
        <is>
          <t>nan</t>
        </is>
      </c>
      <c r="H9" s="172" t="inlineStr">
        <is>
          <t>-</t>
        </is>
      </c>
      <c r="I9" s="172" t="inlineStr">
        <is>
          <t>NSP160-0027728</t>
        </is>
      </c>
      <c r="J9" s="171" t="n"/>
      <c r="K9" s="173" t="n"/>
      <c r="L9" s="173" t="n"/>
      <c r="M9" s="174" t="n">
        <v>3189.91</v>
      </c>
    </row>
    <row r="10" ht="15" customHeight="1" s="122">
      <c r="A10" s="170">
        <f>IF(B10="","",IFERROR(LEFT(B10,FIND(" ",B10,FIND(" ",B10)+1)-1),TRIM(B10)))</f>
        <v/>
      </c>
      <c r="B10" s="171" t="inlineStr">
        <is>
          <t>KBB 106Q Western</t>
        </is>
      </c>
      <c r="C10" s="172" t="inlineStr">
        <is>
          <t>nan</t>
        </is>
      </c>
      <c r="D10" s="172" t="inlineStr">
        <is>
          <t>FMB130</t>
        </is>
      </c>
      <c r="E10" s="171" t="inlineStr">
        <is>
          <t>Driver_59</t>
        </is>
      </c>
      <c r="F10" s="172" t="inlineStr">
        <is>
          <t>nan</t>
        </is>
      </c>
      <c r="G10" s="172" t="inlineStr">
        <is>
          <t>nan</t>
        </is>
      </c>
      <c r="H10" s="172" t="inlineStr">
        <is>
          <t>-</t>
        </is>
      </c>
      <c r="I10" s="172" t="inlineStr">
        <is>
          <t>NSP160-0013077</t>
        </is>
      </c>
      <c r="J10" s="171" t="n"/>
      <c r="K10" s="173" t="n"/>
      <c r="L10" s="173" t="n"/>
      <c r="M10" s="174" t="n">
        <v>2600.82</v>
      </c>
    </row>
    <row r="11" ht="15" customHeight="1" s="122">
      <c r="A11" s="170">
        <f>IF(B11="","",IFERROR(LEFT(B11,FIND(" ",B11,FIND(" ",B11)+1)-1),TRIM(B11)))</f>
        <v/>
      </c>
      <c r="B11" s="171" t="inlineStr">
        <is>
          <t>KBB 107Q Mountain</t>
        </is>
      </c>
      <c r="C11" s="172" t="inlineStr">
        <is>
          <t>[COMPANY]</t>
        </is>
      </c>
      <c r="D11" s="172" t="inlineStr">
        <is>
          <t>FMB130</t>
        </is>
      </c>
      <c r="E11" s="171" t="inlineStr">
        <is>
          <t>Driver_59</t>
        </is>
      </c>
      <c r="F11" s="172" t="inlineStr">
        <is>
          <t>KBB 107Q Mountain</t>
        </is>
      </c>
      <c r="G11" s="172" t="inlineStr">
        <is>
          <t>KBB 107Q Mountain</t>
        </is>
      </c>
      <c r="H11" s="172" t="inlineStr">
        <is>
          <t>-</t>
        </is>
      </c>
      <c r="I11" s="172" t="inlineStr">
        <is>
          <t>NSP160-0010447</t>
        </is>
      </c>
      <c r="J11" s="171" t="n"/>
      <c r="K11" s="173" t="n"/>
      <c r="L11" s="173" t="n"/>
      <c r="M11" s="174" t="n">
        <v>2870.69</v>
      </c>
    </row>
    <row r="12" ht="15" customHeight="1" s="122">
      <c r="A12" s="170">
        <f>IF(B12="","",IFERROR(LEFT(B12,FIND(" ",B12,FIND(" ",B12)+1)-1),TRIM(B12)))</f>
        <v/>
      </c>
      <c r="B12" s="171" t="inlineStr">
        <is>
          <t>KBB 108Q NCBA LEASING Nairobi</t>
        </is>
      </c>
      <c r="C12" s="172" t="inlineStr">
        <is>
          <t>[COMPANY]</t>
        </is>
      </c>
      <c r="D12" s="172" t="inlineStr">
        <is>
          <t>FMB130</t>
        </is>
      </c>
      <c r="E12" s="171" t="inlineStr">
        <is>
          <t>Driver_61</t>
        </is>
      </c>
      <c r="F12" s="172" t="inlineStr">
        <is>
          <t>KBB 108Q Nairobi</t>
        </is>
      </c>
      <c r="G12" s="172" t="inlineStr">
        <is>
          <t>KBB 108Q Nairobi</t>
        </is>
      </c>
      <c r="H12" s="172" t="inlineStr">
        <is>
          <t>-</t>
        </is>
      </c>
      <c r="I12" s="172" t="inlineStr">
        <is>
          <t>NCP160-0025333</t>
        </is>
      </c>
      <c r="J12" s="171" t="n"/>
      <c r="K12" s="173" t="n"/>
      <c r="L12" s="173" t="n"/>
      <c r="M12" s="174" t="n">
        <v>1853.09</v>
      </c>
    </row>
    <row r="13" ht="15" customHeight="1" s="122">
      <c r="A13" s="170">
        <f>IF(B13="","",IFERROR(LEFT(B13,FIND(" ",B13,FIND(" ",B13)+1)-1),TRIM(B13)))</f>
        <v/>
      </c>
      <c r="B13" s="171" t="inlineStr">
        <is>
          <t>KBB 109Q [COMPANY] Nairobi</t>
        </is>
      </c>
      <c r="C13" s="172" t="inlineStr">
        <is>
          <t>[COMPANY]</t>
        </is>
      </c>
      <c r="D13" s="172" t="inlineStr">
        <is>
          <t>FMB130</t>
        </is>
      </c>
      <c r="E13" s="171" t="inlineStr">
        <is>
          <t>[COMPANY]</t>
        </is>
      </c>
      <c r="F13" s="172" t="inlineStr">
        <is>
          <t>KBB 109Q Nairobi</t>
        </is>
      </c>
      <c r="G13" s="172" t="inlineStr">
        <is>
          <t>KBB 109Q Nairobi</t>
        </is>
      </c>
      <c r="H13" s="172" t="inlineStr">
        <is>
          <t>-</t>
        </is>
      </c>
      <c r="I13" s="172" t="inlineStr">
        <is>
          <t>NSP160-0030258</t>
        </is>
      </c>
      <c r="J13" s="171" t="n"/>
      <c r="K13" s="173" t="n"/>
      <c r="L13" s="173" t="n"/>
      <c r="M13" s="174" t="n">
        <v>2945.51</v>
      </c>
    </row>
    <row r="14" ht="15" customHeight="1" s="122">
      <c r="A14" s="170">
        <f>IF(B14="","",IFERROR(LEFT(B14,FIND(" ",B14,FIND(" ",B14)+1)-1),TRIM(B14)))</f>
        <v/>
      </c>
      <c r="B14" s="171" t="inlineStr">
        <is>
          <t>KBB 110Q [COMPANY] Nairobi</t>
        </is>
      </c>
      <c r="C14" s="172" t="inlineStr">
        <is>
          <t>[COMPANY]</t>
        </is>
      </c>
      <c r="D14" s="172" t="inlineStr">
        <is>
          <t>FMB130</t>
        </is>
      </c>
      <c r="E14" s="171" t="inlineStr">
        <is>
          <t>Driver_67</t>
        </is>
      </c>
      <c r="F14" s="172" t="inlineStr">
        <is>
          <t>nan</t>
        </is>
      </c>
      <c r="G14" s="172" t="inlineStr">
        <is>
          <t>nan</t>
        </is>
      </c>
      <c r="H14" s="172" t="inlineStr">
        <is>
          <t>-</t>
        </is>
      </c>
      <c r="I14" s="172" t="inlineStr">
        <is>
          <t>NSP160-0001732</t>
        </is>
      </c>
      <c r="J14" s="171" t="n"/>
      <c r="K14" s="173" t="n"/>
      <c r="L14" s="173" t="n"/>
      <c r="M14" s="174" t="n">
        <v>2815.87</v>
      </c>
    </row>
    <row r="15" ht="15" customHeight="1" s="122">
      <c r="A15" s="170">
        <f>IF(B15="","",IFERROR(LEFT(B15,FIND(" ",B15,FIND(" ",B15)+1)-1),TRIM(B15)))</f>
        <v/>
      </c>
      <c r="B15" s="171" t="inlineStr">
        <is>
          <t>KDL 137Q Nairobi</t>
        </is>
      </c>
      <c r="C15" s="172" t="inlineStr">
        <is>
          <t>[COMPANY]</t>
        </is>
      </c>
      <c r="D15" s="172" t="inlineStr">
        <is>
          <t>FMB130</t>
        </is>
      </c>
      <c r="E15" s="171" t="inlineStr">
        <is>
          <t>[COMPANY]</t>
        </is>
      </c>
      <c r="F15" s="172" t="inlineStr">
        <is>
          <t>nan</t>
        </is>
      </c>
      <c r="G15" s="172" t="inlineStr">
        <is>
          <t>nan</t>
        </is>
      </c>
      <c r="H15" s="172" t="inlineStr">
        <is>
          <t>-</t>
        </is>
      </c>
      <c r="I15" s="172" t="inlineStr">
        <is>
          <t>NSP160-0031878</t>
        </is>
      </c>
      <c r="J15" s="171" t="n"/>
      <c r="K15" s="173" t="n"/>
      <c r="L15" s="173" t="n"/>
      <c r="M15" s="174" t="n"/>
    </row>
    <row r="16" ht="15" customHeight="1" s="122">
      <c r="A16" s="170">
        <f>IF(B16="","",IFERROR(LEFT(B16,FIND(" ",B16,FIND(" ",B16)+1)-1),TRIM(B16)))</f>
        <v/>
      </c>
      <c r="B16" s="171" t="inlineStr">
        <is>
          <t>KBB 111Q North Rift</t>
        </is>
      </c>
      <c r="C16" s="172" t="inlineStr">
        <is>
          <t>[COMPANY]</t>
        </is>
      </c>
      <c r="D16" s="172" t="inlineStr">
        <is>
          <t>FMB130</t>
        </is>
      </c>
      <c r="E16" s="171" t="inlineStr">
        <is>
          <t>[COMPANY]</t>
        </is>
      </c>
      <c r="F16" s="172" t="inlineStr">
        <is>
          <t>nan</t>
        </is>
      </c>
      <c r="G16" s="172" t="inlineStr">
        <is>
          <t>nan</t>
        </is>
      </c>
      <c r="H16" s="172" t="inlineStr">
        <is>
          <t>-</t>
        </is>
      </c>
      <c r="I16" s="172" t="inlineStr">
        <is>
          <t>NCP160-0031857</t>
        </is>
      </c>
      <c r="J16" s="171" t="n"/>
      <c r="K16" s="173" t="n"/>
      <c r="L16" s="173" t="n"/>
      <c r="M16" s="174" t="n">
        <v>3999.89</v>
      </c>
    </row>
    <row r="17" ht="15" customHeight="1" s="122">
      <c r="A17" s="170">
        <f>IF(B17="","",IFERROR(LEFT(B17,FIND(" ",B17,FIND(" ",B17)+1)-1),TRIM(B17)))</f>
        <v/>
      </c>
      <c r="B17" s="171" t="inlineStr">
        <is>
          <t>KBB 112Q Nyanza</t>
        </is>
      </c>
      <c r="C17" s="172" t="inlineStr">
        <is>
          <t>[COMPANY]</t>
        </is>
      </c>
      <c r="D17" s="172" t="inlineStr">
        <is>
          <t>FMB130</t>
        </is>
      </c>
      <c r="E17" s="171" t="inlineStr">
        <is>
          <t>Nancy Maina</t>
        </is>
      </c>
      <c r="F17" s="172" t="inlineStr">
        <is>
          <t>nan</t>
        </is>
      </c>
      <c r="G17" s="172" t="inlineStr">
        <is>
          <t>nan</t>
        </is>
      </c>
      <c r="H17" s="172" t="inlineStr">
        <is>
          <t>-</t>
        </is>
      </c>
      <c r="I17" s="172" t="inlineStr">
        <is>
          <t>NSP160-0028865</t>
        </is>
      </c>
      <c r="J17" s="171" t="n"/>
      <c r="K17" s="173" t="n"/>
      <c r="L17" s="173" t="n"/>
      <c r="M17" s="174" t="n">
        <v>2941.03</v>
      </c>
    </row>
    <row r="18" ht="15" customHeight="1" s="122">
      <c r="A18" s="170">
        <f>IF(B18="","",IFERROR(LEFT(B18,FIND(" ",B18,FIND(" ",B18)+1)-1),TRIM(B18)))</f>
        <v/>
      </c>
      <c r="B18" s="171" t="inlineStr">
        <is>
          <t>KBB 113Q Nyanza</t>
        </is>
      </c>
      <c r="C18" s="172" t="inlineStr">
        <is>
          <t>[COMPANY]</t>
        </is>
      </c>
      <c r="D18" s="172" t="inlineStr">
        <is>
          <t>nan</t>
        </is>
      </c>
      <c r="E18" s="171" t="inlineStr">
        <is>
          <t>nan</t>
        </is>
      </c>
      <c r="F18" s="172" t="inlineStr">
        <is>
          <t>nan</t>
        </is>
      </c>
      <c r="G18" s="172" t="inlineStr">
        <is>
          <t>nan</t>
        </is>
      </c>
      <c r="H18" s="172" t="inlineStr">
        <is>
          <t>-</t>
        </is>
      </c>
      <c r="I18" s="172" t="inlineStr">
        <is>
          <t>nan</t>
        </is>
      </c>
      <c r="J18" s="171" t="n"/>
      <c r="K18" s="173" t="n"/>
      <c r="L18" s="173" t="n"/>
      <c r="M18" s="174" t="n">
        <v>2137.26</v>
      </c>
    </row>
    <row r="19" ht="15" customHeight="1" s="122">
      <c r="A19" s="170">
        <f>IF(B19="","",IFERROR(LEFT(B19,FIND(" ",B19,FIND(" ",B19)+1)-1),TRIM(B19)))</f>
        <v/>
      </c>
      <c r="B19" s="171" t="inlineStr">
        <is>
          <t>KBB 114Q Nyanza</t>
        </is>
      </c>
      <c r="C19" s="172" t="inlineStr">
        <is>
          <t>[COMPANY]</t>
        </is>
      </c>
      <c r="D19" s="172" t="inlineStr">
        <is>
          <t>FMB130</t>
        </is>
      </c>
      <c r="E19" s="171" t="inlineStr">
        <is>
          <t>Driver_58</t>
        </is>
      </c>
      <c r="F19" s="172" t="inlineStr">
        <is>
          <t>nan</t>
        </is>
      </c>
      <c r="G19" s="172" t="inlineStr">
        <is>
          <t>nan</t>
        </is>
      </c>
      <c r="H19" s="172" t="inlineStr">
        <is>
          <t>-</t>
        </is>
      </c>
      <c r="I19" s="172" t="inlineStr">
        <is>
          <t>NSP160-0010265</t>
        </is>
      </c>
      <c r="J19" s="171" t="n"/>
      <c r="K19" s="173" t="n"/>
      <c r="L19" s="173" t="n"/>
      <c r="M19" s="174" t="n">
        <v>1993.96</v>
      </c>
    </row>
    <row r="20" ht="15" customHeight="1" s="122">
      <c r="A20" s="170">
        <f>IF(B20="","",IFERROR(LEFT(B20,FIND(" ",B20,FIND(" ",B20)+1)-1),TRIM(B20)))</f>
        <v/>
      </c>
      <c r="B20" s="171" t="inlineStr">
        <is>
          <t>KBB 115Q South Rift</t>
        </is>
      </c>
      <c r="C20" s="172" t="inlineStr">
        <is>
          <t>[COMPANY]</t>
        </is>
      </c>
      <c r="D20" s="172" t="inlineStr">
        <is>
          <t>FMB130</t>
        </is>
      </c>
      <c r="E20" s="171" t="inlineStr">
        <is>
          <t>Driver_60</t>
        </is>
      </c>
      <c r="F20" s="172" t="inlineStr">
        <is>
          <t>KBB 115Q South Rift</t>
        </is>
      </c>
      <c r="G20" s="172" t="inlineStr">
        <is>
          <t>nan</t>
        </is>
      </c>
      <c r="H20" s="172" t="inlineStr">
        <is>
          <t>-</t>
        </is>
      </c>
      <c r="I20" s="172" t="inlineStr">
        <is>
          <t>NCP160-0011659</t>
        </is>
      </c>
      <c r="J20" s="171" t="n"/>
      <c r="K20" s="173" t="n"/>
      <c r="L20" s="173" t="n"/>
      <c r="M20" s="174" t="n">
        <v>1927.11</v>
      </c>
    </row>
    <row r="21" ht="15" customHeight="1" s="122">
      <c r="A21" s="170">
        <f>IF(B21="","",IFERROR(LEFT(B21,FIND(" ",B21,FIND(" ",B21)+1)-1),TRIM(B21)))</f>
        <v/>
      </c>
      <c r="B21" s="171" t="inlineStr">
        <is>
          <t>KBB 116Q NCBA LEASING S.RIFT</t>
        </is>
      </c>
      <c r="C21" s="172" t="inlineStr">
        <is>
          <t>[COMPANY]</t>
        </is>
      </c>
      <c r="D21" s="172" t="inlineStr">
        <is>
          <t>FMB130</t>
        </is>
      </c>
      <c r="E21" s="171" t="inlineStr">
        <is>
          <t>KBB 116Q NCBA LEASING S.RIFT</t>
        </is>
      </c>
      <c r="F21" s="172" t="inlineStr">
        <is>
          <t>KBB 116Q NCBA LEASING S.RIFT</t>
        </is>
      </c>
      <c r="G21" s="172" t="inlineStr">
        <is>
          <t>KBB 116Q NCBA LEASING S.RIFT</t>
        </is>
      </c>
      <c r="H21" s="172" t="inlineStr">
        <is>
          <t>-</t>
        </is>
      </c>
      <c r="I21" s="172" t="inlineStr">
        <is>
          <t>NSP160-0023336</t>
        </is>
      </c>
      <c r="J21" s="171" t="n"/>
      <c r="K21" s="173" t="n"/>
      <c r="L21" s="173" t="n"/>
      <c r="M21" s="174" t="n">
        <v>2545.14</v>
      </c>
    </row>
    <row r="22" ht="15" customHeight="1" s="122">
      <c r="A22" s="170">
        <f>IF(B22="","",IFERROR(LEFT(B22,FIND(" ",B22,FIND(" ",B22)+1)-1),TRIM(B22)))</f>
        <v/>
      </c>
      <c r="B22" s="171" t="inlineStr">
        <is>
          <t>KBB 117Q Western</t>
        </is>
      </c>
      <c r="C22" s="172" t="inlineStr">
        <is>
          <t>[COMPANY]</t>
        </is>
      </c>
      <c r="D22" s="172" t="inlineStr">
        <is>
          <t>FMB130</t>
        </is>
      </c>
      <c r="E22" s="171" t="inlineStr">
        <is>
          <t>Driver_57</t>
        </is>
      </c>
      <c r="F22" s="172" t="inlineStr">
        <is>
          <t>nan</t>
        </is>
      </c>
      <c r="G22" s="172" t="inlineStr">
        <is>
          <t>nan</t>
        </is>
      </c>
      <c r="H22" s="172" t="inlineStr">
        <is>
          <t>-</t>
        </is>
      </c>
      <c r="I22" s="172" t="inlineStr">
        <is>
          <t>NSP160-0035026</t>
        </is>
      </c>
      <c r="J22" s="171" t="n"/>
      <c r="K22" s="173" t="n"/>
      <c r="L22" s="173" t="n"/>
      <c r="M22" s="174" t="n">
        <v>3236.94</v>
      </c>
    </row>
    <row r="23" ht="15" customHeight="1" s="122">
      <c r="A23" s="170">
        <f>IF(B23="","",IFERROR(LEFT(B23,FIND(" ",B23,FIND(" ",B23)+1)-1),TRIM(B23)))</f>
        <v/>
      </c>
      <c r="B23" s="171" t="inlineStr">
        <is>
          <t>KBB 118QD LIGHT Coast</t>
        </is>
      </c>
      <c r="C23" s="172" t="inlineStr">
        <is>
          <t>[COMPANY]</t>
        </is>
      </c>
      <c r="D23" s="172" t="inlineStr">
        <is>
          <t>FMB130</t>
        </is>
      </c>
      <c r="E23" s="171" t="inlineStr">
        <is>
          <t>[COMPANY]</t>
        </is>
      </c>
      <c r="F23" s="172" t="inlineStr">
        <is>
          <t>KBB 118QD LIGHT Coast</t>
        </is>
      </c>
      <c r="G23" s="172" t="inlineStr">
        <is>
          <t>KBB 118QD LIGHT Coast</t>
        </is>
      </c>
      <c r="H23" s="172" t="inlineStr">
        <is>
          <t>-</t>
        </is>
      </c>
      <c r="I23" s="172" t="inlineStr">
        <is>
          <t>NCP160-0030430</t>
        </is>
      </c>
      <c r="J23" s="171" t="n"/>
      <c r="K23" s="173" t="n"/>
      <c r="L23" s="173" t="n"/>
      <c r="M23" s="174" t="n">
        <v>2500.24</v>
      </c>
    </row>
    <row r="24" ht="15" customHeight="1" s="122">
      <c r="A24" s="170">
        <f>IF(B24="","",IFERROR(LEFT(B24,FIND(" ",B24,FIND(" ",B24)+1)-1),TRIM(B24)))</f>
        <v/>
      </c>
      <c r="B24" s="171" t="inlineStr">
        <is>
          <t>KBB 119Q South Rift</t>
        </is>
      </c>
      <c r="C24" s="172" t="inlineStr">
        <is>
          <t>[COMPANY]</t>
        </is>
      </c>
      <c r="D24" s="172" t="inlineStr">
        <is>
          <t>FMB130</t>
        </is>
      </c>
      <c r="E24" s="171" t="inlineStr">
        <is>
          <t>Driver_56</t>
        </is>
      </c>
      <c r="F24" s="172" t="inlineStr">
        <is>
          <t>nan</t>
        </is>
      </c>
      <c r="G24" s="172" t="inlineStr">
        <is>
          <t>nan</t>
        </is>
      </c>
      <c r="H24" s="172" t="inlineStr">
        <is>
          <t>-</t>
        </is>
      </c>
      <c r="I24" s="172" t="inlineStr">
        <is>
          <t>NCP160-0027808</t>
        </is>
      </c>
      <c r="J24" s="171" t="n"/>
      <c r="K24" s="173" t="n"/>
      <c r="L24" s="173" t="n"/>
      <c r="M24" s="174" t="n">
        <v>3714.06</v>
      </c>
    </row>
    <row r="25" ht="15" customHeight="1" s="122">
      <c r="A25" s="170">
        <f>IF(B25="","",IFERROR(LEFT(B25,FIND(" ",B25,FIND(" ",B25)+1)-1),TRIM(B25)))</f>
        <v/>
      </c>
      <c r="B25" s="171" t="inlineStr">
        <is>
          <t>KBB 120Q Nairobi</t>
        </is>
      </c>
      <c r="C25" s="172" t="inlineStr">
        <is>
          <t>[COMPANY]</t>
        </is>
      </c>
      <c r="D25" s="172" t="inlineStr">
        <is>
          <t>FMB130</t>
        </is>
      </c>
      <c r="E25" s="171" t="inlineStr">
        <is>
          <t>Driver_58</t>
        </is>
      </c>
      <c r="F25" s="172" t="inlineStr">
        <is>
          <t>nan</t>
        </is>
      </c>
      <c r="G25" s="172" t="inlineStr">
        <is>
          <t>nan</t>
        </is>
      </c>
      <c r="H25" s="172" t="inlineStr">
        <is>
          <t>-</t>
        </is>
      </c>
      <c r="I25" s="172" t="inlineStr">
        <is>
          <t>NSP160-0010752</t>
        </is>
      </c>
      <c r="J25" s="171" t="n"/>
      <c r="K25" s="173" t="n"/>
      <c r="L25" s="173" t="n"/>
      <c r="M25" s="174" t="n">
        <v>2068.13</v>
      </c>
    </row>
    <row r="26" ht="15" customHeight="1" s="122">
      <c r="A26" s="170">
        <f>IF(B26="","",IFERROR(LEFT(B26,FIND(" ",B26,FIND(" ",B26)+1)-1),TRIM(B26)))</f>
        <v/>
      </c>
      <c r="B26" s="171" t="inlineStr">
        <is>
          <t>KBB 121Q North Rift</t>
        </is>
      </c>
      <c r="C26" s="172" t="inlineStr">
        <is>
          <t>[COMPANY]</t>
        </is>
      </c>
      <c r="D26" s="172" t="inlineStr">
        <is>
          <t>FMB130</t>
        </is>
      </c>
      <c r="E26" s="171" t="inlineStr">
        <is>
          <t>Driver_67</t>
        </is>
      </c>
      <c r="F26" s="172" t="inlineStr">
        <is>
          <t>nan</t>
        </is>
      </c>
      <c r="G26" s="172" t="inlineStr">
        <is>
          <t>nan</t>
        </is>
      </c>
      <c r="H26" s="172" t="inlineStr">
        <is>
          <t>-</t>
        </is>
      </c>
      <c r="I26" s="172" t="inlineStr">
        <is>
          <t>NSP160-0011572</t>
        </is>
      </c>
      <c r="J26" s="171" t="n"/>
      <c r="K26" s="173" t="n"/>
      <c r="L26" s="173" t="n"/>
      <c r="M26" s="174" t="n">
        <v>1997.26</v>
      </c>
    </row>
    <row r="27" ht="15" customHeight="1" s="122">
      <c r="A27" s="170">
        <f>IF(B27="","",IFERROR(LEFT(B27,FIND(" ",B27,FIND(" ",B27)+1)-1),TRIM(B27)))</f>
        <v/>
      </c>
      <c r="B27" s="171" t="inlineStr">
        <is>
          <t>KBB 122Q western</t>
        </is>
      </c>
      <c r="C27" s="172" t="inlineStr">
        <is>
          <t>[COMPANY]</t>
        </is>
      </c>
      <c r="D27" s="172" t="inlineStr">
        <is>
          <t>FMB130</t>
        </is>
      </c>
      <c r="E27" s="171" t="inlineStr">
        <is>
          <t>[COMPANY]</t>
        </is>
      </c>
      <c r="F27" s="172" t="inlineStr">
        <is>
          <t>nan</t>
        </is>
      </c>
      <c r="G27" s="172" t="inlineStr">
        <is>
          <t>nan</t>
        </is>
      </c>
      <c r="H27" s="172" t="inlineStr">
        <is>
          <t>-</t>
        </is>
      </c>
      <c r="I27" s="172" t="inlineStr">
        <is>
          <t>NSP160-0031975</t>
        </is>
      </c>
      <c r="J27" s="171" t="n"/>
      <c r="K27" s="173" t="n"/>
      <c r="L27" s="173" t="n"/>
      <c r="M27" s="174" t="n">
        <v>4157.45</v>
      </c>
    </row>
    <row r="28" ht="15" customHeight="1" s="122">
      <c r="A28" s="170">
        <f>IF(B28="","",IFERROR(LEFT(B28,FIND(" ",B28,FIND(" ",B28)+1)-1),TRIM(B28)))</f>
        <v/>
      </c>
      <c r="B28" s="171" t="inlineStr">
        <is>
          <t>KBB 123Q North Rift</t>
        </is>
      </c>
      <c r="C28" s="172" t="inlineStr">
        <is>
          <t>[COMPANY]</t>
        </is>
      </c>
      <c r="D28" s="172" t="inlineStr">
        <is>
          <t>FMB130</t>
        </is>
      </c>
      <c r="E28" s="171" t="inlineStr">
        <is>
          <t>[COMPANY]</t>
        </is>
      </c>
      <c r="F28" s="172" t="inlineStr">
        <is>
          <t>KBB 123Q North Rift</t>
        </is>
      </c>
      <c r="G28" s="172" t="inlineStr">
        <is>
          <t>KBB 123Q North Rift</t>
        </is>
      </c>
      <c r="H28" s="172" t="inlineStr">
        <is>
          <t>-</t>
        </is>
      </c>
      <c r="I28" s="172" t="inlineStr">
        <is>
          <t>NSP160-0029227</t>
        </is>
      </c>
      <c r="J28" s="171" t="n"/>
      <c r="K28" s="173" t="n"/>
      <c r="L28" s="173" t="n"/>
      <c r="M28" s="174" t="n">
        <v>1417.55</v>
      </c>
    </row>
    <row r="29" ht="15" customHeight="1" s="122">
      <c r="A29" s="170">
        <f>IF(B29="","",IFERROR(LEFT(B29,FIND(" ",B29,FIND(" ",B29)+1)-1),TRIM(B29)))</f>
        <v/>
      </c>
      <c r="B29" s="171" t="inlineStr">
        <is>
          <t>KDL 171Q western</t>
        </is>
      </c>
      <c r="C29" s="172" t="inlineStr">
        <is>
          <t>[COMPANY]</t>
        </is>
      </c>
      <c r="D29" s="172" t="inlineStr">
        <is>
          <t>FMB130</t>
        </is>
      </c>
      <c r="E29" s="171" t="inlineStr">
        <is>
          <t>Driver_68</t>
        </is>
      </c>
      <c r="F29" s="172" t="inlineStr">
        <is>
          <t>nan</t>
        </is>
      </c>
      <c r="G29" s="172" t="inlineStr">
        <is>
          <t>nan</t>
        </is>
      </c>
      <c r="H29" s="172" t="inlineStr">
        <is>
          <t>-</t>
        </is>
      </c>
      <c r="I29" s="172" t="inlineStr">
        <is>
          <t>NSP160-0010097</t>
        </is>
      </c>
      <c r="J29" s="171" t="n"/>
      <c r="K29" s="173" t="n"/>
      <c r="L29" s="173" t="n"/>
      <c r="M29" s="174" t="n"/>
    </row>
    <row r="30" ht="15" customHeight="1" s="122">
      <c r="A30" s="170">
        <f>IF(B30="","",IFERROR(LEFT(B30,FIND(" ",B30,FIND(" ",B30)+1)-1),TRIM(B30)))</f>
        <v/>
      </c>
      <c r="B30" s="171" t="inlineStr">
        <is>
          <t>KBB 124Q Mountain</t>
        </is>
      </c>
      <c r="C30" s="172" t="inlineStr">
        <is>
          <t>[COMPANY]</t>
        </is>
      </c>
      <c r="D30" s="172" t="inlineStr">
        <is>
          <t>FMB130</t>
        </is>
      </c>
      <c r="E30" s="171" t="inlineStr">
        <is>
          <t>Driver_69</t>
        </is>
      </c>
      <c r="F30" s="172" t="inlineStr">
        <is>
          <t>nan</t>
        </is>
      </c>
      <c r="G30" s="172" t="inlineStr">
        <is>
          <t>nan</t>
        </is>
      </c>
      <c r="H30" s="172" t="inlineStr">
        <is>
          <t>-</t>
        </is>
      </c>
      <c r="I30" s="172" t="inlineStr">
        <is>
          <t>NCP160-0009720</t>
        </is>
      </c>
      <c r="J30" s="171" t="n"/>
      <c r="K30" s="173" t="n"/>
      <c r="L30" s="173" t="n"/>
      <c r="M30" s="174" t="n">
        <v>2323.1</v>
      </c>
    </row>
    <row r="31" ht="15" customHeight="1" s="122">
      <c r="A31" s="170">
        <f>IF(B31="","",IFERROR(LEFT(B31,FIND(" ",B31,FIND(" ",B31)+1)-1),TRIM(B31)))</f>
        <v/>
      </c>
      <c r="B31" s="171" t="inlineStr">
        <is>
          <t>KBB 125Q Mountain</t>
        </is>
      </c>
      <c r="C31" s="172" t="inlineStr">
        <is>
          <t>[COMPANY]</t>
        </is>
      </c>
      <c r="D31" s="172" t="inlineStr">
        <is>
          <t>FMB130</t>
        </is>
      </c>
      <c r="E31" s="171" t="inlineStr">
        <is>
          <t>Driver_70</t>
        </is>
      </c>
      <c r="F31" s="172" t="inlineStr">
        <is>
          <t>nan</t>
        </is>
      </c>
      <c r="G31" s="172" t="inlineStr">
        <is>
          <t>nan</t>
        </is>
      </c>
      <c r="H31" s="172" t="inlineStr">
        <is>
          <t>-</t>
        </is>
      </c>
      <c r="I31" s="172" t="inlineStr">
        <is>
          <t>NCP160-0001986</t>
        </is>
      </c>
      <c r="J31" s="171" t="n"/>
      <c r="K31" s="173" t="n"/>
      <c r="L31" s="173" t="n"/>
      <c r="M31" s="174" t="n">
        <v>2826.76</v>
      </c>
    </row>
    <row r="32" ht="15" customHeight="1" s="122">
      <c r="A32" s="170">
        <f>IF(B32="","",IFERROR(LEFT(B32,FIND(" ",B32,FIND(" ",B32)+1)-1),TRIM(B32)))</f>
        <v/>
      </c>
      <c r="B32" s="171" t="inlineStr">
        <is>
          <t>KBB 126Q Mountain</t>
        </is>
      </c>
      <c r="C32" s="172" t="inlineStr">
        <is>
          <t>[COMPANY]</t>
        </is>
      </c>
      <c r="D32" s="172" t="inlineStr">
        <is>
          <t>FMB130</t>
        </is>
      </c>
      <c r="E32" s="171" t="inlineStr">
        <is>
          <t>Driver_58</t>
        </is>
      </c>
      <c r="F32" s="172" t="inlineStr">
        <is>
          <t>nan</t>
        </is>
      </c>
      <c r="G32" s="172" t="inlineStr">
        <is>
          <t>nan</t>
        </is>
      </c>
      <c r="H32" s="172" t="inlineStr">
        <is>
          <t>-</t>
        </is>
      </c>
      <c r="I32" s="172" t="inlineStr">
        <is>
          <t>NSP160-0028718</t>
        </is>
      </c>
      <c r="J32" s="171" t="n"/>
      <c r="K32" s="173" t="n"/>
      <c r="L32" s="173" t="n"/>
      <c r="M32" s="174" t="n">
        <v>2038.07</v>
      </c>
    </row>
    <row r="33" ht="15" customHeight="1" s="122">
      <c r="A33" s="170">
        <f>IF(B33="","",IFERROR(LEFT(B33,FIND(" ",B33,FIND(" ",B33)+1)-1),TRIM(B33)))</f>
        <v/>
      </c>
      <c r="B33" s="171" t="inlineStr">
        <is>
          <t>KDL 183Q western</t>
        </is>
      </c>
      <c r="C33" s="172" t="inlineStr">
        <is>
          <t>[COMPANY]</t>
        </is>
      </c>
      <c r="D33" s="172" t="inlineStr">
        <is>
          <t>FMB130</t>
        </is>
      </c>
      <c r="E33" s="171" t="inlineStr">
        <is>
          <t>Driver_67</t>
        </is>
      </c>
      <c r="F33" s="172" t="inlineStr">
        <is>
          <t>nan</t>
        </is>
      </c>
      <c r="G33" s="172" t="inlineStr">
        <is>
          <t>nan</t>
        </is>
      </c>
      <c r="H33" s="172" t="inlineStr">
        <is>
          <t>-</t>
        </is>
      </c>
      <c r="I33" s="172" t="inlineStr">
        <is>
          <t>NSP160-0010483</t>
        </is>
      </c>
      <c r="J33" s="171" t="n"/>
      <c r="K33" s="173" t="n"/>
      <c r="L33" s="173" t="n"/>
      <c r="M33" s="174" t="n"/>
    </row>
    <row r="34" ht="15" customHeight="1" s="122">
      <c r="A34" s="170">
        <f>IF(B34="","",IFERROR(LEFT(B34,FIND(" ",B34,FIND(" ",B34)+1)-1),TRIM(B34)))</f>
        <v/>
      </c>
      <c r="B34" s="171" t="inlineStr">
        <is>
          <t>KBB 127Q Coast</t>
        </is>
      </c>
      <c r="C34" s="172" t="inlineStr">
        <is>
          <t>[COMPANY]</t>
        </is>
      </c>
      <c r="D34" s="172" t="inlineStr">
        <is>
          <t>FMB130</t>
        </is>
      </c>
      <c r="E34" s="171" t="inlineStr">
        <is>
          <t>Driver_59</t>
        </is>
      </c>
      <c r="F34" s="172" t="inlineStr">
        <is>
          <t>nan</t>
        </is>
      </c>
      <c r="G34" s="172" t="inlineStr">
        <is>
          <t>nan</t>
        </is>
      </c>
      <c r="H34" s="172" t="inlineStr">
        <is>
          <t>-</t>
        </is>
      </c>
      <c r="I34" s="172" t="inlineStr">
        <is>
          <t>NSP160-0010778</t>
        </is>
      </c>
      <c r="J34" s="171" t="n"/>
      <c r="K34" s="173" t="n"/>
      <c r="L34" s="173" t="n"/>
      <c r="M34" s="174" t="n">
        <v>3683.76</v>
      </c>
    </row>
    <row r="35" ht="15" customHeight="1" s="122">
      <c r="A35" s="170">
        <f>IF(B35="","",IFERROR(LEFT(B35,FIND(" ",B35,FIND(" ",B35)+1)-1),TRIM(B35)))</f>
        <v/>
      </c>
      <c r="B35" s="171" t="inlineStr">
        <is>
          <t>KBB 128Q North Rift</t>
        </is>
      </c>
      <c r="C35" s="172" t="inlineStr">
        <is>
          <t>[COMPANY]</t>
        </is>
      </c>
      <c r="D35" s="172" t="inlineStr">
        <is>
          <t>FMB130</t>
        </is>
      </c>
      <c r="E35" s="171" t="inlineStr">
        <is>
          <t>Driver_62</t>
        </is>
      </c>
      <c r="F35" s="172" t="inlineStr">
        <is>
          <t>nan</t>
        </is>
      </c>
      <c r="G35" s="172" t="inlineStr">
        <is>
          <t>nan</t>
        </is>
      </c>
      <c r="H35" s="172" t="inlineStr">
        <is>
          <t>-</t>
        </is>
      </c>
      <c r="I35" s="172" t="inlineStr">
        <is>
          <t>NCP160-0025978</t>
        </is>
      </c>
      <c r="J35" s="171" t="n"/>
      <c r="K35" s="173" t="n"/>
      <c r="L35" s="173" t="n"/>
      <c r="M35" s="174" t="n">
        <v>5481.57</v>
      </c>
    </row>
    <row r="36" ht="15" customHeight="1" s="122">
      <c r="A36" s="170">
        <f>IF(B36="","",IFERROR(LEFT(B36,FIND(" ",B36,FIND(" ",B36)+1)-1),TRIM(B36)))</f>
        <v/>
      </c>
      <c r="B36" s="171" t="inlineStr">
        <is>
          <t>KAAB 202Z NCBA LSEN</t>
        </is>
      </c>
      <c r="C36" s="172" t="inlineStr">
        <is>
          <t>[COMPANY]</t>
        </is>
      </c>
      <c r="D36" s="172" t="inlineStr">
        <is>
          <t>FMB920</t>
        </is>
      </c>
      <c r="E36" s="171" t="inlineStr">
        <is>
          <t>Driver_59</t>
        </is>
      </c>
      <c r="F36" s="172" t="inlineStr">
        <is>
          <t>nan</t>
        </is>
      </c>
      <c r="G36" s="172" t="inlineStr">
        <is>
          <t>nan</t>
        </is>
      </c>
      <c r="H36" s="172" t="inlineStr">
        <is>
          <t>-</t>
        </is>
      </c>
      <c r="I36" s="172" t="inlineStr">
        <is>
          <t>nan</t>
        </is>
      </c>
      <c r="J36" s="171" t="n"/>
      <c r="K36" s="173" t="n"/>
      <c r="L36" s="173" t="n"/>
      <c r="M36" s="174" t="n">
        <v>2244.18</v>
      </c>
    </row>
    <row r="37" ht="15" customHeight="1" s="122">
      <c r="A37" s="170">
        <f>IF(B37="","",IFERROR(LEFT(B37,FIND(" ",B37,FIND(" ",B37)+1)-1),TRIM(B37)))</f>
        <v/>
      </c>
      <c r="B37" s="171" t="inlineStr">
        <is>
          <t>KAAB 206Z North Rift</t>
        </is>
      </c>
      <c r="C37" s="172" t="inlineStr">
        <is>
          <t>[COMPANY]</t>
        </is>
      </c>
      <c r="D37" s="172" t="inlineStr">
        <is>
          <t>FMB920</t>
        </is>
      </c>
      <c r="E37" s="171" t="inlineStr">
        <is>
          <t>nan</t>
        </is>
      </c>
      <c r="F37" s="172" t="inlineStr">
        <is>
          <t>nan</t>
        </is>
      </c>
      <c r="G37" s="172" t="inlineStr">
        <is>
          <t>nan</t>
        </is>
      </c>
      <c r="H37" s="172" t="inlineStr">
        <is>
          <t>-</t>
        </is>
      </c>
      <c r="I37" s="172" t="inlineStr">
        <is>
          <t>nan</t>
        </is>
      </c>
      <c r="J37" s="171" t="n"/>
      <c r="K37" s="173" t="n"/>
      <c r="L37" s="173" t="n"/>
      <c r="M37" s="174" t="n"/>
    </row>
    <row r="38" ht="15" customHeight="1" s="122">
      <c r="A38" s="170">
        <f>IF(B38="","",IFERROR(LEFT(B38,FIND(" ",B38,FIND(" ",B38)+1)-1),TRIM(B38)))</f>
        <v/>
      </c>
      <c r="B38" s="171" t="inlineStr">
        <is>
          <t>KMGH 277Z North Rift</t>
        </is>
      </c>
      <c r="C38" s="172" t="inlineStr">
        <is>
          <t>nan</t>
        </is>
      </c>
      <c r="D38" s="172" t="inlineStr">
        <is>
          <t>FMB920</t>
        </is>
      </c>
      <c r="E38" s="171" t="inlineStr">
        <is>
          <t>nan</t>
        </is>
      </c>
      <c r="F38" s="172" t="inlineStr">
        <is>
          <t>nan</t>
        </is>
      </c>
      <c r="G38" s="172" t="inlineStr">
        <is>
          <t>nan</t>
        </is>
      </c>
      <c r="H38" s="172" t="inlineStr">
        <is>
          <t>-</t>
        </is>
      </c>
      <c r="I38" s="172" t="inlineStr">
        <is>
          <t>nan</t>
        </is>
      </c>
      <c r="J38" s="171" t="n"/>
      <c r="K38" s="173" t="n"/>
      <c r="L38" s="173" t="n"/>
      <c r="M38" s="174" t="n"/>
    </row>
    <row r="39" ht="15" customHeight="1" s="122">
      <c r="A39" s="170">
        <f>IF(B39="","",IFERROR(LEFT(B39,FIND(" ",B39,FIND(" ",B39)+1)-1),TRIM(B39)))</f>
        <v/>
      </c>
      <c r="B39" s="171" t="inlineStr">
        <is>
          <t>KAAB 203Z Nairobi</t>
        </is>
      </c>
      <c r="C39" s="172" t="inlineStr">
        <is>
          <t>[COMPANY]</t>
        </is>
      </c>
      <c r="D39" s="172" t="inlineStr">
        <is>
          <t>FMB920</t>
        </is>
      </c>
      <c r="E39" s="171" t="inlineStr">
        <is>
          <t>nan</t>
        </is>
      </c>
      <c r="F39" s="172" t="inlineStr">
        <is>
          <t>nan</t>
        </is>
      </c>
      <c r="G39" s="172" t="inlineStr">
        <is>
          <t>nan</t>
        </is>
      </c>
      <c r="H39" s="172" t="inlineStr">
        <is>
          <t>-</t>
        </is>
      </c>
      <c r="I39" s="172" t="inlineStr">
        <is>
          <t>nan</t>
        </is>
      </c>
      <c r="J39" s="171" t="n"/>
      <c r="K39" s="173" t="n"/>
      <c r="L39" s="173" t="n"/>
      <c r="M39" s="174" t="n">
        <v>2402.01</v>
      </c>
    </row>
    <row r="40" ht="15" customHeight="1" s="122">
      <c r="A40" s="170">
        <f>IF(B40="","",IFERROR(LEFT(B40,FIND(" ",B40,FIND(" ",B40)+1)-1),TRIM(B40)))</f>
        <v/>
      </c>
      <c r="B40" s="171" t="inlineStr">
        <is>
          <t>KMGH 292Z South Rift</t>
        </is>
      </c>
      <c r="C40" s="172" t="inlineStr">
        <is>
          <t>[COMPANY]</t>
        </is>
      </c>
      <c r="D40" s="172" t="inlineStr">
        <is>
          <t>FMB920</t>
        </is>
      </c>
      <c r="E40" s="171" t="inlineStr">
        <is>
          <t>nan</t>
        </is>
      </c>
      <c r="F40" s="172" t="inlineStr">
        <is>
          <t>nan</t>
        </is>
      </c>
      <c r="G40" s="172" t="inlineStr">
        <is>
          <t>nan</t>
        </is>
      </c>
      <c r="H40" s="172" t="inlineStr">
        <is>
          <t>-</t>
        </is>
      </c>
      <c r="I40" s="172" t="inlineStr">
        <is>
          <t>nan</t>
        </is>
      </c>
      <c r="J40" s="171" t="n"/>
      <c r="K40" s="173" t="n"/>
      <c r="L40" s="173" t="n"/>
      <c r="M40" s="174" t="n"/>
    </row>
    <row r="41" ht="15" customHeight="1" s="122">
      <c r="A41" s="170">
        <f>IF(B41="","",IFERROR(LEFT(B41,FIND(" ",B41,FIND(" ",B41)+1)-1),TRIM(B41)))</f>
        <v/>
      </c>
      <c r="B41" s="171" t="inlineStr">
        <is>
          <t>KAAB 200Z Coast</t>
        </is>
      </c>
      <c r="C41" s="172" t="inlineStr">
        <is>
          <t>[COMPANY]</t>
        </is>
      </c>
      <c r="D41" s="172" t="inlineStr">
        <is>
          <t>FMB920</t>
        </is>
      </c>
      <c r="E41" s="171" t="inlineStr">
        <is>
          <t>[COMPANY]</t>
        </is>
      </c>
      <c r="F41" s="172" t="inlineStr">
        <is>
          <t>nan</t>
        </is>
      </c>
      <c r="G41" s="172" t="inlineStr">
        <is>
          <t>nan</t>
        </is>
      </c>
      <c r="H41" s="172" t="inlineStr">
        <is>
          <t>-</t>
        </is>
      </c>
      <c r="I41" s="172" t="inlineStr">
        <is>
          <t>nan</t>
        </is>
      </c>
      <c r="J41" s="171" t="n"/>
      <c r="K41" s="173" t="n"/>
      <c r="L41" s="173" t="n"/>
      <c r="M41" s="174" t="n">
        <v>1300.91</v>
      </c>
    </row>
    <row r="42" ht="15" customHeight="1" s="122">
      <c r="A42" s="170">
        <f>IF(B42="","",IFERROR(LEFT(B42,FIND(" ",B42,FIND(" ",B42)+1)-1),TRIM(B42)))</f>
        <v/>
      </c>
      <c r="B42" s="171" t="inlineStr">
        <is>
          <t>KAAB 201Z NCBA L</t>
        </is>
      </c>
      <c r="C42" s="172" t="inlineStr">
        <is>
          <t>[COMPANY]</t>
        </is>
      </c>
      <c r="D42" s="172" t="inlineStr">
        <is>
          <t>FMB920</t>
        </is>
      </c>
      <c r="E42" s="171" t="inlineStr">
        <is>
          <t>[COMPANY]</t>
        </is>
      </c>
      <c r="F42" s="172" t="inlineStr">
        <is>
          <t>KAAB 201Z NCBA L</t>
        </is>
      </c>
      <c r="G42" s="172" t="inlineStr">
        <is>
          <t>KAAB 201Z NCBA L</t>
        </is>
      </c>
      <c r="H42" s="172" t="inlineStr">
        <is>
          <t>-</t>
        </is>
      </c>
      <c r="I42" s="172" t="inlineStr">
        <is>
          <t>[VIN_REDACTED]</t>
        </is>
      </c>
      <c r="J42" s="171" t="n"/>
      <c r="K42" s="173" t="n"/>
      <c r="L42" s="173" t="n"/>
      <c r="M42" s="174" t="n">
        <v>1611.11</v>
      </c>
    </row>
    <row r="43" ht="15" customHeight="1" s="122">
      <c r="A43" s="170">
        <f>IF(B43="","",IFERROR(LEFT(B43,FIND(" ",B43,FIND(" ",B43)+1)-1),TRIM(B43)))</f>
        <v/>
      </c>
      <c r="B43" s="171" t="inlineStr">
        <is>
          <t>KAAB 207Z North Rift</t>
        </is>
      </c>
      <c r="C43" s="172" t="inlineStr">
        <is>
          <t>[COMPANY]</t>
        </is>
      </c>
      <c r="D43" s="172" t="inlineStr">
        <is>
          <t>FMB920</t>
        </is>
      </c>
      <c r="E43" s="171" t="inlineStr">
        <is>
          <t>nan</t>
        </is>
      </c>
      <c r="F43" s="172" t="inlineStr">
        <is>
          <t>nan</t>
        </is>
      </c>
      <c r="G43" s="172" t="inlineStr">
        <is>
          <t>nan</t>
        </is>
      </c>
      <c r="H43" s="172" t="inlineStr">
        <is>
          <t>-</t>
        </is>
      </c>
      <c r="I43" s="172" t="inlineStr">
        <is>
          <t>nan</t>
        </is>
      </c>
      <c r="J43" s="171" t="n"/>
      <c r="K43" s="173" t="n"/>
      <c r="L43" s="173" t="n"/>
      <c r="M43" s="174" t="n">
        <v>1276.2</v>
      </c>
    </row>
    <row r="44" ht="15" customHeight="1" s="122">
      <c r="A44" s="170">
        <f>IF(B44="","",IFERROR(LEFT(B44,FIND(" ",B44,FIND(" ",B44)+1)-1),TRIM(B44)))</f>
        <v/>
      </c>
      <c r="B44" s="171" t="inlineStr">
        <is>
          <t>KAAB 208Z</t>
        </is>
      </c>
      <c r="C44" s="172" t="inlineStr">
        <is>
          <t>[COMPANY]</t>
        </is>
      </c>
      <c r="D44" s="172" t="inlineStr">
        <is>
          <t>FMB920</t>
        </is>
      </c>
      <c r="E44" s="171" t="inlineStr">
        <is>
          <t>nan</t>
        </is>
      </c>
      <c r="F44" s="172" t="inlineStr">
        <is>
          <t>nan</t>
        </is>
      </c>
      <c r="G44" s="172" t="inlineStr">
        <is>
          <t>nan</t>
        </is>
      </c>
      <c r="H44" s="172" t="inlineStr">
        <is>
          <t>-</t>
        </is>
      </c>
      <c r="I44" s="172" t="inlineStr">
        <is>
          <t>nan</t>
        </is>
      </c>
      <c r="J44" s="171" t="n"/>
      <c r="K44" s="173" t="n"/>
      <c r="L44" s="173" t="n"/>
      <c r="M44" s="174" t="n">
        <v>1347.24</v>
      </c>
    </row>
    <row r="45" ht="15" customHeight="1" s="122">
      <c r="A45" s="170">
        <f>IF(B45="","",IFERROR(LEFT(B45,FIND(" ",B45,FIND(" ",B45)+1)-1),TRIM(B45)))</f>
        <v/>
      </c>
      <c r="B45" s="171" t="inlineStr">
        <is>
          <t>KAAB 204Z North Rift</t>
        </is>
      </c>
      <c r="C45" s="172" t="inlineStr">
        <is>
          <t>[COMPANY]</t>
        </is>
      </c>
      <c r="D45" s="172" t="inlineStr">
        <is>
          <t>FMB920</t>
        </is>
      </c>
      <c r="E45" s="171" t="inlineStr">
        <is>
          <t>nan</t>
        </is>
      </c>
      <c r="F45" s="172" t="inlineStr">
        <is>
          <t>nan</t>
        </is>
      </c>
      <c r="G45" s="172" t="inlineStr">
        <is>
          <t>nan</t>
        </is>
      </c>
      <c r="H45" s="172" t="inlineStr">
        <is>
          <t>-</t>
        </is>
      </c>
      <c r="I45" s="172" t="inlineStr">
        <is>
          <t>nan</t>
        </is>
      </c>
      <c r="J45" s="171" t="n"/>
      <c r="K45" s="173" t="n"/>
      <c r="L45" s="173" t="n"/>
      <c r="M45" s="174" t="n">
        <v>1109.74</v>
      </c>
    </row>
    <row r="46" ht="15" customHeight="1" s="122">
      <c r="A46" s="170">
        <f>IF(B46="","",IFERROR(LEFT(B46,FIND(" ",B46,FIND(" ",B46)+1)-1),TRIM(B46)))</f>
        <v/>
      </c>
      <c r="B46" s="171" t="inlineStr">
        <is>
          <t>KMGH 373Z Nyanza</t>
        </is>
      </c>
      <c r="C46" s="172" t="inlineStr">
        <is>
          <t>[COMPANY]</t>
        </is>
      </c>
      <c r="D46" s="172" t="inlineStr">
        <is>
          <t>FMB920</t>
        </is>
      </c>
      <c r="E46" s="171" t="inlineStr">
        <is>
          <t>[COMPANY]</t>
        </is>
      </c>
      <c r="F46" s="172" t="inlineStr">
        <is>
          <t>nan</t>
        </is>
      </c>
      <c r="G46" s="172" t="inlineStr">
        <is>
          <t>nan</t>
        </is>
      </c>
      <c r="H46" s="172" t="inlineStr">
        <is>
          <t>-</t>
        </is>
      </c>
      <c r="I46" s="172" t="inlineStr">
        <is>
          <t>nan</t>
        </is>
      </c>
      <c r="J46" s="171" t="n"/>
      <c r="K46" s="173" t="n"/>
      <c r="L46" s="173" t="n"/>
      <c r="M46" s="174" t="n"/>
    </row>
    <row r="47" ht="15" customHeight="1" s="122">
      <c r="A47" s="170">
        <f>IF(B47="","",IFERROR(LEFT(B47,FIND(" ",B47,FIND(" ",B47)+1)-1),TRIM(B47)))</f>
        <v/>
      </c>
      <c r="B47" s="171" t="inlineStr">
        <is>
          <t>KMGH 380Z Western</t>
        </is>
      </c>
      <c r="C47" s="172" t="inlineStr">
        <is>
          <t>[COMPANY]</t>
        </is>
      </c>
      <c r="D47" s="172" t="inlineStr">
        <is>
          <t>FMB920</t>
        </is>
      </c>
      <c r="E47" s="171" t="inlineStr">
        <is>
          <t>Dlight</t>
        </is>
      </c>
      <c r="F47" s="172" t="inlineStr">
        <is>
          <t>nan</t>
        </is>
      </c>
      <c r="G47" s="172" t="inlineStr">
        <is>
          <t>nan</t>
        </is>
      </c>
      <c r="H47" s="172" t="inlineStr">
        <is>
          <t>-</t>
        </is>
      </c>
      <c r="I47" s="172" t="inlineStr">
        <is>
          <t>nan</t>
        </is>
      </c>
      <c r="J47" s="171" t="n"/>
      <c r="K47" s="173" t="n"/>
      <c r="L47" s="173" t="n"/>
      <c r="M47" s="174" t="n"/>
    </row>
    <row r="48" ht="15" customHeight="1" s="122">
      <c r="A48" s="170">
        <f>IF(B48="","",IFERROR(LEFT(B48,FIND(" ",B48,FIND(" ",B48)+1)-1),TRIM(B48)))</f>
        <v/>
      </c>
      <c r="B48" s="171" t="inlineStr">
        <is>
          <t>KMGH 517Z Nyanza</t>
        </is>
      </c>
      <c r="C48" s="172" t="inlineStr">
        <is>
          <t>[COMPANY]</t>
        </is>
      </c>
      <c r="D48" s="172" t="inlineStr">
        <is>
          <t>FMB920</t>
        </is>
      </c>
      <c r="E48" s="171" t="inlineStr">
        <is>
          <t>NCBA</t>
        </is>
      </c>
      <c r="F48" s="172" t="inlineStr">
        <is>
          <t>KMGH 517Z Nyanza</t>
        </is>
      </c>
      <c r="G48" s="172" t="inlineStr">
        <is>
          <t>KMGH 517Z Nyanza</t>
        </is>
      </c>
      <c r="H48" s="172" t="inlineStr">
        <is>
          <t>-</t>
        </is>
      </c>
      <c r="I48" s="172" t="inlineStr">
        <is>
          <t>nan</t>
        </is>
      </c>
      <c r="J48" s="171" t="n"/>
      <c r="K48" s="173" t="n"/>
      <c r="L48" s="173" t="n"/>
      <c r="M48" s="174" t="n">
        <v>0.04</v>
      </c>
    </row>
    <row r="49" ht="15" customHeight="1" s="122">
      <c r="A49" s="170">
        <f>IF(B49="","",IFERROR(LEFT(B49,FIND(" ",B49,FIND(" ",B49)+1)-1),TRIM(B49)))</f>
        <v/>
      </c>
      <c r="B49" s="171" t="inlineStr">
        <is>
          <t>KAAB 209Z South Rift</t>
        </is>
      </c>
      <c r="C49" s="172" t="inlineStr">
        <is>
          <t>[COMPANY]</t>
        </is>
      </c>
      <c r="D49" s="172" t="inlineStr">
        <is>
          <t>FMB920</t>
        </is>
      </c>
      <c r="E49" s="171" t="inlineStr">
        <is>
          <t>nan</t>
        </is>
      </c>
      <c r="F49" s="172" t="inlineStr">
        <is>
          <t>nan</t>
        </is>
      </c>
      <c r="G49" s="172" t="inlineStr">
        <is>
          <t>nan</t>
        </is>
      </c>
      <c r="H49" s="172" t="inlineStr">
        <is>
          <t>-</t>
        </is>
      </c>
      <c r="I49" s="172" t="inlineStr">
        <is>
          <t>nan</t>
        </is>
      </c>
      <c r="J49" s="171" t="n"/>
      <c r="K49" s="173" t="n"/>
      <c r="L49" s="173" t="n"/>
      <c r="M49" s="174" t="n">
        <v>1074.72</v>
      </c>
    </row>
    <row r="50" ht="15" customHeight="1" s="122">
      <c r="A50" s="170">
        <f>IF(B50="","",IFERROR(LEFT(B50,FIND(" ",B50,FIND(" ",B50)+1)-1),TRIM(B50)))</f>
        <v/>
      </c>
      <c r="B50" s="171" t="inlineStr">
        <is>
          <t>KMGH 669Z Nyanza</t>
        </is>
      </c>
      <c r="C50" s="172" t="inlineStr">
        <is>
          <t>[COMPANY]</t>
        </is>
      </c>
      <c r="D50" s="172" t="inlineStr">
        <is>
          <t>FMB920</t>
        </is>
      </c>
      <c r="E50" s="171" t="inlineStr">
        <is>
          <t>Driver_64</t>
        </is>
      </c>
      <c r="F50" s="172" t="inlineStr">
        <is>
          <t>nan</t>
        </is>
      </c>
      <c r="G50" s="172" t="inlineStr">
        <is>
          <t>nan</t>
        </is>
      </c>
      <c r="H50" s="172" t="inlineStr">
        <is>
          <t>-</t>
        </is>
      </c>
      <c r="I50" s="172" t="inlineStr">
        <is>
          <t>nan</t>
        </is>
      </c>
      <c r="J50" s="171" t="n"/>
      <c r="K50" s="173" t="n"/>
      <c r="L50" s="173" t="n"/>
      <c r="M50" s="174" t="n"/>
    </row>
    <row r="51" ht="15" customHeight="1" s="122">
      <c r="A51" s="170">
        <f>IF(B51="","",IFERROR(LEFT(B51,FIND(" ",B51,FIND(" ",B51)+1)-1),TRIM(B51)))</f>
        <v/>
      </c>
      <c r="B51" s="171" t="inlineStr">
        <is>
          <t>KAAB 205Z North Rift</t>
        </is>
      </c>
      <c r="C51" s="172" t="inlineStr">
        <is>
          <t>[COMPANY]</t>
        </is>
      </c>
      <c r="D51" s="172" t="inlineStr">
        <is>
          <t>FMB920</t>
        </is>
      </c>
      <c r="E51" s="171" t="inlineStr">
        <is>
          <t>nan</t>
        </is>
      </c>
      <c r="F51" s="172" t="inlineStr">
        <is>
          <t>nan</t>
        </is>
      </c>
      <c r="G51" s="172" t="inlineStr">
        <is>
          <t>nan</t>
        </is>
      </c>
      <c r="H51" s="172" t="inlineStr">
        <is>
          <t>-</t>
        </is>
      </c>
      <c r="I51" s="172" t="inlineStr">
        <is>
          <t>nan</t>
        </is>
      </c>
      <c r="J51" s="171" t="n"/>
      <c r="K51" s="173" t="n"/>
      <c r="L51" s="173" t="n"/>
      <c r="M51" s="174" t="n">
        <v>1652.66</v>
      </c>
    </row>
    <row r="52" ht="15" customHeight="1" s="122">
      <c r="A52" s="170">
        <f>IF(B52="","",IFERROR(LEFT(B52,FIND(" ",B52,FIND(" ",B52)+1)-1),TRIM(B52)))</f>
        <v/>
      </c>
      <c r="B52" s="171" t="inlineStr">
        <is>
          <t>KAAC 302C Nairobi</t>
        </is>
      </c>
      <c r="C52" s="172" t="inlineStr">
        <is>
          <t>[COMPANY]</t>
        </is>
      </c>
      <c r="D52" s="172" t="inlineStr">
        <is>
          <t>FMB920</t>
        </is>
      </c>
      <c r="E52" s="171" t="inlineStr">
        <is>
          <t>nan</t>
        </is>
      </c>
      <c r="F52" s="172" t="inlineStr">
        <is>
          <t>nan</t>
        </is>
      </c>
      <c r="G52" s="172" t="inlineStr">
        <is>
          <t>nan</t>
        </is>
      </c>
      <c r="H52" s="172" t="inlineStr">
        <is>
          <t>-</t>
        </is>
      </c>
      <c r="I52" s="172" t="inlineStr">
        <is>
          <t>nan</t>
        </is>
      </c>
      <c r="J52" s="171" t="n"/>
      <c r="K52" s="173" t="n"/>
      <c r="L52" s="173" t="n"/>
      <c r="M52" s="174" t="n"/>
    </row>
    <row r="53" ht="15" customHeight="1" s="122">
      <c r="A53" s="170">
        <f>IF(B53="","",IFERROR(LEFT(B53,FIND(" ",B53,FIND(" ",B53)+1)-1),TRIM(B53)))</f>
        <v/>
      </c>
      <c r="B53" s="171" t="inlineStr">
        <is>
          <t>KAAC 300C Coast</t>
        </is>
      </c>
      <c r="C53" s="172" t="inlineStr">
        <is>
          <t>[COMPANY]</t>
        </is>
      </c>
      <c r="D53" s="172" t="inlineStr">
        <is>
          <t>FMB920</t>
        </is>
      </c>
      <c r="E53" s="171" t="inlineStr">
        <is>
          <t>Driver_63</t>
        </is>
      </c>
      <c r="F53" s="172" t="inlineStr">
        <is>
          <t>nan</t>
        </is>
      </c>
      <c r="G53" s="172" t="inlineStr">
        <is>
          <t>nan</t>
        </is>
      </c>
      <c r="H53" s="172" t="inlineStr">
        <is>
          <t>-</t>
        </is>
      </c>
      <c r="I53" s="172" t="inlineStr">
        <is>
          <t>nan</t>
        </is>
      </c>
      <c r="J53" s="171" t="n"/>
      <c r="K53" s="173" t="n"/>
      <c r="L53" s="173" t="n"/>
      <c r="M53" s="174" t="n">
        <v>1767.4</v>
      </c>
    </row>
    <row r="54" ht="15" customHeight="1" s="122">
      <c r="A54" s="170">
        <f>IF(B54="","",IFERROR(LEFT(B54,FIND(" ",B54,FIND(" ",B54)+1)-1),TRIM(B54)))</f>
        <v/>
      </c>
      <c r="B54" s="171" t="inlineStr">
        <is>
          <t>KAAC 315C Western</t>
        </is>
      </c>
      <c r="C54" s="172" t="inlineStr">
        <is>
          <t>[COMPANY]</t>
        </is>
      </c>
      <c r="D54" s="172" t="inlineStr">
        <is>
          <t>FMB920</t>
        </is>
      </c>
      <c r="E54" s="171" t="inlineStr">
        <is>
          <t>Driver_57</t>
        </is>
      </c>
      <c r="F54" s="172" t="inlineStr">
        <is>
          <t>KAAC 315C Western</t>
        </is>
      </c>
      <c r="G54" s="172" t="inlineStr">
        <is>
          <t>KAAC 315C Western</t>
        </is>
      </c>
      <c r="H54" s="172" t="inlineStr">
        <is>
          <t>-</t>
        </is>
      </c>
      <c r="I54" s="172" t="inlineStr">
        <is>
          <t>nan</t>
        </is>
      </c>
      <c r="J54" s="171" t="n"/>
      <c r="K54" s="173" t="n"/>
      <c r="L54" s="173" t="n"/>
      <c r="M54" s="174" t="n">
        <v>1663.7</v>
      </c>
    </row>
    <row r="55" ht="15" customHeight="1" s="122">
      <c r="A55" s="170">
        <f>IF(B55="","",IFERROR(LEFT(B55,FIND(" ",B55,FIND(" ",B55)+1)-1),TRIM(B55)))</f>
        <v/>
      </c>
      <c r="B55" s="171" t="inlineStr">
        <is>
          <t>KMGJ 359C South Rift</t>
        </is>
      </c>
      <c r="C55" s="172" t="inlineStr">
        <is>
          <t>[COMPANY]</t>
        </is>
      </c>
      <c r="D55" s="172" t="inlineStr">
        <is>
          <t>FMB920</t>
        </is>
      </c>
      <c r="E55" s="171" t="inlineStr">
        <is>
          <t>NCBA</t>
        </is>
      </c>
      <c r="F55" s="172" t="inlineStr">
        <is>
          <t>KMGJ 359C South Rift</t>
        </is>
      </c>
      <c r="G55" s="172" t="inlineStr">
        <is>
          <t>KMGJ 359C South Rift</t>
        </is>
      </c>
      <c r="H55" s="172" t="inlineStr">
        <is>
          <t>-</t>
        </is>
      </c>
      <c r="I55" s="172" t="inlineStr">
        <is>
          <t>nan</t>
        </is>
      </c>
      <c r="J55" s="171" t="n"/>
      <c r="K55" s="173" t="n"/>
      <c r="L55" s="173" t="n"/>
      <c r="M55" s="174" t="n"/>
    </row>
    <row r="56" ht="15" customHeight="1" s="122">
      <c r="A56" s="170">
        <f>IF(B56="","",IFERROR(LEFT(B56,FIND(" ",B56,FIND(" ",B56)+1)-1),TRIM(B56)))</f>
        <v/>
      </c>
      <c r="B56" s="171" t="inlineStr">
        <is>
          <t>KAAC 301C Coast</t>
        </is>
      </c>
      <c r="C56" s="172" t="inlineStr">
        <is>
          <t>[COMPANY]</t>
        </is>
      </c>
      <c r="D56" s="172" t="inlineStr">
        <is>
          <t>FMB920</t>
        </is>
      </c>
      <c r="E56" s="171" t="inlineStr">
        <is>
          <t>Driver_59</t>
        </is>
      </c>
      <c r="F56" s="172" t="inlineStr">
        <is>
          <t>nan</t>
        </is>
      </c>
      <c r="G56" s="172" t="inlineStr">
        <is>
          <t>nan</t>
        </is>
      </c>
      <c r="H56" s="172" t="inlineStr">
        <is>
          <t>-</t>
        </is>
      </c>
      <c r="I56" s="172" t="inlineStr">
        <is>
          <t>nan</t>
        </is>
      </c>
      <c r="J56" s="171" t="n"/>
      <c r="K56" s="173" t="n"/>
      <c r="L56" s="173" t="n"/>
      <c r="M56" s="174" t="n">
        <v>1904.06</v>
      </c>
    </row>
    <row r="57" ht="15" customHeight="1" s="122">
      <c r="A57" s="170">
        <f>IF(B57="","",IFERROR(LEFT(B57,FIND(" ",B57,FIND(" ",B57)+1)-1),TRIM(B57)))</f>
        <v/>
      </c>
      <c r="B57" s="171" t="inlineStr">
        <is>
          <t>KAAC 303C Nairobi</t>
        </is>
      </c>
      <c r="C57" s="172" t="inlineStr">
        <is>
          <t>[COMPANY]</t>
        </is>
      </c>
      <c r="D57" s="172" t="inlineStr">
        <is>
          <t>FMB920</t>
        </is>
      </c>
      <c r="E57" s="171" t="inlineStr">
        <is>
          <t>nan</t>
        </is>
      </c>
      <c r="F57" s="172" t="inlineStr">
        <is>
          <t>nan</t>
        </is>
      </c>
      <c r="G57" s="172" t="inlineStr">
        <is>
          <t>nan</t>
        </is>
      </c>
      <c r="H57" s="172" t="inlineStr">
        <is>
          <t>-</t>
        </is>
      </c>
      <c r="I57" s="172" t="inlineStr">
        <is>
          <t>nan</t>
        </is>
      </c>
      <c r="J57" s="171" t="n"/>
      <c r="K57" s="173" t="n"/>
      <c r="L57" s="173" t="n"/>
      <c r="M57" s="174" t="n">
        <v>1821.87</v>
      </c>
    </row>
    <row r="58" ht="15" customHeight="1" s="122">
      <c r="A58" s="170">
        <f>IF(B58="","",IFERROR(LEFT(B58,FIND(" ",B58,FIND(" ",B58)+1)-1),TRIM(B58)))</f>
        <v/>
      </c>
      <c r="B58" s="171" t="inlineStr">
        <is>
          <t>KAAC 312C Mount Kenya</t>
        </is>
      </c>
      <c r="C58" s="172" t="inlineStr">
        <is>
          <t>[COMPANY]</t>
        </is>
      </c>
      <c r="D58" s="172" t="inlineStr">
        <is>
          <t>FMB920</t>
        </is>
      </c>
      <c r="E58" s="171" t="inlineStr">
        <is>
          <t>nan</t>
        </is>
      </c>
      <c r="F58" s="172" t="inlineStr">
        <is>
          <t>nan</t>
        </is>
      </c>
      <c r="G58" s="172" t="inlineStr">
        <is>
          <t>nan</t>
        </is>
      </c>
      <c r="H58" s="172" t="inlineStr">
        <is>
          <t>-</t>
        </is>
      </c>
      <c r="I58" s="172" t="inlineStr">
        <is>
          <t>nan</t>
        </is>
      </c>
      <c r="J58" s="171" t="n"/>
      <c r="K58" s="173" t="n"/>
      <c r="L58" s="173" t="n"/>
      <c r="M58" s="174" t="n">
        <v>464.19</v>
      </c>
    </row>
    <row r="59" ht="15" customHeight="1" s="122">
      <c r="A59" s="170">
        <f>IF(B59="","",IFERROR(LEFT(B59,FIND(" ",B59,FIND(" ",B59)+1)-1),TRIM(B59)))</f>
        <v/>
      </c>
      <c r="B59" s="171" t="inlineStr">
        <is>
          <t>KAAC 314C Western</t>
        </is>
      </c>
      <c r="C59" s="172" t="inlineStr">
        <is>
          <t>[COMPANY]</t>
        </is>
      </c>
      <c r="D59" s="172" t="inlineStr">
        <is>
          <t>FMB920</t>
        </is>
      </c>
      <c r="E59" s="171" t="inlineStr">
        <is>
          <t>Driver_56</t>
        </is>
      </c>
      <c r="F59" s="172" t="inlineStr">
        <is>
          <t>nan</t>
        </is>
      </c>
      <c r="G59" s="172" t="inlineStr">
        <is>
          <t>nan</t>
        </is>
      </c>
      <c r="H59" s="172" t="inlineStr">
        <is>
          <t>-</t>
        </is>
      </c>
      <c r="I59" s="172" t="inlineStr">
        <is>
          <t>nan</t>
        </is>
      </c>
      <c r="J59" s="171" t="n"/>
      <c r="K59" s="173" t="n"/>
      <c r="L59" s="173" t="n"/>
      <c r="M59" s="174" t="n">
        <v>1239.36</v>
      </c>
    </row>
    <row r="60" ht="15" customHeight="1" s="122">
      <c r="A60" s="170">
        <f>IF(B60="","",IFERROR(LEFT(B60,FIND(" ",B60,FIND(" ",B60)+1)-1),TRIM(B60)))</f>
        <v/>
      </c>
      <c r="B60" s="171" t="inlineStr">
        <is>
          <t>KAAC 313C South Rift</t>
        </is>
      </c>
      <c r="C60" s="172" t="inlineStr">
        <is>
          <t>[COMPANY]</t>
        </is>
      </c>
      <c r="D60" s="172" t="inlineStr">
        <is>
          <t>FMB920</t>
        </is>
      </c>
      <c r="E60" s="171" t="inlineStr">
        <is>
          <t>nan</t>
        </is>
      </c>
      <c r="F60" s="172" t="inlineStr">
        <is>
          <t>nan</t>
        </is>
      </c>
      <c r="G60" s="172" t="inlineStr">
        <is>
          <t>nan</t>
        </is>
      </c>
      <c r="H60" s="172" t="inlineStr">
        <is>
          <t>-</t>
        </is>
      </c>
      <c r="I60" s="172" t="inlineStr">
        <is>
          <t>nan</t>
        </is>
      </c>
      <c r="J60" s="171" t="n"/>
      <c r="K60" s="173" t="n"/>
      <c r="L60" s="173" t="n"/>
      <c r="M60" s="174" t="n">
        <v>477.79</v>
      </c>
    </row>
    <row r="61" ht="15" customHeight="1" s="122">
      <c r="A61" s="170">
        <f>IF(B61="","",IFERROR(LEFT(B61,FIND(" ",B61,FIND(" ",B61)+1)-1),TRIM(B61)))</f>
        <v/>
      </c>
      <c r="B61" s="171" t="inlineStr">
        <is>
          <t>KAAC 304C Nairobi</t>
        </is>
      </c>
      <c r="C61" s="172" t="inlineStr">
        <is>
          <t>[COMPANY]</t>
        </is>
      </c>
      <c r="D61" s="172" t="inlineStr">
        <is>
          <t>FMB920</t>
        </is>
      </c>
      <c r="E61" s="171" t="inlineStr">
        <is>
          <t>nan</t>
        </is>
      </c>
      <c r="F61" s="172" t="inlineStr">
        <is>
          <t>nan</t>
        </is>
      </c>
      <c r="G61" s="172" t="inlineStr">
        <is>
          <t>nan</t>
        </is>
      </c>
      <c r="H61" s="172" t="inlineStr">
        <is>
          <t>-</t>
        </is>
      </c>
      <c r="I61" s="172" t="inlineStr">
        <is>
          <t>nan</t>
        </is>
      </c>
      <c r="J61" s="171" t="n"/>
      <c r="K61" s="173" t="n"/>
      <c r="L61" s="173" t="n"/>
      <c r="M61" s="174" t="n">
        <v>200.07</v>
      </c>
    </row>
    <row r="62" ht="15" customHeight="1" s="122">
      <c r="A62" s="170">
        <f>IF(B62="","",IFERROR(LEFT(B62,FIND(" ",B62,FIND(" ",B62)+1)-1),TRIM(B62)))</f>
        <v/>
      </c>
      <c r="B62" s="171" t="inlineStr">
        <is>
          <t>KAAC 306C North Rift</t>
        </is>
      </c>
      <c r="C62" s="172" t="inlineStr">
        <is>
          <t>[COMPANY]</t>
        </is>
      </c>
      <c r="D62" s="172" t="inlineStr">
        <is>
          <t>FMB920</t>
        </is>
      </c>
      <c r="E62" s="171" t="inlineStr">
        <is>
          <t>nan</t>
        </is>
      </c>
      <c r="F62" s="172" t="inlineStr">
        <is>
          <t>nan</t>
        </is>
      </c>
      <c r="G62" s="172" t="inlineStr">
        <is>
          <t>nan</t>
        </is>
      </c>
      <c r="H62" s="172" t="inlineStr">
        <is>
          <t>-</t>
        </is>
      </c>
      <c r="I62" s="172" t="inlineStr">
        <is>
          <t>nan</t>
        </is>
      </c>
      <c r="J62" s="171" t="n"/>
      <c r="K62" s="173" t="n"/>
      <c r="L62" s="173" t="n"/>
      <c r="M62" s="174" t="n">
        <v>425.07</v>
      </c>
    </row>
    <row r="63" ht="15" customHeight="1" s="122">
      <c r="A63" s="170">
        <f>IF(B63="","",IFERROR(LEFT(B63,FIND(" ",B63,FIND(" ",B63)+1)-1),TRIM(B63)))</f>
        <v/>
      </c>
      <c r="B63" s="171" t="inlineStr">
        <is>
          <t>KAAC 307C North Rift</t>
        </is>
      </c>
      <c r="C63" s="172" t="inlineStr">
        <is>
          <t>[COMPANY]</t>
        </is>
      </c>
      <c r="D63" s="172" t="inlineStr">
        <is>
          <t>FMB920</t>
        </is>
      </c>
      <c r="E63" s="171" t="inlineStr">
        <is>
          <t>nan</t>
        </is>
      </c>
      <c r="F63" s="172" t="inlineStr">
        <is>
          <t>nan</t>
        </is>
      </c>
      <c r="G63" s="172" t="inlineStr">
        <is>
          <t>nan</t>
        </is>
      </c>
      <c r="H63" s="172" t="inlineStr">
        <is>
          <t>-</t>
        </is>
      </c>
      <c r="I63" s="172" t="inlineStr">
        <is>
          <t>nan</t>
        </is>
      </c>
      <c r="J63" s="171" t="n"/>
      <c r="K63" s="173" t="n"/>
      <c r="L63" s="173" t="n"/>
      <c r="M63" s="174" t="n">
        <v>1763.92</v>
      </c>
    </row>
    <row r="64" ht="15" customHeight="1" s="122">
      <c r="A64" s="170">
        <f>IF(B64="","",IFERROR(LEFT(B64,FIND(" ",B64,FIND(" ",B64)+1)-1),TRIM(B64)))</f>
        <v/>
      </c>
      <c r="B64" s="171" t="inlineStr">
        <is>
          <t>KAAC 308C North Rift</t>
        </is>
      </c>
      <c r="C64" s="172" t="inlineStr">
        <is>
          <t>[COMPANY]</t>
        </is>
      </c>
      <c r="D64" s="172" t="inlineStr">
        <is>
          <t>HONDA ACE 125</t>
        </is>
      </c>
      <c r="E64" s="171" t="inlineStr">
        <is>
          <t>nan</t>
        </is>
      </c>
      <c r="F64" s="172" t="inlineStr">
        <is>
          <t>KAAC 308C</t>
        </is>
      </c>
      <c r="G64" s="172" t="inlineStr">
        <is>
          <t>KAAC 308C</t>
        </is>
      </c>
      <c r="H64" s="172" t="inlineStr">
        <is>
          <t>-</t>
        </is>
      </c>
      <c r="I64" s="172" t="inlineStr">
        <is>
          <t>[VIN_REDACTED]</t>
        </is>
      </c>
      <c r="J64" s="171" t="n"/>
      <c r="K64" s="173" t="n"/>
      <c r="L64" s="173" t="n"/>
      <c r="M64" s="174" t="n">
        <v>1537.08</v>
      </c>
    </row>
    <row r="65" ht="15" customHeight="1" s="122">
      <c r="A65" s="170">
        <f>IF(B65="","",IFERROR(LEFT(B65,FIND(" ",B65,FIND(" ",B65)+1)-1),TRIM(B65)))</f>
        <v/>
      </c>
      <c r="B65" s="171" t="inlineStr">
        <is>
          <t>KAAC 310C South Rift</t>
        </is>
      </c>
      <c r="C65" s="172" t="inlineStr">
        <is>
          <t>[COMPANY]</t>
        </is>
      </c>
      <c r="D65" s="172" t="inlineStr">
        <is>
          <t>HONDA ACE 125</t>
        </is>
      </c>
      <c r="E65" s="171" t="inlineStr">
        <is>
          <t>[COMPANY]</t>
        </is>
      </c>
      <c r="F65" s="172" t="inlineStr">
        <is>
          <t>KAAC 310C</t>
        </is>
      </c>
      <c r="G65" s="172" t="inlineStr">
        <is>
          <t>KAAC 310C</t>
        </is>
      </c>
      <c r="H65" s="172" t="inlineStr">
        <is>
          <t>-</t>
        </is>
      </c>
      <c r="I65" s="172" t="inlineStr">
        <is>
          <t>H5007752</t>
        </is>
      </c>
      <c r="J65" s="171" t="n"/>
      <c r="K65" s="173" t="n"/>
      <c r="L65" s="173" t="n"/>
      <c r="M65" s="174" t="n">
        <v>287.51</v>
      </c>
    </row>
    <row r="66" ht="15" customHeight="1" s="122">
      <c r="A66" s="170">
        <f>IF(B66="","",IFERROR(LEFT(B66,FIND(" ",B66,FIND(" ",B66)+1)-1),TRIM(B66)))</f>
        <v/>
      </c>
      <c r="B66" s="171" t="inlineStr">
        <is>
          <t>KAAC 309C Nyanza</t>
        </is>
      </c>
      <c r="C66" s="172" t="inlineStr">
        <is>
          <t>[COMPANY]</t>
        </is>
      </c>
      <c r="D66" s="172" t="inlineStr">
        <is>
          <t>HONDA ACE 125</t>
        </is>
      </c>
      <c r="E66" s="171" t="inlineStr">
        <is>
          <t>[COMPANY]</t>
        </is>
      </c>
      <c r="F66" s="172" t="inlineStr">
        <is>
          <t>KAAC 309C</t>
        </is>
      </c>
      <c r="G66" s="172" t="inlineStr">
        <is>
          <t>KAAC 309C</t>
        </is>
      </c>
      <c r="H66" s="172" t="inlineStr">
        <is>
          <t>-</t>
        </is>
      </c>
      <c r="I66" s="172" t="inlineStr">
        <is>
          <t>H5007695</t>
        </is>
      </c>
      <c r="J66" s="171" t="n"/>
      <c r="K66" s="173" t="n"/>
      <c r="L66" s="173" t="n"/>
      <c r="M66" s="174" t="n">
        <v>715.0599999999999</v>
      </c>
    </row>
    <row r="67" ht="15" customHeight="1" s="122">
      <c r="A67" s="170">
        <f>IF(B67="","",IFERROR(LEFT(B67,FIND(" ",B67,FIND(" ",B67)+1)-1),TRIM(B67)))</f>
        <v/>
      </c>
      <c r="B67" s="171" t="inlineStr">
        <is>
          <t>KMGJ 604C EDWIN BIKE</t>
        </is>
      </c>
      <c r="C67" s="172" t="inlineStr">
        <is>
          <t>[COMPANY]</t>
        </is>
      </c>
      <c r="D67" s="172" t="inlineStr">
        <is>
          <t>HONDA ACE 125</t>
        </is>
      </c>
      <c r="E67" s="171" t="inlineStr">
        <is>
          <t>Driver_66</t>
        </is>
      </c>
      <c r="F67" s="172" t="inlineStr">
        <is>
          <t>KMGJ 604C EDWIN BIKE</t>
        </is>
      </c>
      <c r="G67" s="172" t="inlineStr">
        <is>
          <t>KMGJ 604C EDWIN BIKE</t>
        </is>
      </c>
      <c r="H67" s="172" t="inlineStr">
        <is>
          <t>-</t>
        </is>
      </c>
      <c r="I67" s="172" t="inlineStr">
        <is>
          <t>H5007732</t>
        </is>
      </c>
      <c r="J67" s="171" t="n"/>
      <c r="K67" s="173" t="n"/>
      <c r="L67" s="173" t="n"/>
      <c r="M67" s="174" t="n">
        <v>1217.81</v>
      </c>
    </row>
    <row r="68" ht="15" customHeight="1" s="122">
      <c r="A68" s="170">
        <f>IF(B68="","",IFERROR(LEFT(B68,FIND(" ",B68,FIND(" ",B68)+1)-1),TRIM(B68)))</f>
        <v/>
      </c>
      <c r="B68" s="171" t="inlineStr">
        <is>
          <t>KAAC 305C North Rift</t>
        </is>
      </c>
      <c r="C68" s="172" t="inlineStr">
        <is>
          <t>[COMPANY]</t>
        </is>
      </c>
      <c r="D68" s="172" t="inlineStr">
        <is>
          <t>HONDA ACE 125</t>
        </is>
      </c>
      <c r="E68" s="171" t="inlineStr">
        <is>
          <t>nan</t>
        </is>
      </c>
      <c r="F68" s="172" t="inlineStr">
        <is>
          <t>KAAC 305C</t>
        </is>
      </c>
      <c r="G68" s="172" t="inlineStr">
        <is>
          <t>KAAC 305C</t>
        </is>
      </c>
      <c r="H68" s="172" t="inlineStr">
        <is>
          <t>-</t>
        </is>
      </c>
      <c r="I68" s="172" t="inlineStr">
        <is>
          <t>H5007759</t>
        </is>
      </c>
      <c r="J68" s="171" t="n"/>
      <c r="K68" s="173" t="n"/>
      <c r="L68" s="173" t="n"/>
      <c r="M68" s="174" t="n">
        <v>2549.42</v>
      </c>
    </row>
    <row r="69" ht="15" customHeight="1" s="122">
      <c r="A69" s="170">
        <f>IF(B69="","",IFERROR(LEFT(B69,FIND(" ",B69,FIND(" ",B69)+1)-1),TRIM(B69)))</f>
        <v/>
      </c>
      <c r="B69" s="171" t="inlineStr">
        <is>
          <t>KMGJ 646C Nyanza</t>
        </is>
      </c>
      <c r="C69" s="172" t="inlineStr">
        <is>
          <t>[COMPANY]</t>
        </is>
      </c>
      <c r="D69" s="172" t="inlineStr">
        <is>
          <t>HONDA ACE 125</t>
        </is>
      </c>
      <c r="E69" s="171" t="inlineStr">
        <is>
          <t>nan</t>
        </is>
      </c>
      <c r="F69" s="172" t="inlineStr">
        <is>
          <t>KMGJ 646C</t>
        </is>
      </c>
      <c r="G69" s="172" t="inlineStr">
        <is>
          <t>KMGJ 646C</t>
        </is>
      </c>
      <c r="H69" s="172" t="inlineStr">
        <is>
          <t>-</t>
        </is>
      </c>
      <c r="I69" s="172" t="inlineStr">
        <is>
          <t>H5007753</t>
        </is>
      </c>
      <c r="J69" s="171" t="n"/>
      <c r="K69" s="173" t="n"/>
      <c r="L69" s="173" t="n"/>
      <c r="M69" s="174" t="n"/>
    </row>
    <row r="70" ht="15" customHeight="1" s="122">
      <c r="A70" s="170">
        <f>IF(B70="","",IFERROR(LEFT(B70,FIND(" ",B70,FIND(" ",B70)+1)-1),TRIM(B70)))</f>
        <v/>
      </c>
      <c r="B70" s="171" t="inlineStr">
        <is>
          <t>KAAC 311C</t>
        </is>
      </c>
      <c r="C70" s="172" t="inlineStr">
        <is>
          <t>[COMPANY]</t>
        </is>
      </c>
      <c r="D70" s="172" t="inlineStr">
        <is>
          <t>HONDA ACE 125</t>
        </is>
      </c>
      <c r="E70" s="171" t="inlineStr">
        <is>
          <t>nan</t>
        </is>
      </c>
      <c r="F70" s="172" t="inlineStr">
        <is>
          <t>KAAC 311C</t>
        </is>
      </c>
      <c r="G70" s="172" t="inlineStr">
        <is>
          <t>KAAC 311C</t>
        </is>
      </c>
      <c r="H70" s="172" t="inlineStr">
        <is>
          <t>-</t>
        </is>
      </c>
      <c r="I70" s="172" t="inlineStr">
        <is>
          <t>H5007726</t>
        </is>
      </c>
      <c r="J70" s="171" t="n"/>
      <c r="K70" s="173" t="n"/>
      <c r="L70" s="173" t="n"/>
      <c r="M70" s="174" t="n">
        <v>618.35</v>
      </c>
    </row>
    <row r="71" ht="15" customHeight="1" s="122">
      <c r="A71" s="170">
        <f>IF(B71="","",IFERROR(LEFT(B71,FIND(" ",B71,FIND(" ",B71)+1)-1),TRIM(B71)))</f>
        <v/>
      </c>
      <c r="B71" s="171" t="inlineStr">
        <is>
          <t>KMGJ 681C Nyanza</t>
        </is>
      </c>
      <c r="C71" s="172" t="inlineStr">
        <is>
          <t>[COMPANY]</t>
        </is>
      </c>
      <c r="D71" s="172" t="inlineStr">
        <is>
          <t>HONDA ACE 125</t>
        </is>
      </c>
      <c r="E71" s="171" t="inlineStr">
        <is>
          <t>nan</t>
        </is>
      </c>
      <c r="F71" s="172" t="inlineStr">
        <is>
          <t>KMGJ 681C</t>
        </is>
      </c>
      <c r="G71" s="172" t="inlineStr">
        <is>
          <t>KMGJ 681C</t>
        </is>
      </c>
      <c r="H71" s="172" t="inlineStr">
        <is>
          <t>-</t>
        </is>
      </c>
      <c r="I71" s="172" t="inlineStr">
        <is>
          <t>H5007756</t>
        </is>
      </c>
      <c r="J71" s="171" t="n"/>
      <c r="K71" s="173" t="n"/>
      <c r="L71" s="173" t="n"/>
      <c r="M71" s="174" t="n">
        <v>0.01</v>
      </c>
    </row>
    <row r="72" ht="15" customHeight="1" s="122">
      <c r="A72" s="175">
        <f>IF(B72="","",IFERROR(LEFT(B72,FIND(" ",B72,FIND(" ",B72)+1)-1),TRIM(B72)))</f>
        <v/>
      </c>
    </row>
    <row r="73" ht="15" customHeight="1" s="122">
      <c r="A73" s="175">
        <f>IF(B73="","",IFERROR(LEFT(B73,FIND(" ",B73,FIND(" ",B73)+1)-1),TRIM(B73)))</f>
        <v/>
      </c>
    </row>
    <row r="74" ht="15" customHeight="1" s="122">
      <c r="A74" s="175">
        <f>IF(B74="","",IFERROR(LEFT(B74,FIND(" ",B74,FIND(" ",B74)+1)-1),TRIM(B74)))</f>
        <v/>
      </c>
    </row>
    <row r="75" ht="15" customHeight="1" s="122">
      <c r="A75" s="175">
        <f>IF(B75="","",IFERROR(LEFT(B75,FIND(" ",B75,FIND(" ",B75)+1)-1),TRIM(B75)))</f>
        <v/>
      </c>
    </row>
    <row r="76" ht="15" customHeight="1" s="122">
      <c r="A76" s="175">
        <f>IF(B76="","",IFERROR(LEFT(B76,FIND(" ",B76,FIND(" ",B76)+1)-1),TRIM(B76)))</f>
        <v/>
      </c>
    </row>
    <row r="77" ht="15" customHeight="1" s="122">
      <c r="A77" s="175">
        <f>IF(B77="","",IFERROR(LEFT(B77,FIND(" ",B77,FIND(" ",B77)+1)-1),TRIM(B77)))</f>
        <v/>
      </c>
    </row>
    <row r="78" ht="15" customHeight="1" s="122">
      <c r="A78" s="175">
        <f>IF(B78="","",IFERROR(LEFT(B78,FIND(" ",B78,FIND(" ",B78)+1)-1),TRIM(B78)))</f>
        <v/>
      </c>
    </row>
    <row r="79" ht="15" customHeight="1" s="122">
      <c r="A79" s="175">
        <f>IF(B79="","",IFERROR(LEFT(B79,FIND(" ",B79,FIND(" ",B79)+1)-1),TRIM(B79)))</f>
        <v/>
      </c>
    </row>
    <row r="80" ht="15" customHeight="1" s="122">
      <c r="A80" s="175">
        <f>IF(B80="","",IFERROR(LEFT(B80,FIND(" ",B80,FIND(" ",B80)+1)-1),TRIM(B80)))</f>
        <v/>
      </c>
    </row>
    <row r="81" ht="15" customHeight="1" s="122">
      <c r="A81" s="175">
        <f>IF(B81="","",IFERROR(LEFT(B81,FIND(" ",B81,FIND(" ",B81)+1)-1),TRIM(B81)))</f>
        <v/>
      </c>
    </row>
    <row r="82" ht="15" customHeight="1" s="122">
      <c r="A82" s="175">
        <f>IF(B82="","",IFERROR(LEFT(B82,FIND(" ",B82,FIND(" ",B82)+1)-1),TRIM(B82)))</f>
        <v/>
      </c>
    </row>
    <row r="83" ht="15" customHeight="1" s="122">
      <c r="A83" s="175">
        <f>IF(B83="","",IFERROR(LEFT(B83,FIND(" ",B83,FIND(" ",B83)+1)-1),TRIM(B83)))</f>
        <v/>
      </c>
    </row>
    <row r="84" ht="15" customHeight="1" s="122">
      <c r="A84" s="175">
        <f>IF(B84="","",IFERROR(LEFT(B84,FIND(" ",B84,FIND(" ",B84)+1)-1),TRIM(B84)))</f>
        <v/>
      </c>
    </row>
    <row r="85" ht="15" customHeight="1" s="122">
      <c r="A85" s="175">
        <f>IF(B85="","",IFERROR(LEFT(B85,FIND(" ",B85,FIND(" ",B85)+1)-1),TRIM(B85)))</f>
        <v/>
      </c>
    </row>
    <row r="86" ht="15" customHeight="1" s="122">
      <c r="A86" s="175">
        <f>IF(B86="","",IFERROR(LEFT(B86,FIND(" ",B86,FIND(" ",B86)+1)-1),TRIM(B86)))</f>
        <v/>
      </c>
    </row>
    <row r="87" ht="15" customHeight="1" s="122">
      <c r="A87" s="175">
        <f>IF(B87="","",IFERROR(LEFT(B87,FIND(" ",B87,FIND(" ",B87)+1)-1),TRIM(B87)))</f>
        <v/>
      </c>
    </row>
    <row r="88" ht="15" customHeight="1" s="122">
      <c r="A88" s="175">
        <f>IF(B88="","",IFERROR(LEFT(B88,FIND(" ",B88,FIND(" ",B88)+1)-1),TRIM(B88)))</f>
        <v/>
      </c>
    </row>
    <row r="89" ht="15" customHeight="1" s="122">
      <c r="A89" s="175">
        <f>IF(B89="","",IFERROR(LEFT(B89,FIND(" ",B89,FIND(" ",B89)+1)-1),TRIM(B89)))</f>
        <v/>
      </c>
    </row>
    <row r="90" ht="15" customHeight="1" s="122">
      <c r="A90" s="175">
        <f>IF(B90="","",IFERROR(LEFT(B90,FIND(" ",B90,FIND(" ",B90)+1)-1),TRIM(B90)))</f>
        <v/>
      </c>
    </row>
    <row r="91" ht="15" customHeight="1" s="122">
      <c r="A91" s="175">
        <f>IF(B91="","",IFERROR(LEFT(B91,FIND(" ",B91,FIND(" ",B91)+1)-1),TRIM(B91)))</f>
        <v/>
      </c>
    </row>
    <row r="92" ht="15" customHeight="1" s="122">
      <c r="A92" s="175">
        <f>IF(B92="","",IFERROR(LEFT(B92,FIND(" ",B92,FIND(" ",B92)+1)-1),TRIM(B92)))</f>
        <v/>
      </c>
    </row>
    <row r="93" ht="15" customHeight="1" s="122">
      <c r="A93" s="175">
        <f>IF(B93="","",IFERROR(LEFT(B93,FIND(" ",B93,FIND(" ",B93)+1)-1),TRIM(B93)))</f>
        <v/>
      </c>
    </row>
    <row r="94" ht="15" customHeight="1" s="122">
      <c r="A94" s="175">
        <f>IF(B94="","",IFERROR(LEFT(B94,FIND(" ",B94,FIND(" ",B94)+1)-1),TRIM(B94)))</f>
        <v/>
      </c>
    </row>
    <row r="95" ht="15" customHeight="1" s="122">
      <c r="A95" s="175">
        <f>IF(B95="","",IFERROR(LEFT(B95,FIND(" ",B95,FIND(" ",B95)+1)-1),TRIM(B95)))</f>
        <v/>
      </c>
    </row>
    <row r="96" ht="15" customHeight="1" s="122">
      <c r="A96" s="175">
        <f>IF(B96="","",IFERROR(LEFT(B96,FIND(" ",B96,FIND(" ",B96)+1)-1),TRIM(B96)))</f>
        <v/>
      </c>
    </row>
    <row r="97" ht="15" customHeight="1" s="122">
      <c r="A97" s="175">
        <f>IF(B97="","",IFERROR(LEFT(B97,FIND(" ",B97,FIND(" ",B97)+1)-1),TRIM(B97)))</f>
        <v/>
      </c>
    </row>
    <row r="98" ht="15" customHeight="1" s="122">
      <c r="A98" s="175">
        <f>IF(B98="","",IFERROR(LEFT(B98,FIND(" ",B98,FIND(" ",B98)+1)-1),TRIM(B98)))</f>
        <v/>
      </c>
    </row>
    <row r="99" ht="15" customHeight="1" s="122">
      <c r="A99" s="175">
        <f>IF(B99="","",IFERROR(LEFT(B99,FIND(" ",B99,FIND(" ",B99)+1)-1),TRIM(B99)))</f>
        <v/>
      </c>
    </row>
    <row r="100" ht="15" customHeight="1" s="122">
      <c r="A100" s="175">
        <f>IF(B100="","",IFERROR(LEFT(B100,FIND(" ",B100,FIND(" ",B100)+1)-1),TRIM(B100)))</f>
        <v/>
      </c>
    </row>
    <row r="101" ht="15" customHeight="1" s="122">
      <c r="A101" s="175">
        <f>IF(B101="","",IFERROR(LEFT(B101,FIND(" ",B101,FIND(" ",B101)+1)-1),TRIM(B101)))</f>
        <v/>
      </c>
    </row>
    <row r="102" ht="15" customHeight="1" s="122">
      <c r="A102" s="175">
        <f>IF(B102="","",IFERROR(LEFT(B102,FIND(" ",B102,FIND(" ",B102)+1)-1),TRIM(B102)))</f>
        <v/>
      </c>
    </row>
    <row r="103" ht="15" customHeight="1" s="122">
      <c r="A103" s="175">
        <f>IF(B103="","",IFERROR(LEFT(B103,FIND(" ",B103,FIND(" ",B103)+1)-1),TRIM(B103)))</f>
        <v/>
      </c>
    </row>
    <row r="104" ht="15" customHeight="1" s="122">
      <c r="A104" s="175">
        <f>IF(B104="","",IFERROR(LEFT(B104,FIND(" ",B104,FIND(" ",B104)+1)-1),TRIM(B104)))</f>
        <v/>
      </c>
    </row>
    <row r="105" ht="15" customHeight="1" s="122">
      <c r="A105" s="175">
        <f>IF(B105="","",IFERROR(LEFT(B105,FIND(" ",B105,FIND(" ",B105)+1)-1),TRIM(B105)))</f>
        <v/>
      </c>
    </row>
    <row r="106" ht="15" customHeight="1" s="122">
      <c r="A106" s="175">
        <f>IF(B106="","",IFERROR(LEFT(B106,FIND(" ",B106,FIND(" ",B106)+1)-1),TRIM(B106)))</f>
        <v/>
      </c>
    </row>
    <row r="107" ht="15" customHeight="1" s="122">
      <c r="A107" s="175">
        <f>IF(B107="","",IFERROR(LEFT(B107,FIND(" ",B107,FIND(" ",B107)+1)-1),TRIM(B107)))</f>
        <v/>
      </c>
    </row>
    <row r="108" ht="15" customHeight="1" s="122">
      <c r="A108" s="175">
        <f>IF(B108="","",IFERROR(LEFT(B108,FIND(" ",B108,FIND(" ",B108)+1)-1),TRIM(B108)))</f>
        <v/>
      </c>
    </row>
    <row r="109" ht="15" customHeight="1" s="122">
      <c r="A109" s="175">
        <f>IF(B109="","",IFERROR(LEFT(B109,FIND(" ",B109,FIND(" ",B109)+1)-1),TRIM(B109)))</f>
        <v/>
      </c>
    </row>
    <row r="110" ht="15" customHeight="1" s="122">
      <c r="A110" s="175">
        <f>IF(B110="","",IFERROR(LEFT(B110,FIND(" ",B110,FIND(" ",B110)+1)-1),TRIM(B110)))</f>
        <v/>
      </c>
    </row>
    <row r="111" ht="15" customHeight="1" s="122">
      <c r="A111" s="175">
        <f>IF(B111="","",IFERROR(LEFT(B111,FIND(" ",B111,FIND(" ",B111)+1)-1),TRIM(B111)))</f>
        <v/>
      </c>
    </row>
    <row r="112" ht="15" customHeight="1" s="122">
      <c r="A112" s="175">
        <f>IF(B112="","",IFERROR(LEFT(B112,FIND(" ",B112,FIND(" ",B112)+1)-1),TRIM(B112)))</f>
        <v/>
      </c>
    </row>
    <row r="113" ht="15" customHeight="1" s="122">
      <c r="A113" s="175">
        <f>IF(B113="","",IFERROR(LEFT(B113,FIND(" ",B113,FIND(" ",B113)+1)-1),TRIM(B113)))</f>
        <v/>
      </c>
    </row>
    <row r="114" ht="15" customHeight="1" s="122">
      <c r="A114" s="175">
        <f>IF(B114="","",IFERROR(LEFT(B114,FIND(" ",B114,FIND(" ",B114)+1)-1),TRIM(B114)))</f>
        <v/>
      </c>
    </row>
    <row r="115" ht="15" customHeight="1" s="122">
      <c r="A115" s="175">
        <f>IF(B115="","",IFERROR(LEFT(B115,FIND(" ",B115,FIND(" ",B115)+1)-1),TRIM(B115)))</f>
        <v/>
      </c>
    </row>
    <row r="116" ht="15" customHeight="1" s="122">
      <c r="A116" s="175">
        <f>IF(B116="","",IFERROR(LEFT(B116,FIND(" ",B116,FIND(" ",B116)+1)-1),TRIM(B116)))</f>
        <v/>
      </c>
    </row>
    <row r="117" ht="15" customHeight="1" s="122">
      <c r="A117" s="175">
        <f>IF(B117="","",IFERROR(LEFT(B117,FIND(" ",B117,FIND(" ",B117)+1)-1),TRIM(B117)))</f>
        <v/>
      </c>
    </row>
    <row r="118" ht="15" customHeight="1" s="122">
      <c r="A118" s="175">
        <f>IF(B118="","",IFERROR(LEFT(B118,FIND(" ",B118,FIND(" ",B118)+1)-1),TRIM(B118)))</f>
        <v/>
      </c>
    </row>
    <row r="119" ht="15" customHeight="1" s="122">
      <c r="A119" s="175">
        <f>IF(B119="","",IFERROR(LEFT(B119,FIND(" ",B119,FIND(" ",B119)+1)-1),TRIM(B119)))</f>
        <v/>
      </c>
    </row>
    <row r="120" ht="15" customHeight="1" s="122">
      <c r="A120" s="175">
        <f>IF(B120="","",IFERROR(LEFT(B120,FIND(" ",B120,FIND(" ",B120)+1)-1),TRIM(B120)))</f>
        <v/>
      </c>
    </row>
    <row r="121" ht="15" customHeight="1" s="122">
      <c r="A121" s="175">
        <f>IF(B121="","",IFERROR(LEFT(B121,FIND(" ",B121,FIND(" ",B121)+1)-1),TRIM(B121)))</f>
        <v/>
      </c>
    </row>
    <row r="122" ht="15" customHeight="1" s="122">
      <c r="A122" s="175">
        <f>IF(B122="","",IFERROR(LEFT(B122,FIND(" ",B122,FIND(" ",B122)+1)-1),TRIM(B122)))</f>
        <v/>
      </c>
    </row>
    <row r="123" ht="15" customHeight="1" s="122">
      <c r="A123" s="175">
        <f>IF(B123="","",IFERROR(LEFT(B123,FIND(" ",B123,FIND(" ",B123)+1)-1),TRIM(B123)))</f>
        <v/>
      </c>
    </row>
    <row r="124" ht="15" customHeight="1" s="122">
      <c r="A124" s="175">
        <f>IF(B124="","",IFERROR(LEFT(B124,FIND(" ",B124,FIND(" ",B124)+1)-1),TRIM(B124)))</f>
        <v/>
      </c>
    </row>
    <row r="125" ht="15" customHeight="1" s="122">
      <c r="A125" s="175">
        <f>IF(B125="","",IFERROR(LEFT(B125,FIND(" ",B125,FIND(" ",B125)+1)-1),TRIM(B125)))</f>
        <v/>
      </c>
    </row>
    <row r="126" ht="15" customHeight="1" s="122">
      <c r="A126" s="175">
        <f>IF(B126="","",IFERROR(LEFT(B126,FIND(" ",B126,FIND(" ",B126)+1)-1),TRIM(B126)))</f>
        <v/>
      </c>
    </row>
    <row r="127" ht="15" customHeight="1" s="122">
      <c r="A127" s="175">
        <f>IF(B127="","",IFERROR(LEFT(B127,FIND(" ",B127,FIND(" ",B127)+1)-1),TRIM(B127)))</f>
        <v/>
      </c>
    </row>
    <row r="128" ht="15" customHeight="1" s="122">
      <c r="A128" s="175">
        <f>IF(B128="","",IFERROR(LEFT(B128,FIND(" ",B128,FIND(" ",B128)+1)-1),TRIM(B128)))</f>
        <v/>
      </c>
    </row>
    <row r="129" ht="15" customHeight="1" s="122">
      <c r="A129" s="175">
        <f>IF(B129="","",IFERROR(LEFT(B129,FIND(" ",B129,FIND(" ",B129)+1)-1),TRIM(B129)))</f>
        <v/>
      </c>
    </row>
    <row r="130" ht="15" customHeight="1" s="122">
      <c r="A130" s="175">
        <f>IF(B130="","",IFERROR(LEFT(B130,FIND(" ",B130,FIND(" ",B130)+1)-1),TRIM(B130)))</f>
        <v/>
      </c>
    </row>
    <row r="131" ht="15" customHeight="1" s="122">
      <c r="A131" s="175">
        <f>IF(B131="","",IFERROR(LEFT(B131,FIND(" ",B131,FIND(" ",B131)+1)-1),TRIM(B131)))</f>
        <v/>
      </c>
    </row>
    <row r="132" ht="15" customHeight="1" s="122">
      <c r="A132" s="175">
        <f>IF(B132="","",IFERROR(LEFT(B132,FIND(" ",B132,FIND(" ",B132)+1)-1),TRIM(B132)))</f>
        <v/>
      </c>
    </row>
    <row r="133" ht="15" customHeight="1" s="122">
      <c r="A133" s="175">
        <f>IF(B133="","",IFERROR(LEFT(B133,FIND(" ",B133,FIND(" ",B133)+1)-1),TRIM(B133)))</f>
        <v/>
      </c>
    </row>
    <row r="134" ht="15" customHeight="1" s="122">
      <c r="A134" s="175">
        <f>IF(B134="","",IFERROR(LEFT(B134,FIND(" ",B134,FIND(" ",B134)+1)-1),TRIM(B134)))</f>
        <v/>
      </c>
    </row>
    <row r="135" ht="15" customHeight="1" s="122">
      <c r="A135" s="175">
        <f>IF(B135="","",IFERROR(LEFT(B135,FIND(" ",B135,FIND(" ",B135)+1)-1),TRIM(B135)))</f>
        <v/>
      </c>
    </row>
    <row r="136" ht="15" customHeight="1" s="122">
      <c r="A136" s="175">
        <f>IF(B136="","",IFERROR(LEFT(B136,FIND(" ",B136,FIND(" ",B136)+1)-1),TRIM(B136)))</f>
        <v/>
      </c>
    </row>
    <row r="137" ht="15" customHeight="1" s="122">
      <c r="A137" s="175">
        <f>IF(B137="","",IFERROR(LEFT(B137,FIND(" ",B137,FIND(" ",B137)+1)-1),TRIM(B137)))</f>
        <v/>
      </c>
    </row>
    <row r="138" ht="15" customHeight="1" s="122">
      <c r="A138" s="175">
        <f>IF(B138="","",IFERROR(LEFT(B138,FIND(" ",B138,FIND(" ",B138)+1)-1),TRIM(B138)))</f>
        <v/>
      </c>
    </row>
    <row r="139" ht="15" customHeight="1" s="122">
      <c r="A139" s="175">
        <f>IF(B139="","",IFERROR(LEFT(B139,FIND(" ",B139,FIND(" ",B139)+1)-1),TRIM(B139)))</f>
        <v/>
      </c>
    </row>
    <row r="140" ht="15" customHeight="1" s="122">
      <c r="A140" s="175">
        <f>IF(B140="","",IFERROR(LEFT(B140,FIND(" ",B140,FIND(" ",B140)+1)-1),TRIM(B140)))</f>
        <v/>
      </c>
    </row>
    <row r="141" ht="15" customHeight="1" s="122">
      <c r="A141" s="175">
        <f>IF(B141="","",IFERROR(LEFT(B141,FIND(" ",B141,FIND(" ",B141)+1)-1),TRIM(B141)))</f>
        <v/>
      </c>
    </row>
    <row r="142" ht="15" customHeight="1" s="122">
      <c r="A142" s="175">
        <f>IF(B142="","",IFERROR(LEFT(B142,FIND(" ",B142,FIND(" ",B142)+1)-1),TRIM(B142)))</f>
        <v/>
      </c>
    </row>
    <row r="143" ht="15" customHeight="1" s="122">
      <c r="A143" s="175">
        <f>IF(B143="","",IFERROR(LEFT(B143,FIND(" ",B143,FIND(" ",B143)+1)-1),TRIM(B143)))</f>
        <v/>
      </c>
    </row>
    <row r="144" ht="15" customHeight="1" s="122">
      <c r="A144" s="175">
        <f>IF(B144="","",IFERROR(LEFT(B144,FIND(" ",B144,FIND(" ",B144)+1)-1),TRIM(B144)))</f>
        <v/>
      </c>
    </row>
    <row r="145" ht="15" customHeight="1" s="122">
      <c r="A145" s="175">
        <f>IF(B145="","",IFERROR(LEFT(B145,FIND(" ",B145,FIND(" ",B145)+1)-1),TRIM(B145)))</f>
        <v/>
      </c>
    </row>
    <row r="146" ht="15" customHeight="1" s="122">
      <c r="A146" s="175">
        <f>IF(B146="","",IFERROR(LEFT(B146,FIND(" ",B146,FIND(" ",B146)+1)-1),TRIM(B146)))</f>
        <v/>
      </c>
    </row>
    <row r="147" ht="15" customHeight="1" s="122">
      <c r="A147" s="175">
        <f>IF(B147="","",IFERROR(LEFT(B147,FIND(" ",B147,FIND(" ",B147)+1)-1),TRIM(B147)))</f>
        <v/>
      </c>
    </row>
    <row r="148" ht="15" customHeight="1" s="122">
      <c r="A148" s="175">
        <f>IF(B148="","",IFERROR(LEFT(B148,FIND(" ",B148,FIND(" ",B148)+1)-1),TRIM(B148)))</f>
        <v/>
      </c>
    </row>
    <row r="149" ht="15" customHeight="1" s="122">
      <c r="A149" s="175">
        <f>IF(B149="","",IFERROR(LEFT(B149,FIND(" ",B149,FIND(" ",B149)+1)-1),TRIM(B149)))</f>
        <v/>
      </c>
    </row>
    <row r="150" ht="15" customHeight="1" s="122">
      <c r="A150" s="175">
        <f>IF(B150="","",IFERROR(LEFT(B150,FIND(" ",B150,FIND(" ",B150)+1)-1),TRIM(B150)))</f>
        <v/>
      </c>
    </row>
    <row r="151" ht="15" customHeight="1" s="122">
      <c r="A151" s="175">
        <f>IF(B151="","",IFERROR(LEFT(B151,FIND(" ",B151,FIND(" ",B151)+1)-1),TRIM(B151)))</f>
        <v/>
      </c>
    </row>
    <row r="152" ht="15" customHeight="1" s="122">
      <c r="A152" s="175">
        <f>IF(B152="","",IFERROR(LEFT(B152,FIND(" ",B152,FIND(" ",B152)+1)-1),TRIM(B152)))</f>
        <v/>
      </c>
    </row>
    <row r="153" ht="15" customHeight="1" s="122">
      <c r="A153" s="175">
        <f>IF(B153="","",IFERROR(LEFT(B153,FIND(" ",B153,FIND(" ",B153)+1)-1),TRIM(B153)))</f>
        <v/>
      </c>
    </row>
    <row r="154" ht="15" customHeight="1" s="122">
      <c r="A154" s="175">
        <f>IF(B154="","",IFERROR(LEFT(B154,FIND(" ",B154,FIND(" ",B154)+1)-1),TRIM(B154)))</f>
        <v/>
      </c>
    </row>
    <row r="155" ht="15" customHeight="1" s="122">
      <c r="A155" s="175">
        <f>IF(B155="","",IFERROR(LEFT(B155,FIND(" ",B155,FIND(" ",B155)+1)-1),TRIM(B155)))</f>
        <v/>
      </c>
    </row>
    <row r="156" ht="15" customHeight="1" s="122">
      <c r="A156" s="175">
        <f>IF(B156="","",IFERROR(LEFT(B156,FIND(" ",B156,FIND(" ",B156)+1)-1),TRIM(B156)))</f>
        <v/>
      </c>
    </row>
    <row r="157" ht="15" customHeight="1" s="122">
      <c r="A157" s="175">
        <f>IF(B157="","",IFERROR(LEFT(B157,FIND(" ",B157,FIND(" ",B157)+1)-1),TRIM(B157)))</f>
        <v/>
      </c>
    </row>
    <row r="158" ht="15" customHeight="1" s="122">
      <c r="A158" s="175">
        <f>IF(B158="","",IFERROR(LEFT(B158,FIND(" ",B158,FIND(" ",B158)+1)-1),TRIM(B158)))</f>
        <v/>
      </c>
    </row>
    <row r="159" ht="15" customHeight="1" s="122">
      <c r="A159" s="175">
        <f>IF(B159="","",IFERROR(LEFT(B159,FIND(" ",B159,FIND(" ",B159)+1)-1),TRIM(B159)))</f>
        <v/>
      </c>
    </row>
    <row r="160" ht="15" customHeight="1" s="122">
      <c r="A160" s="175">
        <f>IF(B160="","",IFERROR(LEFT(B160,FIND(" ",B160,FIND(" ",B160)+1)-1),TRIM(B160)))</f>
        <v/>
      </c>
    </row>
    <row r="161" ht="15" customHeight="1" s="122">
      <c r="A161" s="175">
        <f>IF(B161="","",IFERROR(LEFT(B161,FIND(" ",B161,FIND(" ",B161)+1)-1),TRIM(B161)))</f>
        <v/>
      </c>
    </row>
    <row r="162" ht="15" customHeight="1" s="122">
      <c r="A162" s="175">
        <f>IF(B162="","",IFERROR(LEFT(B162,FIND(" ",B162,FIND(" ",B162)+1)-1),TRIM(B162)))</f>
        <v/>
      </c>
    </row>
    <row r="163" ht="15" customHeight="1" s="122">
      <c r="A163" s="175">
        <f>IF(B163="","",IFERROR(LEFT(B163,FIND(" ",B163,FIND(" ",B163)+1)-1),TRIM(B163)))</f>
        <v/>
      </c>
    </row>
    <row r="164" ht="15" customHeight="1" s="122">
      <c r="A164" s="175">
        <f>IF(B164="","",IFERROR(LEFT(B164,FIND(" ",B164,FIND(" ",B164)+1)-1),TRIM(B164)))</f>
        <v/>
      </c>
    </row>
    <row r="165" ht="15" customHeight="1" s="122">
      <c r="A165" s="175">
        <f>IF(B165="","",IFERROR(LEFT(B165,FIND(" ",B165,FIND(" ",B165)+1)-1),TRIM(B165)))</f>
        <v/>
      </c>
    </row>
    <row r="166" ht="15" customHeight="1" s="122">
      <c r="A166" s="175">
        <f>IF(B166="","",IFERROR(LEFT(B166,FIND(" ",B166,FIND(" ",B166)+1)-1),TRIM(B166)))</f>
        <v/>
      </c>
    </row>
    <row r="167" ht="15" customHeight="1" s="122">
      <c r="A167" s="175">
        <f>IF(B167="","",IFERROR(LEFT(B167,FIND(" ",B167,FIND(" ",B167)+1)-1),TRIM(B167)))</f>
        <v/>
      </c>
    </row>
    <row r="168" ht="15" customHeight="1" s="122">
      <c r="A168" s="175">
        <f>IF(B168="","",IFERROR(LEFT(B168,FIND(" ",B168,FIND(" ",B168)+1)-1),TRIM(B168)))</f>
        <v/>
      </c>
    </row>
    <row r="169" ht="15" customHeight="1" s="122">
      <c r="A169" s="175">
        <f>IF(B169="","",IFERROR(LEFT(B169,FIND(" ",B169,FIND(" ",B169)+1)-1),TRIM(B169)))</f>
        <v/>
      </c>
    </row>
    <row r="170" ht="15" customHeight="1" s="122">
      <c r="A170" s="175">
        <f>IF(B170="","",IFERROR(LEFT(B170,FIND(" ",B170,FIND(" ",B170)+1)-1),TRIM(B170)))</f>
        <v/>
      </c>
    </row>
    <row r="171" ht="15" customHeight="1" s="122">
      <c r="A171" s="175">
        <f>IF(B171="","",IFERROR(LEFT(B171,FIND(" ",B171,FIND(" ",B171)+1)-1),TRIM(B171)))</f>
        <v/>
      </c>
    </row>
    <row r="172" ht="15" customHeight="1" s="122">
      <c r="A172" s="175">
        <f>IF(B172="","",IFERROR(LEFT(B172,FIND(" ",B172,FIND(" ",B172)+1)-1),TRIM(B172)))</f>
        <v/>
      </c>
    </row>
    <row r="173" ht="15" customHeight="1" s="122">
      <c r="A173" s="175">
        <f>IF(B173="","",IFERROR(LEFT(B173,FIND(" ",B173,FIND(" ",B173)+1)-1),TRIM(B173)))</f>
        <v/>
      </c>
    </row>
    <row r="174" ht="15" customHeight="1" s="122">
      <c r="A174" s="175">
        <f>IF(B174="","",IFERROR(LEFT(B174,FIND(" ",B174,FIND(" ",B174)+1)-1),TRIM(B174)))</f>
        <v/>
      </c>
    </row>
    <row r="175" ht="15" customHeight="1" s="122">
      <c r="A175" s="175">
        <f>IF(B175="","",IFERROR(LEFT(B175,FIND(" ",B175,FIND(" ",B175)+1)-1),TRIM(B175)))</f>
        <v/>
      </c>
    </row>
    <row r="176" ht="15" customHeight="1" s="122">
      <c r="A176" s="175">
        <f>IF(B176="","",IFERROR(LEFT(B176,FIND(" ",B176,FIND(" ",B176)+1)-1),TRIM(B176)))</f>
        <v/>
      </c>
    </row>
    <row r="177" ht="15" customHeight="1" s="122">
      <c r="A177" s="175">
        <f>IF(B177="","",IFERROR(LEFT(B177,FIND(" ",B177,FIND(" ",B177)+1)-1),TRIM(B177)))</f>
        <v/>
      </c>
    </row>
    <row r="178" ht="15" customHeight="1" s="122">
      <c r="A178" s="175">
        <f>IF(B178="","",IFERROR(LEFT(B178,FIND(" ",B178,FIND(" ",B178)+1)-1),TRIM(B178)))</f>
        <v/>
      </c>
    </row>
    <row r="179" ht="15" customHeight="1" s="122">
      <c r="A179" s="175">
        <f>IF(B179="","",IFERROR(LEFT(B179,FIND(" ",B179,FIND(" ",B179)+1)-1),TRIM(B179)))</f>
        <v/>
      </c>
    </row>
    <row r="180" ht="15" customHeight="1" s="122">
      <c r="A180" s="175">
        <f>IF(B180="","",IFERROR(LEFT(B180,FIND(" ",B180,FIND(" ",B180)+1)-1),TRIM(B180)))</f>
        <v/>
      </c>
    </row>
    <row r="181" ht="15" customHeight="1" s="122">
      <c r="A181" s="175">
        <f>IF(B181="","",IFERROR(LEFT(B181,FIND(" ",B181,FIND(" ",B181)+1)-1),TRIM(B181)))</f>
        <v/>
      </c>
    </row>
    <row r="182" ht="15" customHeight="1" s="122">
      <c r="A182" s="175">
        <f>IF(B182="","",IFERROR(LEFT(B182,FIND(" ",B182,FIND(" ",B182)+1)-1),TRIM(B182)))</f>
        <v/>
      </c>
    </row>
    <row r="183" ht="15" customHeight="1" s="122">
      <c r="A183" s="175">
        <f>IF(B183="","",IFERROR(LEFT(B183,FIND(" ",B183,FIND(" ",B183)+1)-1),TRIM(B183)))</f>
        <v/>
      </c>
    </row>
    <row r="184" ht="15" customHeight="1" s="122">
      <c r="A184" s="175">
        <f>IF(B184="","",IFERROR(LEFT(B184,FIND(" ",B184,FIND(" ",B184)+1)-1),TRIM(B184)))</f>
        <v/>
      </c>
    </row>
    <row r="185" ht="15" customHeight="1" s="122">
      <c r="A185" s="175">
        <f>IF(B185="","",IFERROR(LEFT(B185,FIND(" ",B185,FIND(" ",B185)+1)-1),TRIM(B185)))</f>
        <v/>
      </c>
    </row>
    <row r="186" ht="15" customHeight="1" s="122">
      <c r="A186" s="175">
        <f>IF(B186="","",IFERROR(LEFT(B186,FIND(" ",B186,FIND(" ",B186)+1)-1),TRIM(B186)))</f>
        <v/>
      </c>
    </row>
    <row r="187" ht="15" customHeight="1" s="122">
      <c r="A187" s="175">
        <f>IF(B187="","",IFERROR(LEFT(B187,FIND(" ",B187,FIND(" ",B187)+1)-1),TRIM(B187)))</f>
        <v/>
      </c>
    </row>
    <row r="188" ht="15" customHeight="1" s="122">
      <c r="A188" s="175">
        <f>IF(B188="","",IFERROR(LEFT(B188,FIND(" ",B188,FIND(" ",B188)+1)-1),TRIM(B188)))</f>
        <v/>
      </c>
    </row>
    <row r="189" ht="15" customHeight="1" s="122">
      <c r="A189" s="175">
        <f>IF(B189="","",IFERROR(LEFT(B189,FIND(" ",B189,FIND(" ",B189)+1)-1),TRIM(B189)))</f>
        <v/>
      </c>
    </row>
    <row r="190" ht="15" customHeight="1" s="122">
      <c r="A190" s="175">
        <f>IF(B190="","",IFERROR(LEFT(B190,FIND(" ",B190,FIND(" ",B190)+1)-1),TRIM(B190)))</f>
        <v/>
      </c>
    </row>
    <row r="191" ht="15" customHeight="1" s="122">
      <c r="A191" s="175">
        <f>IF(B191="","",IFERROR(LEFT(B191,FIND(" ",B191,FIND(" ",B191)+1)-1),TRIM(B191)))</f>
        <v/>
      </c>
    </row>
    <row r="192" ht="15" customHeight="1" s="122">
      <c r="A192" s="175">
        <f>IF(B192="","",IFERROR(LEFT(B192,FIND(" ",B192,FIND(" ",B192)+1)-1),TRIM(B192)))</f>
        <v/>
      </c>
    </row>
    <row r="193" ht="15" customHeight="1" s="122">
      <c r="A193" s="175">
        <f>IF(B193="","",IFERROR(LEFT(B193,FIND(" ",B193,FIND(" ",B193)+1)-1),TRIM(B193)))</f>
        <v/>
      </c>
    </row>
    <row r="194" ht="15" customHeight="1" s="122">
      <c r="A194" s="175">
        <f>IF(B194="","",IFERROR(LEFT(B194,FIND(" ",B194,FIND(" ",B194)+1)-1),TRIM(B194)))</f>
        <v/>
      </c>
    </row>
    <row r="195" ht="15" customHeight="1" s="122">
      <c r="A195" s="175">
        <f>IF(B195="","",IFERROR(LEFT(B195,FIND(" ",B195,FIND(" ",B195)+1)-1),TRIM(B195)))</f>
        <v/>
      </c>
    </row>
    <row r="196" ht="15" customHeight="1" s="122">
      <c r="A196" s="175">
        <f>IF(B196="","",IFERROR(LEFT(B196,FIND(" ",B196,FIND(" ",B196)+1)-1),TRIM(B196)))</f>
        <v/>
      </c>
    </row>
    <row r="197" ht="15" customHeight="1" s="122">
      <c r="A197" s="175">
        <f>IF(B197="","",IFERROR(LEFT(B197,FIND(" ",B197,FIND(" ",B197)+1)-1),TRIM(B197)))</f>
        <v/>
      </c>
    </row>
    <row r="198" ht="15" customHeight="1" s="122">
      <c r="A198" s="175">
        <f>IF(B198="","",IFERROR(LEFT(B198,FIND(" ",B198,FIND(" ",B198)+1)-1),TRIM(B198)))</f>
        <v/>
      </c>
    </row>
    <row r="199" ht="15" customHeight="1" s="122">
      <c r="A199" s="175">
        <f>IF(B199="","",IFERROR(LEFT(B199,FIND(" ",B199,FIND(" ",B199)+1)-1),TRIM(B199)))</f>
        <v/>
      </c>
    </row>
    <row r="200" ht="15" customHeight="1" s="122">
      <c r="A200" s="175">
        <f>IF(B200="","",IFERROR(LEFT(B200,FIND(" ",B200,FIND(" ",B200)+1)-1),TRIM(B200)))</f>
        <v/>
      </c>
    </row>
    <row r="201" ht="15" customHeight="1" s="122">
      <c r="A201" s="175">
        <f>IF(B201="","",IFERROR(LEFT(B201,FIND(" ",B201,FIND(" ",B201)+1)-1),TRIM(B201)))</f>
        <v/>
      </c>
    </row>
    <row r="202" ht="15" customHeight="1" s="122">
      <c r="A202" s="175">
        <f>IF(B202="","",IFERROR(LEFT(B202,FIND(" ",B202,FIND(" ",B202)+1)-1),TRIM(B202)))</f>
        <v/>
      </c>
    </row>
    <row r="203" ht="15" customHeight="1" s="122">
      <c r="A203" s="175">
        <f>IF(B203="","",IFERROR(LEFT(B203,FIND(" ",B203,FIND(" ",B203)+1)-1),TRIM(B203)))</f>
        <v/>
      </c>
    </row>
    <row r="204" ht="15" customHeight="1" s="122">
      <c r="A204" s="175">
        <f>IF(B204="","",IFERROR(LEFT(B204,FIND(" ",B204,FIND(" ",B204)+1)-1),TRIM(B204)))</f>
        <v/>
      </c>
    </row>
    <row r="205" ht="15" customHeight="1" s="122">
      <c r="A205" s="175">
        <f>IF(B205="","",IFERROR(LEFT(B205,FIND(" ",B205,FIND(" ",B205)+1)-1),TRIM(B205)))</f>
        <v/>
      </c>
    </row>
    <row r="206" ht="15" customHeight="1" s="122">
      <c r="A206" s="175">
        <f>IF(B206="","",IFERROR(LEFT(B206,FIND(" ",B206,FIND(" ",B206)+1)-1),TRIM(B206)))</f>
        <v/>
      </c>
    </row>
    <row r="207" ht="15" customHeight="1" s="122">
      <c r="A207" s="175">
        <f>IF(B207="","",IFERROR(LEFT(B207,FIND(" ",B207,FIND(" ",B207)+1)-1),TRIM(B207)))</f>
        <v/>
      </c>
    </row>
    <row r="208" ht="15" customHeight="1" s="122">
      <c r="A208" s="175">
        <f>IF(B208="","",IFERROR(LEFT(B208,FIND(" ",B208,FIND(" ",B208)+1)-1),TRIM(B208)))</f>
        <v/>
      </c>
    </row>
    <row r="209" ht="15" customHeight="1" s="122">
      <c r="A209" s="175">
        <f>IF(B209="","",IFERROR(LEFT(B209,FIND(" ",B209,FIND(" ",B209)+1)-1),TRIM(B209)))</f>
        <v/>
      </c>
    </row>
    <row r="210" ht="15" customHeight="1" s="122">
      <c r="A210" s="175">
        <f>IF(B210="","",IFERROR(LEFT(B210,FIND(" ",B210,FIND(" ",B210)+1)-1),TRIM(B210)))</f>
        <v/>
      </c>
    </row>
    <row r="211" ht="15" customHeight="1" s="122">
      <c r="A211" s="175">
        <f>IF(B211="","",IFERROR(LEFT(B211,FIND(" ",B211,FIND(" ",B211)+1)-1),TRIM(B211)))</f>
        <v/>
      </c>
    </row>
    <row r="212" ht="15" customHeight="1" s="122">
      <c r="A212" s="175">
        <f>IF(B212="","",IFERROR(LEFT(B212,FIND(" ",B212,FIND(" ",B212)+1)-1),TRIM(B212)))</f>
        <v/>
      </c>
    </row>
    <row r="213" ht="15" customHeight="1" s="122">
      <c r="A213" s="175">
        <f>IF(B213="","",IFERROR(LEFT(B213,FIND(" ",B213,FIND(" ",B213)+1)-1),TRIM(B213)))</f>
        <v/>
      </c>
    </row>
    <row r="214" ht="15" customHeight="1" s="122">
      <c r="A214" s="175">
        <f>IF(B214="","",IFERROR(LEFT(B214,FIND(" ",B214,FIND(" ",B214)+1)-1),TRIM(B214)))</f>
        <v/>
      </c>
    </row>
    <row r="215" ht="15" customHeight="1" s="122">
      <c r="A215" s="175">
        <f>IF(B215="","",IFERROR(LEFT(B215,FIND(" ",B215,FIND(" ",B215)+1)-1),TRIM(B215)))</f>
        <v/>
      </c>
    </row>
    <row r="216" ht="15" customHeight="1" s="122">
      <c r="A216" s="175">
        <f>IF(B216="","",IFERROR(LEFT(B216,FIND(" ",B216,FIND(" ",B216)+1)-1),TRIM(B216)))</f>
        <v/>
      </c>
    </row>
    <row r="217" ht="15" customHeight="1" s="122">
      <c r="A217" s="175">
        <f>IF(B217="","",IFERROR(LEFT(B217,FIND(" ",B217,FIND(" ",B217)+1)-1),TRIM(B217)))</f>
        <v/>
      </c>
    </row>
    <row r="218" ht="15" customHeight="1" s="122">
      <c r="A218" s="175">
        <f>IF(B218="","",IFERROR(LEFT(B218,FIND(" ",B218,FIND(" ",B218)+1)-1),TRIM(B218)))</f>
        <v/>
      </c>
    </row>
    <row r="219" ht="15" customHeight="1" s="122">
      <c r="A219" s="175">
        <f>IF(B219="","",IFERROR(LEFT(B219,FIND(" ",B219,FIND(" ",B219)+1)-1),TRIM(B219)))</f>
        <v/>
      </c>
    </row>
    <row r="220" ht="15" customHeight="1" s="122">
      <c r="A220" s="175">
        <f>IF(B220="","",IFERROR(LEFT(B220,FIND(" ",B220,FIND(" ",B220)+1)-1),TRIM(B220)))</f>
        <v/>
      </c>
    </row>
    <row r="221" ht="15" customHeight="1" s="122">
      <c r="A221" s="175">
        <f>IF(B221="","",IFERROR(LEFT(B221,FIND(" ",B221,FIND(" ",B221)+1)-1),TRIM(B221)))</f>
        <v/>
      </c>
    </row>
    <row r="222" ht="15" customHeight="1" s="122">
      <c r="A222" s="175">
        <f>IF(B222="","",IFERROR(LEFT(B222,FIND(" ",B222,FIND(" ",B222)+1)-1),TRIM(B222)))</f>
        <v/>
      </c>
    </row>
    <row r="223" ht="15" customHeight="1" s="122">
      <c r="A223" s="175">
        <f>IF(B223="","",IFERROR(LEFT(B223,FIND(" ",B223,FIND(" ",B223)+1)-1),TRIM(B223)))</f>
        <v/>
      </c>
    </row>
    <row r="224" ht="15" customHeight="1" s="122">
      <c r="A224" s="175">
        <f>IF(B224="","",IFERROR(LEFT(B224,FIND(" ",B224,FIND(" ",B224)+1)-1),TRIM(B224)))</f>
        <v/>
      </c>
    </row>
    <row r="225" ht="15" customHeight="1" s="122">
      <c r="A225" s="175">
        <f>IF(B225="","",IFERROR(LEFT(B225,FIND(" ",B225,FIND(" ",B225)+1)-1),TRIM(B225)))</f>
        <v/>
      </c>
    </row>
    <row r="226" ht="15" customHeight="1" s="122">
      <c r="A226" s="175">
        <f>IF(B226="","",IFERROR(LEFT(B226,FIND(" ",B226,FIND(" ",B226)+1)-1),TRIM(B226)))</f>
        <v/>
      </c>
    </row>
    <row r="227" ht="15" customHeight="1" s="122">
      <c r="A227" s="175">
        <f>IF(B227="","",IFERROR(LEFT(B227,FIND(" ",B227,FIND(" ",B227)+1)-1),TRIM(B227)))</f>
        <v/>
      </c>
    </row>
    <row r="228" ht="15" customHeight="1" s="122">
      <c r="A228" s="175">
        <f>IF(B228="","",IFERROR(LEFT(B228,FIND(" ",B228,FIND(" ",B228)+1)-1),TRIM(B228)))</f>
        <v/>
      </c>
    </row>
    <row r="229" ht="15" customHeight="1" s="122">
      <c r="A229" s="175">
        <f>IF(B229="","",IFERROR(LEFT(B229,FIND(" ",B229,FIND(" ",B229)+1)-1),TRIM(B229)))</f>
        <v/>
      </c>
    </row>
    <row r="230" ht="15" customHeight="1" s="122">
      <c r="A230" s="175">
        <f>IF(B230="","",IFERROR(LEFT(B230,FIND(" ",B230,FIND(" ",B230)+1)-1),TRIM(B230)))</f>
        <v/>
      </c>
    </row>
    <row r="231" ht="15" customHeight="1" s="122">
      <c r="A231" s="175">
        <f>IF(B231="","",IFERROR(LEFT(B231,FIND(" ",B231,FIND(" ",B231)+1)-1),TRIM(B231)))</f>
        <v/>
      </c>
    </row>
    <row r="232" ht="15" customHeight="1" s="122">
      <c r="A232" s="175">
        <f>IF(B232="","",IFERROR(LEFT(B232,FIND(" ",B232,FIND(" ",B232)+1)-1),TRIM(B232)))</f>
        <v/>
      </c>
    </row>
    <row r="233" ht="15" customHeight="1" s="122">
      <c r="A233" s="175">
        <f>IF(B233="","",IFERROR(LEFT(B233,FIND(" ",B233,FIND(" ",B233)+1)-1),TRIM(B233)))</f>
        <v/>
      </c>
    </row>
    <row r="234" ht="15" customHeight="1" s="122">
      <c r="A234" s="175">
        <f>IF(B234="","",IFERROR(LEFT(B234,FIND(" ",B234,FIND(" ",B234)+1)-1),TRIM(B234)))</f>
        <v/>
      </c>
    </row>
    <row r="235" ht="15" customHeight="1" s="122">
      <c r="A235" s="175">
        <f>IF(B235="","",IFERROR(LEFT(B235,FIND(" ",B235,FIND(" ",B235)+1)-1),TRIM(B235)))</f>
        <v/>
      </c>
    </row>
    <row r="236" ht="15" customHeight="1" s="122">
      <c r="A236" s="175">
        <f>IF(B236="","",IFERROR(LEFT(B236,FIND(" ",B236,FIND(" ",B236)+1)-1),TRIM(B236)))</f>
        <v/>
      </c>
    </row>
    <row r="237" ht="15" customHeight="1" s="122">
      <c r="A237" s="175">
        <f>IF(B237="","",IFERROR(LEFT(B237,FIND(" ",B237,FIND(" ",B237)+1)-1),TRIM(B237)))</f>
        <v/>
      </c>
    </row>
    <row r="238" ht="15" customHeight="1" s="122">
      <c r="A238" s="175">
        <f>IF(B238="","",IFERROR(LEFT(B238,FIND(" ",B238,FIND(" ",B238)+1)-1),TRIM(B238)))</f>
        <v/>
      </c>
    </row>
    <row r="239" ht="15" customHeight="1" s="122">
      <c r="A239" s="175">
        <f>IF(B239="","",IFERROR(LEFT(B239,FIND(" ",B239,FIND(" ",B239)+1)-1),TRIM(B239)))</f>
        <v/>
      </c>
    </row>
    <row r="240" ht="15" customHeight="1" s="122">
      <c r="A240" s="175">
        <f>IF(B240="","",IFERROR(LEFT(B240,FIND(" ",B240,FIND(" ",B240)+1)-1),TRIM(B240)))</f>
        <v/>
      </c>
    </row>
    <row r="241" ht="15" customHeight="1" s="122">
      <c r="A241" s="175">
        <f>IF(B241="","",IFERROR(LEFT(B241,FIND(" ",B241,FIND(" ",B241)+1)-1),TRIM(B241)))</f>
        <v/>
      </c>
    </row>
    <row r="242" ht="15" customHeight="1" s="122">
      <c r="A242" s="175">
        <f>IF(B242="","",IFERROR(LEFT(B242,FIND(" ",B242,FIND(" ",B242)+1)-1),TRIM(B242)))</f>
        <v/>
      </c>
    </row>
    <row r="243" ht="15" customHeight="1" s="122">
      <c r="A243" s="175">
        <f>IF(B243="","",IFERROR(LEFT(B243,FIND(" ",B243,FIND(" ",B243)+1)-1),TRIM(B243)))</f>
        <v/>
      </c>
    </row>
    <row r="244" ht="15" customHeight="1" s="122">
      <c r="A244" s="175">
        <f>IF(B244="","",IFERROR(LEFT(B244,FIND(" ",B244,FIND(" ",B244)+1)-1),TRIM(B244)))</f>
        <v/>
      </c>
    </row>
    <row r="245" ht="15" customHeight="1" s="122">
      <c r="A245" s="175">
        <f>IF(B245="","",IFERROR(LEFT(B245,FIND(" ",B245,FIND(" ",B245)+1)-1),TRIM(B245)))</f>
        <v/>
      </c>
    </row>
    <row r="246" ht="15" customHeight="1" s="122">
      <c r="A246" s="175">
        <f>IF(B246="","",IFERROR(LEFT(B246,FIND(" ",B246,FIND(" ",B246)+1)-1),TRIM(B246)))</f>
        <v/>
      </c>
    </row>
    <row r="247" ht="15" customHeight="1" s="122">
      <c r="A247" s="175">
        <f>IF(B247="","",IFERROR(LEFT(B247,FIND(" ",B247,FIND(" ",B247)+1)-1),TRIM(B247)))</f>
        <v/>
      </c>
    </row>
    <row r="248" ht="15" customHeight="1" s="122">
      <c r="A248" s="175">
        <f>IF(B248="","",IFERROR(LEFT(B248,FIND(" ",B248,FIND(" ",B248)+1)-1),TRIM(B248)))</f>
        <v/>
      </c>
    </row>
    <row r="249" ht="15" customHeight="1" s="122">
      <c r="A249" s="175">
        <f>IF(B249="","",IFERROR(LEFT(B249,FIND(" ",B249,FIND(" ",B249)+1)-1),TRIM(B249)))</f>
        <v/>
      </c>
    </row>
    <row r="250" ht="15" customHeight="1" s="122">
      <c r="A250" s="175">
        <f>IF(B250="","",IFERROR(LEFT(B250,FIND(" ",B250,FIND(" ",B250)+1)-1),TRIM(B250)))</f>
        <v/>
      </c>
    </row>
    <row r="251" ht="15" customHeight="1" s="122">
      <c r="A251" s="175">
        <f>IF(B251="","",IFERROR(LEFT(B251,FIND(" ",B251,FIND(" ",B251)+1)-1),TRIM(B251)))</f>
        <v/>
      </c>
    </row>
    <row r="252" ht="15" customHeight="1" s="122">
      <c r="A252" s="175">
        <f>IF(B252="","",IFERROR(LEFT(B252,FIND(" ",B252,FIND(" ",B252)+1)-1),TRIM(B252)))</f>
        <v/>
      </c>
    </row>
    <row r="253" ht="15" customHeight="1" s="122">
      <c r="A253" s="175">
        <f>IF(B253="","",IFERROR(LEFT(B253,FIND(" ",B253,FIND(" ",B253)+1)-1),TRIM(B253)))</f>
        <v/>
      </c>
    </row>
    <row r="254" ht="15" customHeight="1" s="122">
      <c r="A254" s="175">
        <f>IF(B254="","",IFERROR(LEFT(B254,FIND(" ",B254,FIND(" ",B254)+1)-1),TRIM(B254)))</f>
        <v/>
      </c>
    </row>
    <row r="255" ht="15" customHeight="1" s="122">
      <c r="A255" s="175">
        <f>IF(B255="","",IFERROR(LEFT(B255,FIND(" ",B255,FIND(" ",B255)+1)-1),TRIM(B255)))</f>
        <v/>
      </c>
    </row>
    <row r="256" ht="15" customHeight="1" s="122">
      <c r="A256" s="175">
        <f>IF(B256="","",IFERROR(LEFT(B256,FIND(" ",B256,FIND(" ",B256)+1)-1),TRIM(B256)))</f>
        <v/>
      </c>
    </row>
    <row r="257" ht="15" customHeight="1" s="122">
      <c r="A257" s="175">
        <f>IF(B257="","",IFERROR(LEFT(B257,FIND(" ",B257,FIND(" ",B257)+1)-1),TRIM(B257)))</f>
        <v/>
      </c>
    </row>
    <row r="258" ht="15" customHeight="1" s="122">
      <c r="A258" s="175">
        <f>IF(B258="","",IFERROR(LEFT(B258,FIND(" ",B258,FIND(" ",B258)+1)-1),TRIM(B258)))</f>
        <v/>
      </c>
    </row>
    <row r="259" ht="15" customHeight="1" s="122">
      <c r="A259" s="175">
        <f>IF(B259="","",IFERROR(LEFT(B259,FIND(" ",B259,FIND(" ",B259)+1)-1),TRIM(B259)))</f>
        <v/>
      </c>
    </row>
    <row r="260" ht="15" customHeight="1" s="122">
      <c r="A260" s="175">
        <f>IF(B260="","",IFERROR(LEFT(B260,FIND(" ",B260,FIND(" ",B260)+1)-1),TRIM(B260)))</f>
        <v/>
      </c>
    </row>
    <row r="261" ht="15" customHeight="1" s="122">
      <c r="A261" s="175">
        <f>IF(B261="","",IFERROR(LEFT(B261,FIND(" ",B261,FIND(" ",B261)+1)-1),TRIM(B261)))</f>
        <v/>
      </c>
    </row>
    <row r="262" ht="15" customHeight="1" s="122">
      <c r="A262" s="175">
        <f>IF(B262="","",IFERROR(LEFT(B262,FIND(" ",B262,FIND(" ",B262)+1)-1),TRIM(B262)))</f>
        <v/>
      </c>
    </row>
    <row r="263" ht="15" customHeight="1" s="122">
      <c r="A263" s="175">
        <f>IF(B263="","",IFERROR(LEFT(B263,FIND(" ",B263,FIND(" ",B263)+1)-1),TRIM(B263)))</f>
        <v/>
      </c>
    </row>
    <row r="264" ht="15" customHeight="1" s="122">
      <c r="A264" s="175">
        <f>IF(B264="","",IFERROR(LEFT(B264,FIND(" ",B264,FIND(" ",B264)+1)-1),TRIM(B264)))</f>
        <v/>
      </c>
    </row>
    <row r="265" ht="15" customHeight="1" s="122">
      <c r="A265" s="175">
        <f>IF(B265="","",IFERROR(LEFT(B265,FIND(" ",B265,FIND(" ",B265)+1)-1),TRIM(B265)))</f>
        <v/>
      </c>
    </row>
    <row r="266" ht="15" customHeight="1" s="122">
      <c r="A266" s="175">
        <f>IF(B266="","",IFERROR(LEFT(B266,FIND(" ",B266,FIND(" ",B266)+1)-1),TRIM(B266)))</f>
        <v/>
      </c>
    </row>
    <row r="267" ht="15" customHeight="1" s="122">
      <c r="A267" s="175">
        <f>IF(B267="","",IFERROR(LEFT(B267,FIND(" ",B267,FIND(" ",B267)+1)-1),TRIM(B267)))</f>
        <v/>
      </c>
    </row>
    <row r="268" ht="15" customHeight="1" s="122">
      <c r="A268" s="175">
        <f>IF(B268="","",IFERROR(LEFT(B268,FIND(" ",B268,FIND(" ",B268)+1)-1),TRIM(B268)))</f>
        <v/>
      </c>
    </row>
    <row r="269" ht="15" customHeight="1" s="122">
      <c r="A269" s="175">
        <f>IF(B269="","",IFERROR(LEFT(B269,FIND(" ",B269,FIND(" ",B269)+1)-1),TRIM(B269)))</f>
        <v/>
      </c>
    </row>
    <row r="270" ht="15" customHeight="1" s="122">
      <c r="A270" s="175">
        <f>IF(B270="","",IFERROR(LEFT(B270,FIND(" ",B270,FIND(" ",B270)+1)-1),TRIM(B270)))</f>
        <v/>
      </c>
    </row>
    <row r="271" ht="15" customHeight="1" s="122">
      <c r="A271" s="175">
        <f>IF(B271="","",IFERROR(LEFT(B271,FIND(" ",B271,FIND(" ",B271)+1)-1),TRIM(B271)))</f>
        <v/>
      </c>
    </row>
    <row r="272" ht="15" customHeight="1" s="122">
      <c r="A272" s="175">
        <f>IF(B272="","",IFERROR(LEFT(B272,FIND(" ",B272,FIND(" ",B272)+1)-1),TRIM(B272)))</f>
        <v/>
      </c>
    </row>
    <row r="273" ht="15" customHeight="1" s="122">
      <c r="A273" s="175">
        <f>IF(B273="","",IFERROR(LEFT(B273,FIND(" ",B273,FIND(" ",B273)+1)-1),TRIM(B273)))</f>
        <v/>
      </c>
    </row>
    <row r="274" ht="15" customHeight="1" s="122">
      <c r="A274" s="175">
        <f>IF(B274="","",IFERROR(LEFT(B274,FIND(" ",B274,FIND(" ",B274)+1)-1),TRIM(B274)))</f>
        <v/>
      </c>
    </row>
    <row r="275" ht="15" customHeight="1" s="122">
      <c r="A275" s="175">
        <f>IF(B275="","",IFERROR(LEFT(B275,FIND(" ",B275,FIND(" ",B275)+1)-1),TRIM(B275)))</f>
        <v/>
      </c>
    </row>
    <row r="276" ht="15" customHeight="1" s="122">
      <c r="A276" s="175">
        <f>IF(B276="","",IFERROR(LEFT(B276,FIND(" ",B276,FIND(" ",B276)+1)-1),TRIM(B276)))</f>
        <v/>
      </c>
    </row>
    <row r="277" ht="15" customHeight="1" s="122">
      <c r="A277" s="175">
        <f>IF(B277="","",IFERROR(LEFT(B277,FIND(" ",B277,FIND(" ",B277)+1)-1),TRIM(B277)))</f>
        <v/>
      </c>
    </row>
    <row r="278" ht="15" customHeight="1" s="122">
      <c r="A278" s="175">
        <f>IF(B278="","",IFERROR(LEFT(B278,FIND(" ",B278,FIND(" ",B278)+1)-1),TRIM(B278)))</f>
        <v/>
      </c>
    </row>
    <row r="279" ht="15" customHeight="1" s="122">
      <c r="A279" s="175">
        <f>IF(B279="","",IFERROR(LEFT(B279,FIND(" ",B279,FIND(" ",B279)+1)-1),TRIM(B279)))</f>
        <v/>
      </c>
    </row>
    <row r="280" ht="15" customHeight="1" s="122">
      <c r="A280" s="175">
        <f>IF(B280="","",IFERROR(LEFT(B280,FIND(" ",B280,FIND(" ",B280)+1)-1),TRIM(B280)))</f>
        <v/>
      </c>
    </row>
    <row r="281" ht="15" customHeight="1" s="122">
      <c r="A281" s="175">
        <f>IF(B281="","",IFERROR(LEFT(B281,FIND(" ",B281,FIND(" ",B281)+1)-1),TRIM(B281)))</f>
        <v/>
      </c>
    </row>
    <row r="282" ht="15" customHeight="1" s="122">
      <c r="A282" s="175">
        <f>IF(B282="","",IFERROR(LEFT(B282,FIND(" ",B282,FIND(" ",B282)+1)-1),TRIM(B282)))</f>
        <v/>
      </c>
    </row>
    <row r="283" ht="15" customHeight="1" s="122">
      <c r="A283" s="175">
        <f>IF(B283="","",IFERROR(LEFT(B283,FIND(" ",B283,FIND(" ",B283)+1)-1),TRIM(B283)))</f>
        <v/>
      </c>
    </row>
    <row r="284" ht="15" customHeight="1" s="122">
      <c r="A284" s="175">
        <f>IF(B284="","",IFERROR(LEFT(B284,FIND(" ",B284,FIND(" ",B284)+1)-1),TRIM(B284)))</f>
        <v/>
      </c>
    </row>
    <row r="285" ht="15" customHeight="1" s="122">
      <c r="A285" s="175">
        <f>IF(B285="","",IFERROR(LEFT(B285,FIND(" ",B285,FIND(" ",B285)+1)-1),TRIM(B285)))</f>
        <v/>
      </c>
    </row>
    <row r="286" ht="15" customHeight="1" s="122">
      <c r="A286" s="175">
        <f>IF(B286="","",IFERROR(LEFT(B286,FIND(" ",B286,FIND(" ",B286)+1)-1),TRIM(B286)))</f>
        <v/>
      </c>
    </row>
    <row r="287" ht="15" customHeight="1" s="122">
      <c r="A287" s="175">
        <f>IF(B287="","",IFERROR(LEFT(B287,FIND(" ",B287,FIND(" ",B287)+1)-1),TRIM(B287)))</f>
        <v/>
      </c>
    </row>
    <row r="288" ht="15" customHeight="1" s="122">
      <c r="A288" s="175">
        <f>IF(B288="","",IFERROR(LEFT(B288,FIND(" ",B288,FIND(" ",B288)+1)-1),TRIM(B288)))</f>
        <v/>
      </c>
    </row>
    <row r="289" ht="15" customHeight="1" s="122">
      <c r="A289" s="175">
        <f>IF(B289="","",IFERROR(LEFT(B289,FIND(" ",B289,FIND(" ",B289)+1)-1),TRIM(B289)))</f>
        <v/>
      </c>
    </row>
    <row r="290" ht="15" customHeight="1" s="122">
      <c r="A290" s="175">
        <f>IF(B290="","",IFERROR(LEFT(B290,FIND(" ",B290,FIND(" ",B290)+1)-1),TRIM(B290)))</f>
        <v/>
      </c>
    </row>
    <row r="291" ht="15" customHeight="1" s="122">
      <c r="A291" s="175">
        <f>IF(B291="","",IFERROR(LEFT(B291,FIND(" ",B291,FIND(" ",B291)+1)-1),TRIM(B291)))</f>
        <v/>
      </c>
    </row>
    <row r="292" ht="15" customHeight="1" s="122">
      <c r="A292" s="175">
        <f>IF(B292="","",IFERROR(LEFT(B292,FIND(" ",B292,FIND(" ",B292)+1)-1),TRIM(B292)))</f>
        <v/>
      </c>
    </row>
    <row r="293" ht="15" customHeight="1" s="122">
      <c r="A293" s="175">
        <f>IF(B293="","",IFERROR(LEFT(B293,FIND(" ",B293,FIND(" ",B293)+1)-1),TRIM(B293)))</f>
        <v/>
      </c>
    </row>
    <row r="294" ht="15" customHeight="1" s="122">
      <c r="A294" s="175">
        <f>IF(B294="","",IFERROR(LEFT(B294,FIND(" ",B294,FIND(" ",B294)+1)-1),TRIM(B294)))</f>
        <v/>
      </c>
    </row>
    <row r="295" ht="15" customHeight="1" s="122">
      <c r="A295" s="175">
        <f>IF(B295="","",IFERROR(LEFT(B295,FIND(" ",B295,FIND(" ",B295)+1)-1),TRIM(B295)))</f>
        <v/>
      </c>
    </row>
    <row r="296" ht="15" customHeight="1" s="122">
      <c r="A296" s="175">
        <f>IF(B296="","",IFERROR(LEFT(B296,FIND(" ",B296,FIND(" ",B296)+1)-1),TRIM(B296)))</f>
        <v/>
      </c>
    </row>
    <row r="297" ht="15" customHeight="1" s="122">
      <c r="A297" s="175">
        <f>IF(B297="","",IFERROR(LEFT(B297,FIND(" ",B297,FIND(" ",B297)+1)-1),TRIM(B297)))</f>
        <v/>
      </c>
    </row>
    <row r="298" ht="15" customHeight="1" s="122">
      <c r="A298" s="175">
        <f>IF(B298="","",IFERROR(LEFT(B298,FIND(" ",B298,FIND(" ",B298)+1)-1),TRIM(B298)))</f>
        <v/>
      </c>
    </row>
    <row r="299" ht="15" customHeight="1" s="122">
      <c r="A299" s="175">
        <f>IF(B299="","",IFERROR(LEFT(B299,FIND(" ",B299,FIND(" ",B299)+1)-1),TRIM(B299)))</f>
        <v/>
      </c>
    </row>
    <row r="300" ht="15" customHeight="1" s="122">
      <c r="A300" s="175">
        <f>IF(B300="","",IFERROR(LEFT(B300,FIND(" ",B300,FIND(" ",B300)+1)-1),TRIM(B300)))</f>
        <v/>
      </c>
    </row>
    <row r="301" ht="15" customHeight="1" s="122">
      <c r="A301" s="175">
        <f>IF(B301="","",IFERROR(LEFT(B301,FIND(" ",B301,FIND(" ",B301)+1)-1),TRIM(B301)))</f>
        <v/>
      </c>
    </row>
    <row r="302" ht="15" customHeight="1" s="122">
      <c r="A302" s="175">
        <f>IF(B302="","",IFERROR(LEFT(B302,FIND(" ",B302,FIND(" ",B302)+1)-1),TRIM(B302)))</f>
        <v/>
      </c>
    </row>
    <row r="303" ht="15" customHeight="1" s="122">
      <c r="A303" s="175">
        <f>IF(B303="","",IFERROR(LEFT(B303,FIND(" ",B303,FIND(" ",B303)+1)-1),TRIM(B303)))</f>
        <v/>
      </c>
    </row>
    <row r="304" ht="15" customHeight="1" s="122">
      <c r="A304" s="175">
        <f>IF(B304="","",IFERROR(LEFT(B304,FIND(" ",B304,FIND(" ",B304)+1)-1),TRIM(B304)))</f>
        <v/>
      </c>
    </row>
    <row r="305" ht="15" customHeight="1" s="122">
      <c r="A305" s="175">
        <f>IF(B305="","",IFERROR(LEFT(B305,FIND(" ",B305,FIND(" ",B305)+1)-1),TRIM(B305)))</f>
        <v/>
      </c>
    </row>
    <row r="306" ht="15" customHeight="1" s="122">
      <c r="A306" s="175">
        <f>IF(B306="","",IFERROR(LEFT(B306,FIND(" ",B306,FIND(" ",B306)+1)-1),TRIM(B306)))</f>
        <v/>
      </c>
    </row>
    <row r="307" ht="15" customHeight="1" s="122">
      <c r="A307" s="175">
        <f>IF(B307="","",IFERROR(LEFT(B307,FIND(" ",B307,FIND(" ",B307)+1)-1),TRIM(B307)))</f>
        <v/>
      </c>
    </row>
    <row r="308" ht="15" customHeight="1" s="122">
      <c r="A308" s="175">
        <f>IF(B308="","",IFERROR(LEFT(B308,FIND(" ",B308,FIND(" ",B308)+1)-1),TRIM(B308)))</f>
        <v/>
      </c>
    </row>
    <row r="309" ht="15" customHeight="1" s="122">
      <c r="A309" s="175">
        <f>IF(B309="","",IFERROR(LEFT(B309,FIND(" ",B309,FIND(" ",B309)+1)-1),TRIM(B309)))</f>
        <v/>
      </c>
    </row>
    <row r="310" ht="15" customHeight="1" s="122">
      <c r="A310" s="175">
        <f>IF(B310="","",IFERROR(LEFT(B310,FIND(" ",B310,FIND(" ",B310)+1)-1),TRIM(B310)))</f>
        <v/>
      </c>
    </row>
    <row r="311" ht="15" customHeight="1" s="122">
      <c r="A311" s="175">
        <f>IF(B311="","",IFERROR(LEFT(B311,FIND(" ",B311,FIND(" ",B311)+1)-1),TRIM(B311)))</f>
        <v/>
      </c>
    </row>
    <row r="312" ht="15" customHeight="1" s="122">
      <c r="A312" s="175">
        <f>IF(B312="","",IFERROR(LEFT(B312,FIND(" ",B312,FIND(" ",B312)+1)-1),TRIM(B312)))</f>
        <v/>
      </c>
    </row>
    <row r="313" ht="15" customHeight="1" s="122">
      <c r="A313" s="175">
        <f>IF(B313="","",IFERROR(LEFT(B313,FIND(" ",B313,FIND(" ",B313)+1)-1),TRIM(B313)))</f>
        <v/>
      </c>
    </row>
    <row r="314" ht="15" customHeight="1" s="122">
      <c r="A314" s="175">
        <f>IF(B314="","",IFERROR(LEFT(B314,FIND(" ",B314,FIND(" ",B314)+1)-1),TRIM(B314)))</f>
        <v/>
      </c>
    </row>
    <row r="315" ht="15" customHeight="1" s="122">
      <c r="A315" s="175">
        <f>IF(B315="","",IFERROR(LEFT(B315,FIND(" ",B315,FIND(" ",B315)+1)-1),TRIM(B315)))</f>
        <v/>
      </c>
    </row>
    <row r="316" ht="15" customHeight="1" s="122">
      <c r="A316" s="175">
        <f>IF(B316="","",IFERROR(LEFT(B316,FIND(" ",B316,FIND(" ",B316)+1)-1),TRIM(B316)))</f>
        <v/>
      </c>
    </row>
    <row r="317" ht="15" customHeight="1" s="122">
      <c r="A317" s="175">
        <f>IF(B317="","",IFERROR(LEFT(B317,FIND(" ",B317,FIND(" ",B317)+1)-1),TRIM(B317)))</f>
        <v/>
      </c>
    </row>
    <row r="318" ht="15" customHeight="1" s="122">
      <c r="A318" s="175">
        <f>IF(B318="","",IFERROR(LEFT(B318,FIND(" ",B318,FIND(" ",B318)+1)-1),TRIM(B318)))</f>
        <v/>
      </c>
    </row>
    <row r="319" ht="15" customHeight="1" s="122">
      <c r="A319" s="175">
        <f>IF(B319="","",IFERROR(LEFT(B319,FIND(" ",B319,FIND(" ",B319)+1)-1),TRIM(B319)))</f>
        <v/>
      </c>
    </row>
    <row r="320" ht="15" customHeight="1" s="122">
      <c r="A320" s="175">
        <f>IF(B320="","",IFERROR(LEFT(B320,FIND(" ",B320,FIND(" ",B320)+1)-1),TRIM(B320)))</f>
        <v/>
      </c>
    </row>
    <row r="321" ht="15" customHeight="1" s="122">
      <c r="A321" s="175">
        <f>IF(B321="","",IFERROR(LEFT(B321,FIND(" ",B321,FIND(" ",B321)+1)-1),TRIM(B321)))</f>
        <v/>
      </c>
    </row>
    <row r="322" ht="15" customHeight="1" s="122">
      <c r="A322" s="175">
        <f>IF(B322="","",IFERROR(LEFT(B322,FIND(" ",B322,FIND(" ",B322)+1)-1),TRIM(B322)))</f>
        <v/>
      </c>
    </row>
    <row r="323" ht="15" customHeight="1" s="122">
      <c r="A323" s="175">
        <f>IF(B323="","",IFERROR(LEFT(B323,FIND(" ",B323,FIND(" ",B323)+1)-1),TRIM(B323)))</f>
        <v/>
      </c>
    </row>
    <row r="324" ht="15" customHeight="1" s="122">
      <c r="A324" s="175">
        <f>IF(B324="","",IFERROR(LEFT(B324,FIND(" ",B324,FIND(" ",B324)+1)-1),TRIM(B324)))</f>
        <v/>
      </c>
    </row>
    <row r="325" ht="15" customHeight="1" s="122">
      <c r="A325" s="175">
        <f>IF(B325="","",IFERROR(LEFT(B325,FIND(" ",B325,FIND(" ",B325)+1)-1),TRIM(B325)))</f>
        <v/>
      </c>
    </row>
    <row r="326" ht="15" customHeight="1" s="122">
      <c r="A326" s="175">
        <f>IF(B326="","",IFERROR(LEFT(B326,FIND(" ",B326,FIND(" ",B326)+1)-1),TRIM(B326)))</f>
        <v/>
      </c>
    </row>
    <row r="327" ht="15" customHeight="1" s="122">
      <c r="A327" s="175">
        <f>IF(B327="","",IFERROR(LEFT(B327,FIND(" ",B327,FIND(" ",B327)+1)-1),TRIM(B327)))</f>
        <v/>
      </c>
    </row>
    <row r="328" ht="15" customHeight="1" s="122">
      <c r="A328" s="175">
        <f>IF(B328="","",IFERROR(LEFT(B328,FIND(" ",B328,FIND(" ",B328)+1)-1),TRIM(B328)))</f>
        <v/>
      </c>
    </row>
    <row r="329" ht="15" customHeight="1" s="122">
      <c r="A329" s="175">
        <f>IF(B329="","",IFERROR(LEFT(B329,FIND(" ",B329,FIND(" ",B329)+1)-1),TRIM(B329)))</f>
        <v/>
      </c>
    </row>
    <row r="330" ht="15" customHeight="1" s="122">
      <c r="A330" s="175">
        <f>IF(B330="","",IFERROR(LEFT(B330,FIND(" ",B330,FIND(" ",B330)+1)-1),TRIM(B330)))</f>
        <v/>
      </c>
    </row>
    <row r="331" ht="15" customHeight="1" s="122">
      <c r="A331" s="175">
        <f>IF(B331="","",IFERROR(LEFT(B331,FIND(" ",B331,FIND(" ",B331)+1)-1),TRIM(B331)))</f>
        <v/>
      </c>
    </row>
    <row r="332" ht="15" customHeight="1" s="122">
      <c r="A332" s="175">
        <f>IF(B332="","",IFERROR(LEFT(B332,FIND(" ",B332,FIND(" ",B332)+1)-1),TRIM(B332)))</f>
        <v/>
      </c>
    </row>
    <row r="333" ht="15" customHeight="1" s="122">
      <c r="A333" s="175">
        <f>IF(B333="","",IFERROR(LEFT(B333,FIND(" ",B333,FIND(" ",B333)+1)-1),TRIM(B333)))</f>
        <v/>
      </c>
    </row>
    <row r="334" ht="15" customHeight="1" s="122">
      <c r="A334" s="175">
        <f>IF(B334="","",IFERROR(LEFT(B334,FIND(" ",B334,FIND(" ",B334)+1)-1),TRIM(B334)))</f>
        <v/>
      </c>
    </row>
    <row r="335" ht="15" customHeight="1" s="122">
      <c r="A335" s="175">
        <f>IF(B335="","",IFERROR(LEFT(B335,FIND(" ",B335,FIND(" ",B335)+1)-1),TRIM(B335)))</f>
        <v/>
      </c>
    </row>
    <row r="336" ht="15" customHeight="1" s="122">
      <c r="A336" s="175">
        <f>IF(B336="","",IFERROR(LEFT(B336,FIND(" ",B336,FIND(" ",B336)+1)-1),TRIM(B336)))</f>
        <v/>
      </c>
    </row>
    <row r="337" ht="15" customHeight="1" s="122">
      <c r="A337" s="175">
        <f>IF(B337="","",IFERROR(LEFT(B337,FIND(" ",B337,FIND(" ",B337)+1)-1),TRIM(B337)))</f>
        <v/>
      </c>
    </row>
    <row r="338" ht="15" customHeight="1" s="122">
      <c r="A338" s="175">
        <f>IF(B338="","",IFERROR(LEFT(B338,FIND(" ",B338,FIND(" ",B338)+1)-1),TRIM(B338)))</f>
        <v/>
      </c>
    </row>
    <row r="339" ht="15" customHeight="1" s="122">
      <c r="A339" s="175">
        <f>IF(B339="","",IFERROR(LEFT(B339,FIND(" ",B339,FIND(" ",B339)+1)-1),TRIM(B339)))</f>
        <v/>
      </c>
    </row>
    <row r="340" ht="15" customHeight="1" s="122">
      <c r="A340" s="175">
        <f>IF(B340="","",IFERROR(LEFT(B340,FIND(" ",B340,FIND(" ",B340)+1)-1),TRIM(B340)))</f>
        <v/>
      </c>
    </row>
    <row r="341" ht="15" customHeight="1" s="122">
      <c r="A341" s="175">
        <f>IF(B341="","",IFERROR(LEFT(B341,FIND(" ",B341,FIND(" ",B341)+1)-1),TRIM(B341)))</f>
        <v/>
      </c>
    </row>
    <row r="342" ht="15" customHeight="1" s="122">
      <c r="A342" s="175">
        <f>IF(B342="","",IFERROR(LEFT(B342,FIND(" ",B342,FIND(" ",B342)+1)-1),TRIM(B342)))</f>
        <v/>
      </c>
    </row>
    <row r="343" ht="15" customHeight="1" s="122">
      <c r="A343" s="175">
        <f>IF(B343="","",IFERROR(LEFT(B343,FIND(" ",B343,FIND(" ",B343)+1)-1),TRIM(B343)))</f>
        <v/>
      </c>
    </row>
    <row r="344" ht="15" customHeight="1" s="122">
      <c r="A344" s="175">
        <f>IF(B344="","",IFERROR(LEFT(B344,FIND(" ",B344,FIND(" ",B344)+1)-1),TRIM(B344)))</f>
        <v/>
      </c>
    </row>
    <row r="345" ht="15" customHeight="1" s="122">
      <c r="A345" s="175">
        <f>IF(B345="","",IFERROR(LEFT(B345,FIND(" ",B345,FIND(" ",B345)+1)-1),TRIM(B345)))</f>
        <v/>
      </c>
    </row>
    <row r="346" ht="15" customHeight="1" s="122">
      <c r="A346" s="175">
        <f>IF(B346="","",IFERROR(LEFT(B346,FIND(" ",B346,FIND(" ",B346)+1)-1),TRIM(B346)))</f>
        <v/>
      </c>
    </row>
    <row r="347" ht="15" customHeight="1" s="122">
      <c r="A347" s="175">
        <f>IF(B347="","",IFERROR(LEFT(B347,FIND(" ",B347,FIND(" ",B347)+1)-1),TRIM(B347)))</f>
        <v/>
      </c>
    </row>
    <row r="348" ht="15" customHeight="1" s="122">
      <c r="A348" s="175">
        <f>IF(B348="","",IFERROR(LEFT(B348,FIND(" ",B348,FIND(" ",B348)+1)-1),TRIM(B348)))</f>
        <v/>
      </c>
    </row>
    <row r="349" ht="15" customHeight="1" s="122">
      <c r="A349" s="175">
        <f>IF(B349="","",IFERROR(LEFT(B349,FIND(" ",B349,FIND(" ",B349)+1)-1),TRIM(B349)))</f>
        <v/>
      </c>
    </row>
    <row r="350" ht="15" customHeight="1" s="122">
      <c r="A350" s="175">
        <f>IF(B350="","",IFERROR(LEFT(B350,FIND(" ",B350,FIND(" ",B350)+1)-1),TRIM(B350)))</f>
        <v/>
      </c>
    </row>
    <row r="351" ht="15" customHeight="1" s="122">
      <c r="A351" s="175">
        <f>IF(B351="","",IFERROR(LEFT(B351,FIND(" ",B351,FIND(" ",B351)+1)-1),TRIM(B351)))</f>
        <v/>
      </c>
    </row>
    <row r="352" ht="15" customHeight="1" s="122">
      <c r="A352" s="175">
        <f>IF(B352="","",IFERROR(LEFT(B352,FIND(" ",B352,FIND(" ",B352)+1)-1),TRIM(B352)))</f>
        <v/>
      </c>
    </row>
    <row r="353" ht="15" customHeight="1" s="122">
      <c r="A353" s="175">
        <f>IF(B353="","",IFERROR(LEFT(B353,FIND(" ",B353,FIND(" ",B353)+1)-1),TRIM(B353)))</f>
        <v/>
      </c>
    </row>
    <row r="354" ht="15" customHeight="1" s="122">
      <c r="A354" s="175">
        <f>IF(B354="","",IFERROR(LEFT(B354,FIND(" ",B354,FIND(" ",B354)+1)-1),TRIM(B354)))</f>
        <v/>
      </c>
    </row>
    <row r="355" ht="15" customHeight="1" s="122">
      <c r="A355" s="175">
        <f>IF(B355="","",IFERROR(LEFT(B355,FIND(" ",B355,FIND(" ",B355)+1)-1),TRIM(B355)))</f>
        <v/>
      </c>
    </row>
    <row r="356" ht="15" customHeight="1" s="122">
      <c r="A356" s="175">
        <f>IF(B356="","",IFERROR(LEFT(B356,FIND(" ",B356,FIND(" ",B356)+1)-1),TRIM(B356)))</f>
        <v/>
      </c>
    </row>
    <row r="357" ht="15" customHeight="1" s="122">
      <c r="A357" s="175">
        <f>IF(B357="","",IFERROR(LEFT(B357,FIND(" ",B357,FIND(" ",B357)+1)-1),TRIM(B357)))</f>
        <v/>
      </c>
    </row>
    <row r="358" ht="15" customHeight="1" s="122">
      <c r="A358" s="175">
        <f>IF(B358="","",IFERROR(LEFT(B358,FIND(" ",B358,FIND(" ",B358)+1)-1),TRIM(B358)))</f>
        <v/>
      </c>
    </row>
    <row r="359" ht="15" customHeight="1" s="122">
      <c r="A359" s="175">
        <f>IF(B359="","",IFERROR(LEFT(B359,FIND(" ",B359,FIND(" ",B359)+1)-1),TRIM(B359)))</f>
        <v/>
      </c>
    </row>
    <row r="360" ht="15" customHeight="1" s="122">
      <c r="A360" s="175">
        <f>IF(B360="","",IFERROR(LEFT(B360,FIND(" ",B360,FIND(" ",B360)+1)-1),TRIM(B360)))</f>
        <v/>
      </c>
    </row>
    <row r="361" ht="15" customHeight="1" s="122">
      <c r="A361" s="175">
        <f>IF(B361="","",IFERROR(LEFT(B361,FIND(" ",B361,FIND(" ",B361)+1)-1),TRIM(B361)))</f>
        <v/>
      </c>
    </row>
    <row r="362" ht="15" customHeight="1" s="122">
      <c r="A362" s="175">
        <f>IF(B362="","",IFERROR(LEFT(B362,FIND(" ",B362,FIND(" ",B362)+1)-1),TRIM(B362)))</f>
        <v/>
      </c>
    </row>
    <row r="363" ht="15" customHeight="1" s="122">
      <c r="A363" s="175">
        <f>IF(B363="","",IFERROR(LEFT(B363,FIND(" ",B363,FIND(" ",B363)+1)-1),TRIM(B363)))</f>
        <v/>
      </c>
    </row>
    <row r="364" ht="15" customHeight="1" s="122">
      <c r="A364" s="175">
        <f>IF(B364="","",IFERROR(LEFT(B364,FIND(" ",B364,FIND(" ",B364)+1)-1),TRIM(B364)))</f>
        <v/>
      </c>
    </row>
    <row r="365" ht="15" customHeight="1" s="122">
      <c r="A365" s="175">
        <f>IF(B365="","",IFERROR(LEFT(B365,FIND(" ",B365,FIND(" ",B365)+1)-1),TRIM(B365)))</f>
        <v/>
      </c>
    </row>
    <row r="366" ht="15" customHeight="1" s="122">
      <c r="A366" s="175">
        <f>IF(B366="","",IFERROR(LEFT(B366,FIND(" ",B366,FIND(" ",B366)+1)-1),TRIM(B366)))</f>
        <v/>
      </c>
    </row>
    <row r="367" ht="15" customHeight="1" s="122">
      <c r="A367" s="175">
        <f>IF(B367="","",IFERROR(LEFT(B367,FIND(" ",B367,FIND(" ",B367)+1)-1),TRIM(B367)))</f>
        <v/>
      </c>
    </row>
    <row r="368" ht="15" customHeight="1" s="122">
      <c r="A368" s="175">
        <f>IF(B368="","",IFERROR(LEFT(B368,FIND(" ",B368,FIND(" ",B368)+1)-1),TRIM(B368)))</f>
        <v/>
      </c>
    </row>
    <row r="369" ht="15" customHeight="1" s="122">
      <c r="A369" s="175">
        <f>IF(B369="","",IFERROR(LEFT(B369,FIND(" ",B369,FIND(" ",B369)+1)-1),TRIM(B369)))</f>
        <v/>
      </c>
    </row>
    <row r="370" ht="15" customHeight="1" s="122">
      <c r="A370" s="175">
        <f>IF(B370="","",IFERROR(LEFT(B370,FIND(" ",B370,FIND(" ",B370)+1)-1),TRIM(B370)))</f>
        <v/>
      </c>
    </row>
    <row r="371" ht="15" customHeight="1" s="122">
      <c r="A371" s="175">
        <f>IF(B371="","",IFERROR(LEFT(B371,FIND(" ",B371,FIND(" ",B371)+1)-1),TRIM(B371)))</f>
        <v/>
      </c>
    </row>
    <row r="372" ht="15" customHeight="1" s="122">
      <c r="A372" s="175">
        <f>IF(B372="","",IFERROR(LEFT(B372,FIND(" ",B372,FIND(" ",B372)+1)-1),TRIM(B372)))</f>
        <v/>
      </c>
    </row>
    <row r="373" ht="15" customHeight="1" s="122">
      <c r="A373" s="175">
        <f>IF(B373="","",IFERROR(LEFT(B373,FIND(" ",B373,FIND(" ",B373)+1)-1),TRIM(B373)))</f>
        <v/>
      </c>
    </row>
    <row r="374" ht="15" customHeight="1" s="122">
      <c r="A374" s="175">
        <f>IF(B374="","",IFERROR(LEFT(B374,FIND(" ",B374,FIND(" ",B374)+1)-1),TRIM(B374)))</f>
        <v/>
      </c>
    </row>
    <row r="375" ht="15" customHeight="1" s="122">
      <c r="A375" s="175">
        <f>IF(B375="","",IFERROR(LEFT(B375,FIND(" ",B375,FIND(" ",B375)+1)-1),TRIM(B375)))</f>
        <v/>
      </c>
    </row>
    <row r="376" ht="15" customHeight="1" s="122">
      <c r="A376" s="175">
        <f>IF(B376="","",IFERROR(LEFT(B376,FIND(" ",B376,FIND(" ",B376)+1)-1),TRIM(B376)))</f>
        <v/>
      </c>
    </row>
    <row r="377" ht="15" customHeight="1" s="122">
      <c r="A377" s="175">
        <f>IF(B377="","",IFERROR(LEFT(B377,FIND(" ",B377,FIND(" ",B377)+1)-1),TRIM(B377)))</f>
        <v/>
      </c>
    </row>
    <row r="378" ht="15" customHeight="1" s="122">
      <c r="A378" s="175">
        <f>IF(B378="","",IFERROR(LEFT(B378,FIND(" ",B378,FIND(" ",B378)+1)-1),TRIM(B378)))</f>
        <v/>
      </c>
    </row>
    <row r="379" ht="15" customHeight="1" s="122">
      <c r="A379" s="175">
        <f>IF(B379="","",IFERROR(LEFT(B379,FIND(" ",B379,FIND(" ",B379)+1)-1),TRIM(B379)))</f>
        <v/>
      </c>
    </row>
    <row r="380" ht="15" customHeight="1" s="122">
      <c r="A380" s="175">
        <f>IF(B380="","",IFERROR(LEFT(B380,FIND(" ",B380,FIND(" ",B380)+1)-1),TRIM(B380)))</f>
        <v/>
      </c>
    </row>
    <row r="381" ht="15" customHeight="1" s="122">
      <c r="A381" s="175">
        <f>IF(B381="","",IFERROR(LEFT(B381,FIND(" ",B381,FIND(" ",B381)+1)-1),TRIM(B381)))</f>
        <v/>
      </c>
    </row>
    <row r="382" ht="15" customHeight="1" s="122">
      <c r="A382" s="175">
        <f>IF(B382="","",IFERROR(LEFT(B382,FIND(" ",B382,FIND(" ",B382)+1)-1),TRIM(B382)))</f>
        <v/>
      </c>
    </row>
    <row r="383" ht="15" customHeight="1" s="122">
      <c r="A383" s="175">
        <f>IF(B383="","",IFERROR(LEFT(B383,FIND(" ",B383,FIND(" ",B383)+1)-1),TRIM(B383)))</f>
        <v/>
      </c>
    </row>
    <row r="384" ht="15" customHeight="1" s="122">
      <c r="A384" s="175">
        <f>IF(B384="","",IFERROR(LEFT(B384,FIND(" ",B384,FIND(" ",B384)+1)-1),TRIM(B384)))</f>
        <v/>
      </c>
    </row>
    <row r="385" ht="15" customHeight="1" s="122">
      <c r="A385" s="175">
        <f>IF(B385="","",IFERROR(LEFT(B385,FIND(" ",B385,FIND(" ",B385)+1)-1),TRIM(B385)))</f>
        <v/>
      </c>
    </row>
    <row r="386" ht="15" customHeight="1" s="122">
      <c r="A386" s="175">
        <f>IF(B386="","",IFERROR(LEFT(B386,FIND(" ",B386,FIND(" ",B386)+1)-1),TRIM(B386)))</f>
        <v/>
      </c>
    </row>
    <row r="387" ht="15" customHeight="1" s="122">
      <c r="A387" s="175">
        <f>IF(B387="","",IFERROR(LEFT(B387,FIND(" ",B387,FIND(" ",B387)+1)-1),TRIM(B387)))</f>
        <v/>
      </c>
    </row>
    <row r="388" ht="15" customHeight="1" s="122">
      <c r="A388" s="175">
        <f>IF(B388="","",IFERROR(LEFT(B388,FIND(" ",B388,FIND(" ",B388)+1)-1),TRIM(B388)))</f>
        <v/>
      </c>
    </row>
    <row r="389" ht="15" customHeight="1" s="122">
      <c r="A389" s="175">
        <f>IF(B389="","",IFERROR(LEFT(B389,FIND(" ",B389,FIND(" ",B389)+1)-1),TRIM(B389)))</f>
        <v/>
      </c>
    </row>
    <row r="390" ht="15" customHeight="1" s="122">
      <c r="A390" s="175">
        <f>IF(B390="","",IFERROR(LEFT(B390,FIND(" ",B390,FIND(" ",B390)+1)-1),TRIM(B390)))</f>
        <v/>
      </c>
    </row>
    <row r="391" ht="15" customHeight="1" s="122">
      <c r="A391" s="175">
        <f>IF(B391="","",IFERROR(LEFT(B391,FIND(" ",B391,FIND(" ",B391)+1)-1),TRIM(B391)))</f>
        <v/>
      </c>
    </row>
    <row r="392" ht="15" customHeight="1" s="122">
      <c r="A392" s="175">
        <f>IF(B392="","",IFERROR(LEFT(B392,FIND(" ",B392,FIND(" ",B392)+1)-1),TRIM(B392)))</f>
        <v/>
      </c>
    </row>
    <row r="393" ht="15" customHeight="1" s="122">
      <c r="A393" s="175">
        <f>IF(B393="","",IFERROR(LEFT(B393,FIND(" ",B393,FIND(" ",B393)+1)-1),TRIM(B393)))</f>
        <v/>
      </c>
    </row>
    <row r="394" ht="15" customHeight="1" s="122">
      <c r="A394" s="175">
        <f>IF(B394="","",IFERROR(LEFT(B394,FIND(" ",B394,FIND(" ",B394)+1)-1),TRIM(B394)))</f>
        <v/>
      </c>
    </row>
    <row r="395" ht="15" customHeight="1" s="122">
      <c r="A395" s="175">
        <f>IF(B395="","",IFERROR(LEFT(B395,FIND(" ",B395,FIND(" ",B395)+1)-1),TRIM(B395)))</f>
        <v/>
      </c>
    </row>
    <row r="396" ht="15" customHeight="1" s="122">
      <c r="A396" s="175">
        <f>IF(B396="","",IFERROR(LEFT(B396,FIND(" ",B396,FIND(" ",B396)+1)-1),TRIM(B396)))</f>
        <v/>
      </c>
    </row>
    <row r="397" ht="15" customHeight="1" s="122">
      <c r="A397" s="175">
        <f>IF(B397="","",IFERROR(LEFT(B397,FIND(" ",B397,FIND(" ",B397)+1)-1),TRIM(B397)))</f>
        <v/>
      </c>
    </row>
    <row r="398" ht="15" customHeight="1" s="122">
      <c r="A398" s="175">
        <f>IF(B398="","",IFERROR(LEFT(B398,FIND(" ",B398,FIND(" ",B398)+1)-1),TRIM(B398)))</f>
        <v/>
      </c>
    </row>
    <row r="399" ht="15" customHeight="1" s="122">
      <c r="A399" s="175">
        <f>IF(B399="","",IFERROR(LEFT(B399,FIND(" ",B399,FIND(" ",B399)+1)-1),TRIM(B399)))</f>
        <v/>
      </c>
    </row>
    <row r="400" ht="15" customHeight="1" s="122">
      <c r="A400" s="175">
        <f>IF(B400="","",IFERROR(LEFT(B400,FIND(" ",B400,FIND(" ",B400)+1)-1),TRIM(B400)))</f>
        <v/>
      </c>
    </row>
    <row r="401" ht="15" customHeight="1" s="122">
      <c r="A401" s="175">
        <f>IF(B401="","",IFERROR(LEFT(B401,FIND(" ",B401,FIND(" ",B401)+1)-1),TRIM(B401)))</f>
        <v/>
      </c>
    </row>
    <row r="402" ht="15" customHeight="1" s="122">
      <c r="A402" s="175">
        <f>IF(B402="","",IFERROR(LEFT(B402,FIND(" ",B402,FIND(" ",B402)+1)-1),TRIM(B402)))</f>
        <v/>
      </c>
    </row>
    <row r="403" ht="15" customHeight="1" s="122">
      <c r="A403" s="175">
        <f>IF(B403="","",IFERROR(LEFT(B403,FIND(" ",B403,FIND(" ",B403)+1)-1),TRIM(B403)))</f>
        <v/>
      </c>
    </row>
    <row r="404" ht="15" customHeight="1" s="122">
      <c r="A404" s="175">
        <f>IF(B404="","",IFERROR(LEFT(B404,FIND(" ",B404,FIND(" ",B404)+1)-1),TRIM(B404)))</f>
        <v/>
      </c>
    </row>
    <row r="405" ht="15" customHeight="1" s="122">
      <c r="A405" s="175">
        <f>IF(B405="","",IFERROR(LEFT(B405,FIND(" ",B405,FIND(" ",B405)+1)-1),TRIM(B405)))</f>
        <v/>
      </c>
    </row>
    <row r="406" ht="15" customHeight="1" s="122">
      <c r="A406" s="175">
        <f>IF(B406="","",IFERROR(LEFT(B406,FIND(" ",B406,FIND(" ",B406)+1)-1),TRIM(B406)))</f>
        <v/>
      </c>
    </row>
    <row r="407" ht="15" customHeight="1" s="122">
      <c r="A407" s="175">
        <f>IF(B407="","",IFERROR(LEFT(B407,FIND(" ",B407,FIND(" ",B407)+1)-1),TRIM(B407)))</f>
        <v/>
      </c>
    </row>
    <row r="408" ht="15" customHeight="1" s="122">
      <c r="A408" s="175">
        <f>IF(B408="","",IFERROR(LEFT(B408,FIND(" ",B408,FIND(" ",B408)+1)-1),TRIM(B408)))</f>
        <v/>
      </c>
    </row>
    <row r="409" ht="15" customHeight="1" s="122">
      <c r="A409" s="175">
        <f>IF(B409="","",IFERROR(LEFT(B409,FIND(" ",B409,FIND(" ",B409)+1)-1),TRIM(B409)))</f>
        <v/>
      </c>
    </row>
    <row r="410" ht="15" customHeight="1" s="122">
      <c r="A410" s="175">
        <f>IF(B410="","",IFERROR(LEFT(B410,FIND(" ",B410,FIND(" ",B410)+1)-1),TRIM(B410)))</f>
        <v/>
      </c>
    </row>
    <row r="411" ht="15" customHeight="1" s="122">
      <c r="A411" s="175">
        <f>IF(B411="","",IFERROR(LEFT(B411,FIND(" ",B411,FIND(" ",B411)+1)-1),TRIM(B411)))</f>
        <v/>
      </c>
    </row>
    <row r="412" ht="15" customHeight="1" s="122">
      <c r="A412" s="175">
        <f>IF(B412="","",IFERROR(LEFT(B412,FIND(" ",B412,FIND(" ",B412)+1)-1),TRIM(B412)))</f>
        <v/>
      </c>
    </row>
    <row r="413" ht="15" customHeight="1" s="122">
      <c r="A413" s="175">
        <f>IF(B413="","",IFERROR(LEFT(B413,FIND(" ",B413,FIND(" ",B413)+1)-1),TRIM(B413)))</f>
        <v/>
      </c>
    </row>
    <row r="414" ht="15" customHeight="1" s="122">
      <c r="A414" s="175">
        <f>IF(B414="","",IFERROR(LEFT(B414,FIND(" ",B414,FIND(" ",B414)+1)-1),TRIM(B414)))</f>
        <v/>
      </c>
    </row>
    <row r="415" ht="15" customHeight="1" s="122">
      <c r="A415" s="175">
        <f>IF(B415="","",IFERROR(LEFT(B415,FIND(" ",B415,FIND(" ",B415)+1)-1),TRIM(B415)))</f>
        <v/>
      </c>
    </row>
    <row r="416" ht="15" customHeight="1" s="122">
      <c r="A416" s="175">
        <f>IF(B416="","",IFERROR(LEFT(B416,FIND(" ",B416,FIND(" ",B416)+1)-1),TRIM(B416)))</f>
        <v/>
      </c>
    </row>
    <row r="417" ht="15" customHeight="1" s="122">
      <c r="A417" s="175">
        <f>IF(B417="","",IFERROR(LEFT(B417,FIND(" ",B417,FIND(" ",B417)+1)-1),TRIM(B417)))</f>
        <v/>
      </c>
    </row>
    <row r="418" ht="15" customHeight="1" s="122">
      <c r="A418" s="175">
        <f>IF(B418="","",IFERROR(LEFT(B418,FIND(" ",B418,FIND(" ",B418)+1)-1),TRIM(B418)))</f>
        <v/>
      </c>
    </row>
    <row r="419" ht="15" customHeight="1" s="122">
      <c r="A419" s="175">
        <f>IF(B419="","",IFERROR(LEFT(B419,FIND(" ",B419,FIND(" ",B419)+1)-1),TRIM(B419)))</f>
        <v/>
      </c>
    </row>
    <row r="420" ht="15" customHeight="1" s="122">
      <c r="A420" s="175">
        <f>IF(B420="","",IFERROR(LEFT(B420,FIND(" ",B420,FIND(" ",B420)+1)-1),TRIM(B420)))</f>
        <v/>
      </c>
    </row>
    <row r="421" ht="15" customHeight="1" s="122">
      <c r="A421" s="175">
        <f>IF(B421="","",IFERROR(LEFT(B421,FIND(" ",B421,FIND(" ",B421)+1)-1),TRIM(B421)))</f>
        <v/>
      </c>
    </row>
    <row r="422" ht="15" customHeight="1" s="122">
      <c r="A422" s="175">
        <f>IF(B422="","",IFERROR(LEFT(B422,FIND(" ",B422,FIND(" ",B422)+1)-1),TRIM(B422)))</f>
        <v/>
      </c>
    </row>
    <row r="423" ht="15" customHeight="1" s="122">
      <c r="A423" s="175">
        <f>IF(B423="","",IFERROR(LEFT(B423,FIND(" ",B423,FIND(" ",B423)+1)-1),TRIM(B423)))</f>
        <v/>
      </c>
    </row>
    <row r="424" ht="15" customHeight="1" s="122">
      <c r="A424" s="175">
        <f>IF(B424="","",IFERROR(LEFT(B424,FIND(" ",B424,FIND(" ",B424)+1)-1),TRIM(B424)))</f>
        <v/>
      </c>
    </row>
    <row r="425" ht="15" customHeight="1" s="122">
      <c r="A425" s="175">
        <f>IF(B425="","",IFERROR(LEFT(B425,FIND(" ",B425,FIND(" ",B425)+1)-1),TRIM(B425)))</f>
        <v/>
      </c>
    </row>
    <row r="426" ht="15" customHeight="1" s="122">
      <c r="A426" s="175">
        <f>IF(B426="","",IFERROR(LEFT(B426,FIND(" ",B426,FIND(" ",B426)+1)-1),TRIM(B426)))</f>
        <v/>
      </c>
    </row>
    <row r="427" ht="15" customHeight="1" s="122">
      <c r="A427" s="175">
        <f>IF(B427="","",IFERROR(LEFT(B427,FIND(" ",B427,FIND(" ",B427)+1)-1),TRIM(B427)))</f>
        <v/>
      </c>
    </row>
    <row r="428" ht="15" customHeight="1" s="122">
      <c r="A428" s="175">
        <f>IF(B428="","",IFERROR(LEFT(B428,FIND(" ",B428,FIND(" ",B428)+1)-1),TRIM(B428)))</f>
        <v/>
      </c>
    </row>
    <row r="429" ht="15" customHeight="1" s="122">
      <c r="A429" s="175">
        <f>IF(B429="","",IFERROR(LEFT(B429,FIND(" ",B429,FIND(" ",B429)+1)-1),TRIM(B429)))</f>
        <v/>
      </c>
    </row>
    <row r="430" ht="15" customHeight="1" s="122">
      <c r="A430" s="175">
        <f>IF(B430="","",IFERROR(LEFT(B430,FIND(" ",B430,FIND(" ",B430)+1)-1),TRIM(B430)))</f>
        <v/>
      </c>
    </row>
    <row r="431" ht="15" customHeight="1" s="122">
      <c r="A431" s="175">
        <f>IF(B431="","",IFERROR(LEFT(B431,FIND(" ",B431,FIND(" ",B431)+1)-1),TRIM(B431)))</f>
        <v/>
      </c>
    </row>
    <row r="432" ht="15" customHeight="1" s="122">
      <c r="A432" s="175">
        <f>IF(B432="","",IFERROR(LEFT(B432,FIND(" ",B432,FIND(" ",B432)+1)-1),TRIM(B432)))</f>
        <v/>
      </c>
    </row>
    <row r="433" ht="15" customHeight="1" s="122">
      <c r="A433" s="175">
        <f>IF(B433="","",IFERROR(LEFT(B433,FIND(" ",B433,FIND(" ",B433)+1)-1),TRIM(B433)))</f>
        <v/>
      </c>
    </row>
    <row r="434" ht="15" customHeight="1" s="122">
      <c r="A434" s="175">
        <f>IF(B434="","",IFERROR(LEFT(B434,FIND(" ",B434,FIND(" ",B434)+1)-1),TRIM(B434)))</f>
        <v/>
      </c>
    </row>
    <row r="435" ht="15" customHeight="1" s="122">
      <c r="A435" s="175">
        <f>IF(B435="","",IFERROR(LEFT(B435,FIND(" ",B435,FIND(" ",B435)+1)-1),TRIM(B435)))</f>
        <v/>
      </c>
    </row>
    <row r="436" ht="15" customHeight="1" s="122">
      <c r="A436" s="175">
        <f>IF(B436="","",IFERROR(LEFT(B436,FIND(" ",B436,FIND(" ",B436)+1)-1),TRIM(B436)))</f>
        <v/>
      </c>
    </row>
    <row r="437" ht="15" customHeight="1" s="122">
      <c r="A437" s="175">
        <f>IF(B437="","",IFERROR(LEFT(B437,FIND(" ",B437,FIND(" ",B437)+1)-1),TRIM(B437)))</f>
        <v/>
      </c>
    </row>
    <row r="438" ht="15" customHeight="1" s="122">
      <c r="A438" s="175">
        <f>IF(B438="","",IFERROR(LEFT(B438,FIND(" ",B438,FIND(" ",B438)+1)-1),TRIM(B438)))</f>
        <v/>
      </c>
    </row>
    <row r="439" ht="15" customHeight="1" s="122">
      <c r="A439" s="175">
        <f>IF(B439="","",IFERROR(LEFT(B439,FIND(" ",B439,FIND(" ",B439)+1)-1),TRIM(B439)))</f>
        <v/>
      </c>
    </row>
    <row r="440" ht="15" customHeight="1" s="122">
      <c r="A440" s="175">
        <f>IF(B440="","",IFERROR(LEFT(B440,FIND(" ",B440,FIND(" ",B440)+1)-1),TRIM(B440)))</f>
        <v/>
      </c>
    </row>
    <row r="441" ht="15" customHeight="1" s="122">
      <c r="A441" s="175">
        <f>IF(B441="","",IFERROR(LEFT(B441,FIND(" ",B441,FIND(" ",B441)+1)-1),TRIM(B441)))</f>
        <v/>
      </c>
    </row>
    <row r="442" ht="15" customHeight="1" s="122">
      <c r="A442" s="175">
        <f>IF(B442="","",IFERROR(LEFT(B442,FIND(" ",B442,FIND(" ",B442)+1)-1),TRIM(B442)))</f>
        <v/>
      </c>
    </row>
    <row r="443" ht="15" customHeight="1" s="122">
      <c r="A443" s="175">
        <f>IF(B443="","",IFERROR(LEFT(B443,FIND(" ",B443,FIND(" ",B443)+1)-1),TRIM(B443)))</f>
        <v/>
      </c>
    </row>
    <row r="444" ht="15" customHeight="1" s="122">
      <c r="A444" s="175">
        <f>IF(B444="","",IFERROR(LEFT(B444,FIND(" ",B444,FIND(" ",B444)+1)-1),TRIM(B444)))</f>
        <v/>
      </c>
    </row>
    <row r="445" ht="15" customHeight="1" s="122">
      <c r="A445" s="175">
        <f>IF(B445="","",IFERROR(LEFT(B445,FIND(" ",B445,FIND(" ",B445)+1)-1),TRIM(B445)))</f>
        <v/>
      </c>
    </row>
    <row r="446" ht="15" customHeight="1" s="122">
      <c r="A446" s="175">
        <f>IF(B446="","",IFERROR(LEFT(B446,FIND(" ",B446,FIND(" ",B446)+1)-1),TRIM(B446)))</f>
        <v/>
      </c>
    </row>
    <row r="447" ht="15" customHeight="1" s="122">
      <c r="A447" s="175">
        <f>IF(B447="","",IFERROR(LEFT(B447,FIND(" ",B447,FIND(" ",B447)+1)-1),TRIM(B447)))</f>
        <v/>
      </c>
    </row>
    <row r="448" ht="15" customHeight="1" s="122">
      <c r="A448" s="175">
        <f>IF(B448="","",IFERROR(LEFT(B448,FIND(" ",B448,FIND(" ",B448)+1)-1),TRIM(B448)))</f>
        <v/>
      </c>
    </row>
    <row r="449" ht="15" customHeight="1" s="122">
      <c r="A449" s="175">
        <f>IF(B449="","",IFERROR(LEFT(B449,FIND(" ",B449,FIND(" ",B449)+1)-1),TRIM(B449)))</f>
        <v/>
      </c>
    </row>
    <row r="450" ht="15" customHeight="1" s="122">
      <c r="A450" s="175">
        <f>IF(B450="","",IFERROR(LEFT(B450,FIND(" ",B450,FIND(" ",B450)+1)-1),TRIM(B450)))</f>
        <v/>
      </c>
    </row>
    <row r="451" ht="15" customHeight="1" s="122">
      <c r="A451" s="175">
        <f>IF(B451="","",IFERROR(LEFT(B451,FIND(" ",B451,FIND(" ",B451)+1)-1),TRIM(B451)))</f>
        <v/>
      </c>
    </row>
    <row r="452" ht="15" customHeight="1" s="122">
      <c r="A452" s="175">
        <f>IF(B452="","",IFERROR(LEFT(B452,FIND(" ",B452,FIND(" ",B452)+1)-1),TRIM(B452)))</f>
        <v/>
      </c>
    </row>
    <row r="453" ht="15" customHeight="1" s="122">
      <c r="A453" s="175">
        <f>IF(B453="","",IFERROR(LEFT(B453,FIND(" ",B453,FIND(" ",B453)+1)-1),TRIM(B453)))</f>
        <v/>
      </c>
    </row>
    <row r="454" ht="15" customHeight="1" s="122">
      <c r="A454" s="175">
        <f>IF(B454="","",IFERROR(LEFT(B454,FIND(" ",B454,FIND(" ",B454)+1)-1),TRIM(B454)))</f>
        <v/>
      </c>
    </row>
    <row r="455" ht="15" customHeight="1" s="122">
      <c r="A455" s="175">
        <f>IF(B455="","",IFERROR(LEFT(B455,FIND(" ",B455,FIND(" ",B455)+1)-1),TRIM(B455)))</f>
        <v/>
      </c>
    </row>
    <row r="456" ht="15" customHeight="1" s="122">
      <c r="A456" s="175">
        <f>IF(B456="","",IFERROR(LEFT(B456,FIND(" ",B456,FIND(" ",B456)+1)-1),TRIM(B456)))</f>
        <v/>
      </c>
    </row>
    <row r="457" ht="15" customHeight="1" s="122">
      <c r="A457" s="175">
        <f>IF(B457="","",IFERROR(LEFT(B457,FIND(" ",B457,FIND(" ",B457)+1)-1),TRIM(B457)))</f>
        <v/>
      </c>
    </row>
    <row r="458" ht="15" customHeight="1" s="122">
      <c r="A458" s="175">
        <f>IF(B458="","",IFERROR(LEFT(B458,FIND(" ",B458,FIND(" ",B458)+1)-1),TRIM(B458)))</f>
        <v/>
      </c>
    </row>
    <row r="459" ht="15" customHeight="1" s="122">
      <c r="A459" s="175">
        <f>IF(B459="","",IFERROR(LEFT(B459,FIND(" ",B459,FIND(" ",B459)+1)-1),TRIM(B459)))</f>
        <v/>
      </c>
    </row>
    <row r="460" ht="15" customHeight="1" s="122">
      <c r="A460" s="175">
        <f>IF(B460="","",IFERROR(LEFT(B460,FIND(" ",B460,FIND(" ",B460)+1)-1),TRIM(B460)))</f>
        <v/>
      </c>
    </row>
    <row r="461" ht="15" customHeight="1" s="122">
      <c r="A461" s="175">
        <f>IF(B461="","",IFERROR(LEFT(B461,FIND(" ",B461,FIND(" ",B461)+1)-1),TRIM(B461)))</f>
        <v/>
      </c>
    </row>
    <row r="462" ht="15" customHeight="1" s="122">
      <c r="A462" s="175">
        <f>IF(B462="","",IFERROR(LEFT(B462,FIND(" ",B462,FIND(" ",B462)+1)-1),TRIM(B462)))</f>
        <v/>
      </c>
    </row>
    <row r="463" ht="15" customHeight="1" s="122">
      <c r="A463" s="175">
        <f>IF(B463="","",IFERROR(LEFT(B463,FIND(" ",B463,FIND(" ",B463)+1)-1),TRIM(B463)))</f>
        <v/>
      </c>
    </row>
    <row r="464" ht="15" customHeight="1" s="122">
      <c r="A464" s="175">
        <f>IF(B464="","",IFERROR(LEFT(B464,FIND(" ",B464,FIND(" ",B464)+1)-1),TRIM(B464)))</f>
        <v/>
      </c>
    </row>
    <row r="465" ht="15" customHeight="1" s="122">
      <c r="A465" s="175">
        <f>IF(B465="","",IFERROR(LEFT(B465,FIND(" ",B465,FIND(" ",B465)+1)-1),TRIM(B465)))</f>
        <v/>
      </c>
    </row>
    <row r="466" ht="15" customHeight="1" s="122">
      <c r="A466" s="175">
        <f>IF(B466="","",IFERROR(LEFT(B466,FIND(" ",B466,FIND(" ",B466)+1)-1),TRIM(B466)))</f>
        <v/>
      </c>
    </row>
    <row r="467" ht="15" customHeight="1" s="122">
      <c r="A467" s="175">
        <f>IF(B467="","",IFERROR(LEFT(B467,FIND(" ",B467,FIND(" ",B467)+1)-1),TRIM(B467)))</f>
        <v/>
      </c>
    </row>
    <row r="468" ht="15" customHeight="1" s="122">
      <c r="A468" s="175">
        <f>IF(B468="","",IFERROR(LEFT(B468,FIND(" ",B468,FIND(" ",B468)+1)-1),TRIM(B468)))</f>
        <v/>
      </c>
    </row>
    <row r="469" ht="15" customHeight="1" s="122">
      <c r="A469" s="175">
        <f>IF(B469="","",IFERROR(LEFT(B469,FIND(" ",B469,FIND(" ",B469)+1)-1),TRIM(B469)))</f>
        <v/>
      </c>
    </row>
    <row r="470" ht="15" customHeight="1" s="122">
      <c r="A470" s="175">
        <f>IF(B470="","",IFERROR(LEFT(B470,FIND(" ",B470,FIND(" ",B470)+1)-1),TRIM(B470)))</f>
        <v/>
      </c>
    </row>
    <row r="471" ht="15" customHeight="1" s="122">
      <c r="A471" s="175">
        <f>IF(B471="","",IFERROR(LEFT(B471,FIND(" ",B471,FIND(" ",B471)+1)-1),TRIM(B471)))</f>
        <v/>
      </c>
    </row>
    <row r="472" ht="15" customHeight="1" s="122">
      <c r="A472" s="175">
        <f>IF(B472="","",IFERROR(LEFT(B472,FIND(" ",B472,FIND(" ",B472)+1)-1),TRIM(B472)))</f>
        <v/>
      </c>
    </row>
    <row r="473" ht="15" customHeight="1" s="122">
      <c r="A473" s="175">
        <f>IF(B473="","",IFERROR(LEFT(B473,FIND(" ",B473,FIND(" ",B473)+1)-1),TRIM(B473)))</f>
        <v/>
      </c>
    </row>
    <row r="474" ht="15" customHeight="1" s="122">
      <c r="A474" s="175">
        <f>IF(B474="","",IFERROR(LEFT(B474,FIND(" ",B474,FIND(" ",B474)+1)-1),TRIM(B474)))</f>
        <v/>
      </c>
    </row>
    <row r="475" ht="15" customHeight="1" s="122">
      <c r="A475" s="175">
        <f>IF(B475="","",IFERROR(LEFT(B475,FIND(" ",B475,FIND(" ",B475)+1)-1),TRIM(B475)))</f>
        <v/>
      </c>
    </row>
    <row r="476" ht="15" customHeight="1" s="122">
      <c r="A476" s="175">
        <f>IF(B476="","",IFERROR(LEFT(B476,FIND(" ",B476,FIND(" ",B476)+1)-1),TRIM(B476)))</f>
        <v/>
      </c>
    </row>
    <row r="477" ht="15" customHeight="1" s="122">
      <c r="A477" s="175">
        <f>IF(B477="","",IFERROR(LEFT(B477,FIND(" ",B477,FIND(" ",B477)+1)-1),TRIM(B477)))</f>
        <v/>
      </c>
    </row>
    <row r="478" ht="15" customHeight="1" s="122">
      <c r="A478" s="175">
        <f>IF(B478="","",IFERROR(LEFT(B478,FIND(" ",B478,FIND(" ",B478)+1)-1),TRIM(B478)))</f>
        <v/>
      </c>
    </row>
    <row r="479" ht="15" customHeight="1" s="122">
      <c r="A479" s="175">
        <f>IF(B479="","",IFERROR(LEFT(B479,FIND(" ",B479,FIND(" ",B479)+1)-1),TRIM(B479)))</f>
        <v/>
      </c>
    </row>
    <row r="480" ht="15" customHeight="1" s="122">
      <c r="A480" s="175">
        <f>IF(B480="","",IFERROR(LEFT(B480,FIND(" ",B480,FIND(" ",B480)+1)-1),TRIM(B480)))</f>
        <v/>
      </c>
    </row>
    <row r="481" ht="15" customHeight="1" s="122">
      <c r="A481" s="175">
        <f>IF(B481="","",IFERROR(LEFT(B481,FIND(" ",B481,FIND(" ",B481)+1)-1),TRIM(B481)))</f>
        <v/>
      </c>
    </row>
    <row r="482" ht="15" customHeight="1" s="122">
      <c r="A482" s="175">
        <f>IF(B482="","",IFERROR(LEFT(B482,FIND(" ",B482,FIND(" ",B482)+1)-1),TRIM(B482)))</f>
        <v/>
      </c>
    </row>
    <row r="483" ht="15" customHeight="1" s="122">
      <c r="A483" s="175">
        <f>IF(B483="","",IFERROR(LEFT(B483,FIND(" ",B483,FIND(" ",B483)+1)-1),TRIM(B483)))</f>
        <v/>
      </c>
    </row>
    <row r="484" ht="15" customHeight="1" s="122">
      <c r="A484" s="175">
        <f>IF(B484="","",IFERROR(LEFT(B484,FIND(" ",B484,FIND(" ",B484)+1)-1),TRIM(B484)))</f>
        <v/>
      </c>
    </row>
    <row r="485" ht="15" customHeight="1" s="122">
      <c r="A485" s="175">
        <f>IF(B485="","",IFERROR(LEFT(B485,FIND(" ",B485,FIND(" ",B485)+1)-1),TRIM(B485)))</f>
        <v/>
      </c>
    </row>
    <row r="486" ht="15" customHeight="1" s="122">
      <c r="A486" s="175">
        <f>IF(B486="","",IFERROR(LEFT(B486,FIND(" ",B486,FIND(" ",B486)+1)-1),TRIM(B486)))</f>
        <v/>
      </c>
    </row>
    <row r="487" ht="15" customHeight="1" s="122">
      <c r="A487" s="175">
        <f>IF(B487="","",IFERROR(LEFT(B487,FIND(" ",B487,FIND(" ",B487)+1)-1),TRIM(B487)))</f>
        <v/>
      </c>
    </row>
    <row r="488" ht="15" customHeight="1" s="122">
      <c r="A488" s="175">
        <f>IF(B488="","",IFERROR(LEFT(B488,FIND(" ",B488,FIND(" ",B488)+1)-1),TRIM(B488)))</f>
        <v/>
      </c>
    </row>
    <row r="489" ht="15" customHeight="1" s="122">
      <c r="A489" s="175">
        <f>IF(B489="","",IFERROR(LEFT(B489,FIND(" ",B489,FIND(" ",B489)+1)-1),TRIM(B489)))</f>
        <v/>
      </c>
    </row>
    <row r="490" ht="15" customHeight="1" s="122">
      <c r="A490" s="175">
        <f>IF(B490="","",IFERROR(LEFT(B490,FIND(" ",B490,FIND(" ",B490)+1)-1),TRIM(B490)))</f>
        <v/>
      </c>
    </row>
    <row r="491" ht="15" customHeight="1" s="122">
      <c r="A491" s="175">
        <f>IF(B491="","",IFERROR(LEFT(B491,FIND(" ",B491,FIND(" ",B491)+1)-1),TRIM(B491)))</f>
        <v/>
      </c>
    </row>
    <row r="492" ht="15" customHeight="1" s="122">
      <c r="A492" s="175">
        <f>IF(B492="","",IFERROR(LEFT(B492,FIND(" ",B492,FIND(" ",B492)+1)-1),TRIM(B492)))</f>
        <v/>
      </c>
    </row>
    <row r="493" ht="15" customHeight="1" s="122">
      <c r="A493" s="175">
        <f>IF(B493="","",IFERROR(LEFT(B493,FIND(" ",B493,FIND(" ",B493)+1)-1),TRIM(B493)))</f>
        <v/>
      </c>
    </row>
    <row r="494" ht="15" customHeight="1" s="122">
      <c r="A494" s="175">
        <f>IF(B494="","",IFERROR(LEFT(B494,FIND(" ",B494,FIND(" ",B494)+1)-1),TRIM(B494)))</f>
        <v/>
      </c>
    </row>
    <row r="495" ht="15" customHeight="1" s="122">
      <c r="A495" s="175">
        <f>IF(B495="","",IFERROR(LEFT(B495,FIND(" ",B495,FIND(" ",B495)+1)-1),TRIM(B495)))</f>
        <v/>
      </c>
    </row>
    <row r="496" ht="15" customHeight="1" s="122">
      <c r="A496" s="175">
        <f>IF(B496="","",IFERROR(LEFT(B496,FIND(" ",B496,FIND(" ",B496)+1)-1),TRIM(B496)))</f>
        <v/>
      </c>
    </row>
    <row r="497" ht="15" customHeight="1" s="122">
      <c r="A497" s="175">
        <f>IF(B497="","",IFERROR(LEFT(B497,FIND(" ",B497,FIND(" ",B497)+1)-1),TRIM(B497)))</f>
        <v/>
      </c>
    </row>
    <row r="498" ht="15" customHeight="1" s="122">
      <c r="A498" s="175">
        <f>IF(B498="","",IFERROR(LEFT(B498,FIND(" ",B498,FIND(" ",B498)+1)-1),TRIM(B498)))</f>
        <v/>
      </c>
    </row>
    <row r="499" ht="15" customHeight="1" s="122">
      <c r="A499" s="175">
        <f>IF(B499="","",IFERROR(LEFT(B499,FIND(" ",B499,FIND(" ",B499)+1)-1),TRIM(B499)))</f>
        <v/>
      </c>
    </row>
  </sheetData>
  <autoFilter ref="A3:M3"/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21" min="1" max="2"/>
    <col width="22" customWidth="1" style="121" min="3" max="3"/>
    <col width="14" customWidth="1" style="121" min="4" max="4"/>
    <col width="18" customWidth="1" style="121" min="5" max="5"/>
    <col width="14" customWidth="1" style="121" min="6" max="6"/>
    <col width="13" customWidth="1" style="121" min="7" max="7"/>
    <col width="12" customWidth="1" style="121" min="8" max="8"/>
    <col width="14" customWidth="1" style="121" min="9" max="9"/>
    <col width="24" customWidth="1" style="121" min="10" max="10"/>
    <col width="12" customWidth="1" style="121" min="11" max="11"/>
    <col width="10" customWidth="1" style="121" min="12" max="12"/>
    <col width="14" customWidth="1" style="121" min="13" max="13"/>
    <col width="12" customWidth="1" style="121" min="14" max="15"/>
    <col width="22" customWidth="1" style="121" min="16" max="16"/>
    <col width="20" customWidth="1" style="121" min="17" max="17"/>
  </cols>
  <sheetData>
    <row r="1" ht="27.75" customHeight="1" s="122">
      <c r="A1" s="160" t="inlineStr">
        <is>
          <t>📥  RAW FUEL DATA — PASTE MONTHLY FUEL ANALYSIS REPORT HERE</t>
        </is>
      </c>
    </row>
    <row r="2" ht="15.75" customHeight="1" s="122">
      <c r="A2" s="161" t="inlineStr">
        <is>
          <t>Each month: paste the PJP Evaluation &amp; Fuel Analysis sheet here starting at row 4.  Keep headers exactly as exported.</t>
        </is>
      </c>
    </row>
    <row r="3" ht="21.75" customHeight="1" s="122">
      <c r="A3" s="162" t="inlineStr">
        <is>
          <t>Vehicle Plate</t>
        </is>
      </c>
      <c r="B3" s="162" t="inlineStr">
        <is>
          <t>New Plate</t>
        </is>
      </c>
      <c r="C3" s="162" t="inlineStr">
        <is>
          <t>Driver Name</t>
        </is>
      </c>
      <c r="D3" s="162" t="inlineStr">
        <is>
          <t>Designation</t>
        </is>
      </c>
      <c r="E3" s="162" t="inlineStr">
        <is>
          <t>Territory</t>
        </is>
      </c>
      <c r="F3" s="162" t="inlineStr">
        <is>
          <t>Vehicle Type</t>
        </is>
      </c>
      <c r="G3" s="162" t="inlineStr">
        <is>
          <t>Region</t>
        </is>
      </c>
      <c r="H3" s="162" t="inlineStr">
        <is>
          <t>Tracker KM</t>
        </is>
      </c>
      <c r="I3" s="162" t="inlineStr">
        <is>
          <t>PJP Compliance</t>
        </is>
      </c>
      <c r="J3" s="162" t="inlineStr">
        <is>
          <t>PJP Non-Compliance Reason</t>
        </is>
      </c>
      <c r="K3" s="162" t="inlineStr">
        <is>
          <t>Fuel (Litres)</t>
        </is>
      </c>
      <c r="L3" s="162" t="inlineStr">
        <is>
          <t>KM/L</t>
        </is>
      </c>
      <c r="M3" s="162" t="inlineStr">
        <is>
          <t>Fuel Compliance</t>
        </is>
      </c>
      <c r="N3" s="162" t="inlineStr">
        <is>
          <t>Days Past 10pm</t>
        </is>
      </c>
      <c r="O3" s="162" t="inlineStr">
        <is>
          <t>Max Top Speed</t>
        </is>
      </c>
      <c r="P3" s="162" t="inlineStr">
        <is>
          <t>Date (Top Speed)</t>
        </is>
      </c>
      <c r="Q3" s="162" t="inlineStr">
        <is>
          <t>Comment on Speed</t>
        </is>
      </c>
    </row>
    <row r="4" ht="15" customHeight="1" s="122">
      <c r="A4" s="165" t="inlineStr">
        <is>
          <t>KAAB 201Z</t>
        </is>
      </c>
      <c r="B4" s="165" t="inlineStr">
        <is>
          <t>KAAB 201Z</t>
        </is>
      </c>
      <c r="C4" s="165" t="inlineStr">
        <is>
          <t>Driver_33</t>
        </is>
      </c>
      <c r="D4" s="165" t="inlineStr">
        <is>
          <t>TBE</t>
        </is>
      </c>
      <c r="E4" s="165" t="inlineStr">
        <is>
          <t>Territory_17</t>
        </is>
      </c>
      <c r="F4" s="165" t="inlineStr">
        <is>
          <t>Honda</t>
        </is>
      </c>
      <c r="G4" s="165" t="inlineStr">
        <is>
          <t>Territory_03</t>
        </is>
      </c>
      <c r="H4" s="176" t="n">
        <v>1576.35</v>
      </c>
      <c r="I4" s="165" t="n"/>
      <c r="J4" s="165" t="n"/>
      <c r="K4" s="176" t="n">
        <v>41.89</v>
      </c>
      <c r="L4" s="176" t="n">
        <v>37.63069945</v>
      </c>
      <c r="M4" s="165" t="inlineStr">
        <is>
          <t>Not Complied</t>
        </is>
      </c>
      <c r="N4" s="165" t="n">
        <v>5</v>
      </c>
      <c r="O4" s="165" t="n">
        <v>87</v>
      </c>
      <c r="P4" s="165" t="inlineStr">
        <is>
          <t>13-02-2026 18:27:59</t>
        </is>
      </c>
      <c r="Q4" s="165" t="inlineStr">
        <is>
          <t>Complied</t>
        </is>
      </c>
    </row>
    <row r="5" ht="15" customHeight="1" s="122">
      <c r="A5" s="171" t="inlineStr">
        <is>
          <t>KAAB 205Z</t>
        </is>
      </c>
      <c r="B5" s="171" t="inlineStr">
        <is>
          <t>KAAB 205Z</t>
        </is>
      </c>
      <c r="C5" s="171" t="inlineStr">
        <is>
          <t>Driver_40</t>
        </is>
      </c>
      <c r="D5" s="171" t="inlineStr">
        <is>
          <t>TBE</t>
        </is>
      </c>
      <c r="E5" s="171" t="inlineStr">
        <is>
          <t>Territory_29</t>
        </is>
      </c>
      <c r="F5" s="171" t="inlineStr">
        <is>
          <t>Honda</t>
        </is>
      </c>
      <c r="G5" s="171" t="inlineStr">
        <is>
          <t>North Rift</t>
        </is>
      </c>
      <c r="H5" s="173" t="n">
        <v>1555.23</v>
      </c>
      <c r="I5" s="171" t="n"/>
      <c r="J5" s="171" t="n"/>
      <c r="K5" s="173" t="n">
        <v>42.68</v>
      </c>
      <c r="L5" s="173" t="n">
        <v>36.43931584</v>
      </c>
      <c r="M5" s="171" t="inlineStr">
        <is>
          <t>Not Complied</t>
        </is>
      </c>
      <c r="N5" s="171" t="n">
        <v>0</v>
      </c>
      <c r="O5" s="171" t="n">
        <v>83</v>
      </c>
      <c r="P5" s="177" t="n">
        <v>46144.69605</v>
      </c>
      <c r="Q5" s="171" t="inlineStr">
        <is>
          <t>Complied</t>
        </is>
      </c>
    </row>
    <row r="6" ht="15" customHeight="1" s="122">
      <c r="A6" s="165" t="inlineStr">
        <is>
          <t>KAAC 309C</t>
        </is>
      </c>
      <c r="B6" s="165" t="inlineStr">
        <is>
          <t>KAAC 309C</t>
        </is>
      </c>
      <c r="C6" s="165" t="inlineStr">
        <is>
          <t>Driver_47</t>
        </is>
      </c>
      <c r="D6" s="165" t="inlineStr">
        <is>
          <t>TBE</t>
        </is>
      </c>
      <c r="E6" s="165" t="inlineStr">
        <is>
          <t>Territory_43</t>
        </is>
      </c>
      <c r="F6" s="165" t="inlineStr">
        <is>
          <t>Honda</t>
        </is>
      </c>
      <c r="G6" s="165" t="inlineStr">
        <is>
          <t>Nyanza</t>
        </is>
      </c>
      <c r="H6" s="176" t="n">
        <v>515.4299999999999</v>
      </c>
      <c r="I6" s="165" t="n"/>
      <c r="J6" s="165" t="n"/>
      <c r="K6" s="176" t="n">
        <v>40.85</v>
      </c>
      <c r="L6" s="176" t="n">
        <v>12.61762546</v>
      </c>
      <c r="M6" s="165" t="inlineStr">
        <is>
          <t>Not Complied</t>
        </is>
      </c>
      <c r="N6" s="165" t="n">
        <v>1</v>
      </c>
      <c r="O6" s="165" t="n">
        <v>118</v>
      </c>
      <c r="P6" s="178" t="n">
        <v>46358.62803</v>
      </c>
      <c r="Q6" s="165" t="inlineStr">
        <is>
          <t>Action Already Taken</t>
        </is>
      </c>
    </row>
    <row r="7" ht="15" customHeight="1" s="122">
      <c r="A7" s="171" t="inlineStr">
        <is>
          <t>KAAB 203Z</t>
        </is>
      </c>
      <c r="B7" s="171" t="inlineStr">
        <is>
          <t>KAAB 203Z</t>
        </is>
      </c>
      <c r="C7" s="171" t="inlineStr">
        <is>
          <t>Driver_37</t>
        </is>
      </c>
      <c r="D7" s="171" t="inlineStr">
        <is>
          <t>TBE</t>
        </is>
      </c>
      <c r="E7" s="171" t="inlineStr">
        <is>
          <t>Territory_33</t>
        </is>
      </c>
      <c r="F7" s="171" t="inlineStr">
        <is>
          <t>Honda</t>
        </is>
      </c>
      <c r="G7" s="171" t="inlineStr">
        <is>
          <t>Territory_25</t>
        </is>
      </c>
      <c r="H7" s="173" t="n">
        <v>2304.27</v>
      </c>
      <c r="I7" s="171" t="n"/>
      <c r="J7" s="171" t="n"/>
      <c r="K7" s="173" t="n">
        <v>49.59</v>
      </c>
      <c r="L7" s="173" t="n">
        <v>46.46642468</v>
      </c>
      <c r="M7" s="171" t="inlineStr">
        <is>
          <t>Complied</t>
        </is>
      </c>
      <c r="N7" s="171" t="n">
        <v>6</v>
      </c>
      <c r="O7" s="171" t="n">
        <v>92</v>
      </c>
      <c r="P7" s="177" t="n">
        <v>46024.38961</v>
      </c>
      <c r="Q7" s="171" t="inlineStr">
        <is>
          <t>Overtaking Instances</t>
        </is>
      </c>
    </row>
    <row r="8" ht="15" customHeight="1" s="122">
      <c r="A8" s="165" t="inlineStr">
        <is>
          <t>KAAB 206Z</t>
        </is>
      </c>
      <c r="B8" s="165" t="inlineStr">
        <is>
          <t>KAAB 206Z</t>
        </is>
      </c>
      <c r="C8" s="165" t="inlineStr">
        <is>
          <t>Driver_42</t>
        </is>
      </c>
      <c r="D8" s="165" t="inlineStr">
        <is>
          <t>TBE</t>
        </is>
      </c>
      <c r="E8" s="165" t="inlineStr">
        <is>
          <t>Territory_10</t>
        </is>
      </c>
      <c r="F8" s="165" t="inlineStr">
        <is>
          <t>Honda</t>
        </is>
      </c>
      <c r="G8" s="165" t="inlineStr">
        <is>
          <t>North Rift</t>
        </is>
      </c>
      <c r="H8" s="176" t="n">
        <v>0</v>
      </c>
      <c r="I8" s="165" t="n"/>
      <c r="J8" s="165" t="n"/>
      <c r="K8" s="176" t="n">
        <v>0</v>
      </c>
      <c r="L8" s="165" t="n"/>
      <c r="M8" s="165" t="inlineStr">
        <is>
          <t>No Data</t>
        </is>
      </c>
      <c r="N8" s="165" t="n">
        <v>0</v>
      </c>
      <c r="O8" s="165" t="n">
        <v>0</v>
      </c>
      <c r="P8" s="165" t="n"/>
      <c r="Q8" s="165" t="inlineStr">
        <is>
          <t>Complied</t>
        </is>
      </c>
    </row>
    <row r="9" ht="15" customHeight="1" s="122">
      <c r="A9" s="171" t="inlineStr">
        <is>
          <t>KAAC 308C</t>
        </is>
      </c>
      <c r="B9" s="171" t="inlineStr">
        <is>
          <t>KAAC 308C</t>
        </is>
      </c>
      <c r="C9" s="171" t="inlineStr">
        <is>
          <t>Driver_45</t>
        </is>
      </c>
      <c r="D9" s="171" t="inlineStr">
        <is>
          <t>TBE</t>
        </is>
      </c>
      <c r="E9" s="171" t="inlineStr">
        <is>
          <t>Territory_23</t>
        </is>
      </c>
      <c r="F9" s="171" t="inlineStr">
        <is>
          <t>Honda</t>
        </is>
      </c>
      <c r="G9" s="171" t="inlineStr">
        <is>
          <t>North Rift</t>
        </is>
      </c>
      <c r="H9" s="173" t="n">
        <v>1452.63</v>
      </c>
      <c r="I9" s="171" t="n"/>
      <c r="J9" s="171" t="n"/>
      <c r="K9" s="173" t="n">
        <v>41.33</v>
      </c>
      <c r="L9" s="173" t="n">
        <v>35.14710864</v>
      </c>
      <c r="M9" s="171" t="inlineStr">
        <is>
          <t>Not Complied</t>
        </is>
      </c>
      <c r="N9" s="171" t="n">
        <v>3</v>
      </c>
      <c r="O9" s="171" t="n">
        <v>85</v>
      </c>
      <c r="P9" s="177" t="n">
        <v>46297.53347</v>
      </c>
      <c r="Q9" s="171" t="inlineStr">
        <is>
          <t>Complied</t>
        </is>
      </c>
    </row>
    <row r="10" ht="15" customHeight="1" s="122">
      <c r="A10" s="165" t="inlineStr">
        <is>
          <t>KAAC 305C</t>
        </is>
      </c>
      <c r="B10" s="165" t="inlineStr">
        <is>
          <t>KAAC 305C</t>
        </is>
      </c>
      <c r="C10" s="165" t="inlineStr">
        <is>
          <t>Driver_41</t>
        </is>
      </c>
      <c r="D10" s="165" t="inlineStr">
        <is>
          <t>TBE</t>
        </is>
      </c>
      <c r="E10" s="165" t="inlineStr">
        <is>
          <t>Territory_18</t>
        </is>
      </c>
      <c r="F10" s="165" t="inlineStr">
        <is>
          <t>Honda</t>
        </is>
      </c>
      <c r="G10" s="165" t="inlineStr">
        <is>
          <t>North Rift</t>
        </is>
      </c>
      <c r="H10" s="176" t="n">
        <v>2445.53</v>
      </c>
      <c r="I10" s="165" t="n"/>
      <c r="J10" s="165" t="n"/>
      <c r="K10" s="176" t="n">
        <v>39.98</v>
      </c>
      <c r="L10" s="176" t="n">
        <v>61.16883442</v>
      </c>
      <c r="M10" s="165" t="inlineStr">
        <is>
          <t>Complied</t>
        </is>
      </c>
      <c r="N10" s="165" t="n">
        <v>10</v>
      </c>
      <c r="O10" s="165" t="n">
        <v>96</v>
      </c>
      <c r="P10" s="178" t="n">
        <v>46328.46079</v>
      </c>
      <c r="Q10" s="165" t="inlineStr">
        <is>
          <t>Overtaking Instances</t>
        </is>
      </c>
    </row>
    <row r="11" ht="15" customHeight="1" s="122">
      <c r="A11" s="171" t="inlineStr">
        <is>
          <t>KAAB 207Z</t>
        </is>
      </c>
      <c r="B11" s="171" t="inlineStr">
        <is>
          <t>KAAB 207Z</t>
        </is>
      </c>
      <c r="C11" s="171" t="inlineStr">
        <is>
          <t>Driver_46</t>
        </is>
      </c>
      <c r="D11" s="171" t="inlineStr">
        <is>
          <t>TBE</t>
        </is>
      </c>
      <c r="E11" s="171" t="inlineStr">
        <is>
          <t>Territory_28</t>
        </is>
      </c>
      <c r="F11" s="171" t="inlineStr">
        <is>
          <t>Honda</t>
        </is>
      </c>
      <c r="G11" s="171" t="inlineStr">
        <is>
          <t>North Rift</t>
        </is>
      </c>
      <c r="H11" s="173" t="n">
        <v>1204.23</v>
      </c>
      <c r="I11" s="171" t="n"/>
      <c r="J11" s="171" t="n"/>
      <c r="K11" s="173" t="n">
        <v>41.83</v>
      </c>
      <c r="L11" s="173" t="n">
        <v>28.78866842</v>
      </c>
      <c r="M11" s="171" t="inlineStr">
        <is>
          <t>Not Complied</t>
        </is>
      </c>
      <c r="N11" s="171" t="n">
        <v>11</v>
      </c>
      <c r="O11" s="171" t="n">
        <v>93</v>
      </c>
      <c r="P11" s="177" t="n">
        <v>46205.92345</v>
      </c>
      <c r="Q11" s="171" t="inlineStr">
        <is>
          <t>Overtaking Instances</t>
        </is>
      </c>
    </row>
    <row r="12" ht="15" customHeight="1" s="122">
      <c r="A12" s="165" t="inlineStr">
        <is>
          <t>KAAC 306C</t>
        </is>
      </c>
      <c r="B12" s="165" t="inlineStr">
        <is>
          <t>KAAC 306C</t>
        </is>
      </c>
      <c r="C12" s="165" t="inlineStr">
        <is>
          <t>Driver_43</t>
        </is>
      </c>
      <c r="D12" s="165" t="inlineStr">
        <is>
          <t>TBE</t>
        </is>
      </c>
      <c r="E12" s="165" t="inlineStr">
        <is>
          <t>Territory_04</t>
        </is>
      </c>
      <c r="F12" s="165" t="inlineStr">
        <is>
          <t>Honda</t>
        </is>
      </c>
      <c r="G12" s="165" t="inlineStr">
        <is>
          <t>North Rift</t>
        </is>
      </c>
      <c r="H12" s="176" t="n">
        <v>373.92</v>
      </c>
      <c r="I12" s="165" t="n"/>
      <c r="J12" s="165" t="n"/>
      <c r="K12" s="176" t="n">
        <v>41.5</v>
      </c>
      <c r="L12" s="176" t="n">
        <v>9.010120482</v>
      </c>
      <c r="M12" s="165" t="inlineStr">
        <is>
          <t>Not Complied</t>
        </is>
      </c>
      <c r="N12" s="165" t="n">
        <v>0</v>
      </c>
      <c r="O12" s="165" t="n">
        <v>80</v>
      </c>
      <c r="P12" s="165" t="inlineStr">
        <is>
          <t>20-02-2026 19:34:29</t>
        </is>
      </c>
      <c r="Q12" s="165" t="inlineStr">
        <is>
          <t>Complied</t>
        </is>
      </c>
    </row>
    <row r="13" ht="15" customHeight="1" s="122">
      <c r="A13" s="171" t="inlineStr">
        <is>
          <t>KAAC 315C</t>
        </is>
      </c>
      <c r="B13" s="171" t="inlineStr">
        <is>
          <t>KAAC 315C</t>
        </is>
      </c>
      <c r="C13" s="171" t="inlineStr">
        <is>
          <t>Driver_55</t>
        </is>
      </c>
      <c r="D13" s="171" t="inlineStr">
        <is>
          <t>TBE</t>
        </is>
      </c>
      <c r="E13" s="171" t="inlineStr">
        <is>
          <t>Territory_20</t>
        </is>
      </c>
      <c r="F13" s="171" t="inlineStr">
        <is>
          <t>Honda</t>
        </is>
      </c>
      <c r="G13" s="171" t="inlineStr">
        <is>
          <t>Territory_42</t>
        </is>
      </c>
      <c r="H13" s="173" t="n">
        <v>1635.53</v>
      </c>
      <c r="I13" s="171" t="n"/>
      <c r="J13" s="171" t="n"/>
      <c r="K13" s="173" t="n">
        <v>40.86</v>
      </c>
      <c r="L13" s="173" t="n">
        <v>40.02765541</v>
      </c>
      <c r="M13" s="171" t="inlineStr">
        <is>
          <t>Not Complied</t>
        </is>
      </c>
      <c r="N13" s="171" t="n">
        <v>4</v>
      </c>
      <c r="O13" s="171" t="n">
        <v>83</v>
      </c>
      <c r="P13" s="177" t="n">
        <v>46144.69605</v>
      </c>
      <c r="Q13" s="171" t="inlineStr">
        <is>
          <t>Complied</t>
        </is>
      </c>
    </row>
    <row r="14" ht="15" customHeight="1" s="122">
      <c r="A14" s="165" t="inlineStr">
        <is>
          <t>KAAB 209Z</t>
        </is>
      </c>
      <c r="B14" s="165" t="inlineStr">
        <is>
          <t>KAAB 209Z</t>
        </is>
      </c>
      <c r="C14" s="165" t="inlineStr">
        <is>
          <t>Driver_53</t>
        </is>
      </c>
      <c r="D14" s="165" t="inlineStr">
        <is>
          <t>TBE</t>
        </is>
      </c>
      <c r="E14" s="165" t="inlineStr">
        <is>
          <t>Territory_32</t>
        </is>
      </c>
      <c r="F14" s="165" t="inlineStr">
        <is>
          <t>Honda</t>
        </is>
      </c>
      <c r="G14" s="165" t="inlineStr">
        <is>
          <t>South Rift</t>
        </is>
      </c>
      <c r="H14" s="176" t="n">
        <v>1013.94</v>
      </c>
      <c r="I14" s="165" t="n"/>
      <c r="J14" s="165" t="n"/>
      <c r="K14" s="176" t="n">
        <v>32.29</v>
      </c>
      <c r="L14" s="176" t="n">
        <v>31.40105296</v>
      </c>
      <c r="M14" s="165" t="inlineStr">
        <is>
          <t>Not Complied</t>
        </is>
      </c>
      <c r="N14" s="165" t="n">
        <v>1</v>
      </c>
      <c r="O14" s="165" t="n">
        <v>73</v>
      </c>
      <c r="P14" s="178" t="n">
        <v>46055.82259</v>
      </c>
      <c r="Q14" s="165" t="inlineStr">
        <is>
          <t>Complied</t>
        </is>
      </c>
    </row>
    <row r="15" ht="15" customHeight="1" s="122">
      <c r="A15" s="171" t="inlineStr">
        <is>
          <t>KAAC 307C</t>
        </is>
      </c>
      <c r="B15" s="171" t="inlineStr">
        <is>
          <t>KAAC 307C</t>
        </is>
      </c>
      <c r="C15" s="171" t="inlineStr">
        <is>
          <t>Driver_44</t>
        </is>
      </c>
      <c r="D15" s="171" t="inlineStr">
        <is>
          <t>TBE</t>
        </is>
      </c>
      <c r="E15" s="171" t="inlineStr">
        <is>
          <t>Territory_16</t>
        </is>
      </c>
      <c r="F15" s="171" t="inlineStr">
        <is>
          <t>Honda</t>
        </is>
      </c>
      <c r="G15" s="171" t="inlineStr">
        <is>
          <t>North Rift</t>
        </is>
      </c>
      <c r="H15" s="173" t="n">
        <v>1712.86</v>
      </c>
      <c r="I15" s="171" t="n"/>
      <c r="J15" s="171" t="n"/>
      <c r="K15" s="173" t="n">
        <v>41.49</v>
      </c>
      <c r="L15" s="173" t="n">
        <v>41.28368282</v>
      </c>
      <c r="M15" s="171" t="inlineStr">
        <is>
          <t>Not Complied</t>
        </is>
      </c>
      <c r="N15" s="171" t="n">
        <v>1</v>
      </c>
      <c r="O15" s="171" t="n">
        <v>80</v>
      </c>
      <c r="P15" s="171" t="inlineStr">
        <is>
          <t>20-02-2026 19:34:29</t>
        </is>
      </c>
      <c r="Q15" s="171" t="inlineStr">
        <is>
          <t>Complied</t>
        </is>
      </c>
    </row>
    <row r="16" ht="15" customHeight="1" s="122">
      <c r="A16" s="165" t="inlineStr">
        <is>
          <t>KAAC 312C</t>
        </is>
      </c>
      <c r="B16" s="165" t="inlineStr">
        <is>
          <t>KAAC 312C</t>
        </is>
      </c>
      <c r="C16" s="165" t="inlineStr">
        <is>
          <t>Driver_50</t>
        </is>
      </c>
      <c r="D16" s="165" t="inlineStr">
        <is>
          <t>TBE</t>
        </is>
      </c>
      <c r="E16" s="165" t="inlineStr">
        <is>
          <t>Territory_27</t>
        </is>
      </c>
      <c r="F16" s="165" t="inlineStr">
        <is>
          <t>Honda</t>
        </is>
      </c>
      <c r="G16" s="165" t="inlineStr">
        <is>
          <t>South Rift</t>
        </is>
      </c>
      <c r="H16" s="176" t="n">
        <v>419.33</v>
      </c>
      <c r="I16" s="165" t="n"/>
      <c r="J16" s="165" t="n"/>
      <c r="K16" s="176" t="n">
        <v>27.87</v>
      </c>
      <c r="L16" s="176" t="n">
        <v>15.04592752</v>
      </c>
      <c r="M16" s="165" t="inlineStr">
        <is>
          <t>Not Complied</t>
        </is>
      </c>
      <c r="N16" s="165" t="n">
        <v>0</v>
      </c>
      <c r="O16" s="165" t="n">
        <v>91</v>
      </c>
      <c r="P16" s="178" t="n">
        <v>46358.33087</v>
      </c>
      <c r="Q16" s="165" t="inlineStr">
        <is>
          <t>Overtaking Instances</t>
        </is>
      </c>
    </row>
    <row r="17" ht="15" customHeight="1" s="122">
      <c r="A17" s="171" t="inlineStr">
        <is>
          <t>KAAC 314C</t>
        </is>
      </c>
      <c r="B17" s="171" t="inlineStr">
        <is>
          <t>KAAC 314C</t>
        </is>
      </c>
      <c r="C17" s="171" t="inlineStr">
        <is>
          <t>Driver_54</t>
        </is>
      </c>
      <c r="D17" s="171" t="inlineStr">
        <is>
          <t>TBE</t>
        </is>
      </c>
      <c r="E17" s="171" t="inlineStr">
        <is>
          <t>Territory_02</t>
        </is>
      </c>
      <c r="F17" s="171" t="inlineStr">
        <is>
          <t>Honda</t>
        </is>
      </c>
      <c r="G17" s="171" t="inlineStr">
        <is>
          <t>Territory_42</t>
        </is>
      </c>
      <c r="H17" s="173" t="n">
        <v>1192.66</v>
      </c>
      <c r="I17" s="171" t="n"/>
      <c r="J17" s="171" t="n"/>
      <c r="K17" s="173" t="n">
        <v>41.61</v>
      </c>
      <c r="L17" s="173" t="n">
        <v>28.66282144</v>
      </c>
      <c r="M17" s="171" t="inlineStr">
        <is>
          <t>Not Complied</t>
        </is>
      </c>
      <c r="N17" s="171" t="n">
        <v>0</v>
      </c>
      <c r="O17" s="171" t="n">
        <v>80</v>
      </c>
      <c r="P17" s="171" t="inlineStr">
        <is>
          <t>20-02-2026 19:34:29</t>
        </is>
      </c>
      <c r="Q17" s="171" t="inlineStr">
        <is>
          <t>Complied</t>
        </is>
      </c>
    </row>
    <row r="18" ht="15" customHeight="1" s="122">
      <c r="A18" s="165" t="inlineStr">
        <is>
          <t>KAAC 311C</t>
        </is>
      </c>
      <c r="B18" s="165" t="inlineStr">
        <is>
          <t>KAAC 311C</t>
        </is>
      </c>
      <c r="C18" s="165" t="inlineStr">
        <is>
          <t>Driver_49</t>
        </is>
      </c>
      <c r="D18" s="165" t="inlineStr">
        <is>
          <t>TBE</t>
        </is>
      </c>
      <c r="E18" s="165" t="inlineStr">
        <is>
          <t>Territory_31</t>
        </is>
      </c>
      <c r="F18" s="165" t="inlineStr">
        <is>
          <t>Honda</t>
        </is>
      </c>
      <c r="G18" s="165" t="inlineStr">
        <is>
          <t>South Rift</t>
        </is>
      </c>
      <c r="H18" s="176" t="n">
        <v>605.78</v>
      </c>
      <c r="I18" s="165" t="n"/>
      <c r="J18" s="165" t="n"/>
      <c r="K18" s="176" t="n">
        <v>40.78</v>
      </c>
      <c r="L18" s="176" t="n">
        <v>14.8548308</v>
      </c>
      <c r="M18" s="165" t="inlineStr">
        <is>
          <t>Not Complied</t>
        </is>
      </c>
      <c r="N18" s="165" t="n">
        <v>2</v>
      </c>
      <c r="O18" s="165" t="n">
        <v>83</v>
      </c>
      <c r="P18" s="178" t="n">
        <v>46144.69605</v>
      </c>
      <c r="Q18" s="165" t="inlineStr">
        <is>
          <t>Complied</t>
        </is>
      </c>
    </row>
    <row r="19" ht="15" customHeight="1" s="122">
      <c r="A19" s="171" t="inlineStr">
        <is>
          <t>KAAB 200Z</t>
        </is>
      </c>
      <c r="B19" s="171" t="inlineStr">
        <is>
          <t>KAAB 200Z</t>
        </is>
      </c>
      <c r="C19" s="171" t="inlineStr">
        <is>
          <t>Driver_30</t>
        </is>
      </c>
      <c r="D19" s="171" t="inlineStr">
        <is>
          <t>TBE</t>
        </is>
      </c>
      <c r="E19" s="171" t="inlineStr">
        <is>
          <t>Territory_40</t>
        </is>
      </c>
      <c r="F19" s="171" t="inlineStr">
        <is>
          <t>Honda</t>
        </is>
      </c>
      <c r="G19" s="171" t="inlineStr">
        <is>
          <t>Territory_03</t>
        </is>
      </c>
      <c r="H19" s="173" t="n">
        <v>1261.86</v>
      </c>
      <c r="I19" s="171" t="n"/>
      <c r="J19" s="171" t="n"/>
      <c r="K19" s="173" t="n">
        <v>41.5</v>
      </c>
      <c r="L19" s="173" t="n">
        <v>30.40626506</v>
      </c>
      <c r="M19" s="171" t="inlineStr">
        <is>
          <t>Not Complied</t>
        </is>
      </c>
      <c r="N19" s="171" t="n">
        <v>5</v>
      </c>
      <c r="O19" s="171" t="n">
        <v>86</v>
      </c>
      <c r="P19" s="177" t="n">
        <v>46297.39541</v>
      </c>
      <c r="Q19" s="171" t="inlineStr">
        <is>
          <t>Complied</t>
        </is>
      </c>
    </row>
    <row r="20" ht="15" customHeight="1" s="122">
      <c r="A20" s="165" t="inlineStr">
        <is>
          <t>KAAB 202Z</t>
        </is>
      </c>
      <c r="B20" s="165" t="inlineStr">
        <is>
          <t>KAAB 202Z</t>
        </is>
      </c>
      <c r="C20" s="165" t="inlineStr">
        <is>
          <t>Driver_34</t>
        </is>
      </c>
      <c r="D20" s="165" t="inlineStr">
        <is>
          <t>TBE</t>
        </is>
      </c>
      <c r="E20" s="165" t="inlineStr">
        <is>
          <t>Territory_39</t>
        </is>
      </c>
      <c r="F20" s="165" t="inlineStr">
        <is>
          <t>Honda</t>
        </is>
      </c>
      <c r="G20" s="165" t="inlineStr">
        <is>
          <t>Territory_03</t>
        </is>
      </c>
      <c r="H20" s="176" t="n">
        <v>2172.19</v>
      </c>
      <c r="I20" s="165" t="n"/>
      <c r="J20" s="165" t="n"/>
      <c r="K20" s="176" t="n">
        <v>41.76</v>
      </c>
      <c r="L20" s="176" t="n">
        <v>52.01604406</v>
      </c>
      <c r="M20" s="165" t="inlineStr">
        <is>
          <t>Complied</t>
        </is>
      </c>
      <c r="N20" s="165" t="n">
        <v>2</v>
      </c>
      <c r="O20" s="165" t="n">
        <v>94</v>
      </c>
      <c r="P20" s="165" t="inlineStr">
        <is>
          <t>13-02-2026 15:26:29</t>
        </is>
      </c>
      <c r="Q20" s="165" t="inlineStr">
        <is>
          <t>Overtaking Instances</t>
        </is>
      </c>
    </row>
    <row r="21" ht="15" customHeight="1" s="122">
      <c r="A21" s="171" t="inlineStr">
        <is>
          <t>KAAC 300C</t>
        </is>
      </c>
      <c r="B21" s="171" t="inlineStr">
        <is>
          <t>KAAC 300C</t>
        </is>
      </c>
      <c r="C21" s="171" t="inlineStr">
        <is>
          <t>Driver_31</t>
        </is>
      </c>
      <c r="D21" s="171" t="inlineStr">
        <is>
          <t>TBE</t>
        </is>
      </c>
      <c r="E21" s="171" t="inlineStr">
        <is>
          <t>Territory_44</t>
        </is>
      </c>
      <c r="F21" s="171" t="inlineStr">
        <is>
          <t>Honda</t>
        </is>
      </c>
      <c r="G21" s="171" t="inlineStr">
        <is>
          <t>Territory_03</t>
        </is>
      </c>
      <c r="H21" s="173" t="n">
        <v>1561.04</v>
      </c>
      <c r="I21" s="171" t="n"/>
      <c r="J21" s="171" t="n"/>
      <c r="K21" s="173" t="n">
        <v>42.15</v>
      </c>
      <c r="L21" s="173" t="n">
        <v>37.03534994</v>
      </c>
      <c r="M21" s="171" t="inlineStr">
        <is>
          <t>Not Complied</t>
        </is>
      </c>
      <c r="N21" s="171" t="n">
        <v>1</v>
      </c>
      <c r="O21" s="171" t="n">
        <v>78</v>
      </c>
      <c r="P21" s="171" t="inlineStr">
        <is>
          <t>13-02-2026 18:49:02</t>
        </is>
      </c>
      <c r="Q21" s="171" t="inlineStr">
        <is>
          <t>Complied</t>
        </is>
      </c>
    </row>
    <row r="22" ht="15" customHeight="1" s="122">
      <c r="A22" s="165" t="inlineStr">
        <is>
          <t>KAAB 204Z</t>
        </is>
      </c>
      <c r="B22" s="165" t="inlineStr">
        <is>
          <t>KAAB 204Z</t>
        </is>
      </c>
      <c r="C22" s="165" t="inlineStr">
        <is>
          <t>Driver_39</t>
        </is>
      </c>
      <c r="D22" s="165" t="inlineStr">
        <is>
          <t>TBE</t>
        </is>
      </c>
      <c r="E22" s="165" t="inlineStr">
        <is>
          <t>Territory_11</t>
        </is>
      </c>
      <c r="F22" s="165" t="inlineStr">
        <is>
          <t>Honda</t>
        </is>
      </c>
      <c r="G22" s="165" t="inlineStr">
        <is>
          <t>North Rift</t>
        </is>
      </c>
      <c r="H22" s="176" t="n">
        <v>1041.62</v>
      </c>
      <c r="I22" s="165" t="n"/>
      <c r="J22" s="165" t="n"/>
      <c r="K22" s="176" t="n">
        <v>49.47</v>
      </c>
      <c r="L22" s="176" t="n">
        <v>21.05558925</v>
      </c>
      <c r="M22" s="165" t="inlineStr">
        <is>
          <t>Not Complied</t>
        </is>
      </c>
      <c r="N22" s="165" t="n">
        <v>0</v>
      </c>
      <c r="O22" s="165" t="n">
        <v>96</v>
      </c>
      <c r="P22" s="178" t="n">
        <v>46328.46079</v>
      </c>
      <c r="Q22" s="165" t="inlineStr">
        <is>
          <t>Overtaking Instances</t>
        </is>
      </c>
    </row>
    <row r="23" ht="15" customHeight="1" s="122">
      <c r="A23" s="171" t="inlineStr">
        <is>
          <t>KAAC 301C</t>
        </is>
      </c>
      <c r="B23" s="171" t="inlineStr">
        <is>
          <t>KAAC 301C</t>
        </is>
      </c>
      <c r="C23" s="171" t="inlineStr">
        <is>
          <t>Driver_32</t>
        </is>
      </c>
      <c r="D23" s="171" t="inlineStr">
        <is>
          <t>TBE</t>
        </is>
      </c>
      <c r="E23" s="171" t="inlineStr">
        <is>
          <t>Territory_09</t>
        </is>
      </c>
      <c r="F23" s="171" t="inlineStr">
        <is>
          <t>Honda</t>
        </is>
      </c>
      <c r="G23" s="171" t="inlineStr">
        <is>
          <t>Territory_03</t>
        </is>
      </c>
      <c r="H23" s="173" t="n">
        <v>1883.28</v>
      </c>
      <c r="I23" s="171" t="n"/>
      <c r="J23" s="171" t="n"/>
      <c r="K23" s="173" t="n">
        <v>42.19</v>
      </c>
      <c r="L23" s="173" t="n">
        <v>44.63806589</v>
      </c>
      <c r="M23" s="171" t="inlineStr">
        <is>
          <t>Not Complied</t>
        </is>
      </c>
      <c r="N23" s="171" t="n">
        <v>11</v>
      </c>
      <c r="O23" s="171" t="n">
        <v>93</v>
      </c>
      <c r="P23" s="177" t="n">
        <v>46205.92345</v>
      </c>
      <c r="Q23" s="171" t="inlineStr">
        <is>
          <t>Overtaking Instances</t>
        </is>
      </c>
    </row>
    <row r="24" ht="15" customHeight="1" s="122">
      <c r="A24" s="165" t="inlineStr">
        <is>
          <t>KAAC 304C</t>
        </is>
      </c>
      <c r="B24" s="165" t="inlineStr">
        <is>
          <t>KAAC 304C</t>
        </is>
      </c>
      <c r="C24" s="165" t="inlineStr">
        <is>
          <t>Driver_38</t>
        </is>
      </c>
      <c r="D24" s="165" t="inlineStr">
        <is>
          <t>TBE</t>
        </is>
      </c>
      <c r="E24" s="165" t="inlineStr">
        <is>
          <t>Territory_07</t>
        </is>
      </c>
      <c r="F24" s="165" t="inlineStr">
        <is>
          <t>Honda</t>
        </is>
      </c>
      <c r="G24" s="165" t="inlineStr">
        <is>
          <t>Territory_25</t>
        </is>
      </c>
      <c r="H24" s="176" t="n">
        <v>194.64</v>
      </c>
      <c r="I24" s="165" t="n"/>
      <c r="J24" s="165" t="n"/>
      <c r="K24" s="176" t="n">
        <v>41.36</v>
      </c>
      <c r="L24" s="176" t="n">
        <v>4.705996132</v>
      </c>
      <c r="M24" s="165" t="inlineStr">
        <is>
          <t>Not Complied</t>
        </is>
      </c>
      <c r="N24" s="165" t="n">
        <v>1</v>
      </c>
      <c r="O24" s="165" t="n">
        <v>100</v>
      </c>
      <c r="P24" s="178" t="n">
        <v>46328.73972</v>
      </c>
      <c r="Q24" s="165" t="inlineStr">
        <is>
          <t>Overtaking Instances</t>
        </is>
      </c>
    </row>
    <row r="25" ht="15" customHeight="1" s="122">
      <c r="A25" s="171" t="inlineStr">
        <is>
          <t>KAAC 303C</t>
        </is>
      </c>
      <c r="B25" s="171" t="inlineStr">
        <is>
          <t>KAAC 303C</t>
        </is>
      </c>
      <c r="C25" s="171" t="inlineStr">
        <is>
          <t>Driver_36</t>
        </is>
      </c>
      <c r="D25" s="171" t="inlineStr">
        <is>
          <t>TBE</t>
        </is>
      </c>
      <c r="E25" s="171" t="inlineStr">
        <is>
          <t>Territory_36</t>
        </is>
      </c>
      <c r="F25" s="171" t="inlineStr">
        <is>
          <t>Honda</t>
        </is>
      </c>
      <c r="G25" s="171" t="inlineStr">
        <is>
          <t>Territory_25</t>
        </is>
      </c>
      <c r="H25" s="173" t="n">
        <v>1658.47</v>
      </c>
      <c r="I25" s="171" t="n"/>
      <c r="J25" s="171" t="n"/>
      <c r="K25" s="173" t="n">
        <v>40.79</v>
      </c>
      <c r="L25" s="173" t="n">
        <v>40.65873989</v>
      </c>
      <c r="M25" s="171" t="inlineStr">
        <is>
          <t>Not Complied</t>
        </is>
      </c>
      <c r="N25" s="171" t="n">
        <v>6</v>
      </c>
      <c r="O25" s="171" t="n">
        <v>94</v>
      </c>
      <c r="P25" s="171" t="inlineStr">
        <is>
          <t>13-02-2026 15:26:29</t>
        </is>
      </c>
      <c r="Q25" s="171" t="inlineStr">
        <is>
          <t>Overtaking Instances</t>
        </is>
      </c>
    </row>
    <row r="26" ht="15" customHeight="1" s="122">
      <c r="A26" s="165" t="inlineStr">
        <is>
          <t>KAAB 208Z</t>
        </is>
      </c>
      <c r="B26" s="165" t="inlineStr">
        <is>
          <t>KAAB 208Z</t>
        </is>
      </c>
      <c r="C26" s="165" t="inlineStr">
        <is>
          <t>Driver_51</t>
        </is>
      </c>
      <c r="D26" s="165" t="inlineStr">
        <is>
          <t>TBE</t>
        </is>
      </c>
      <c r="E26" s="165" t="inlineStr">
        <is>
          <t>Territory_21</t>
        </is>
      </c>
      <c r="F26" s="165" t="inlineStr">
        <is>
          <t>Honda</t>
        </is>
      </c>
      <c r="G26" s="165" t="inlineStr">
        <is>
          <t>South Rift</t>
        </is>
      </c>
      <c r="H26" s="176" t="n">
        <v>1325.83</v>
      </c>
      <c r="I26" s="165" t="n"/>
      <c r="J26" s="165" t="n"/>
      <c r="K26" s="176" t="n">
        <v>40.87</v>
      </c>
      <c r="L26" s="176" t="n">
        <v>32.44017617</v>
      </c>
      <c r="M26" s="165" t="inlineStr">
        <is>
          <t>Not Complied</t>
        </is>
      </c>
      <c r="N26" s="165" t="n">
        <v>6</v>
      </c>
      <c r="O26" s="165" t="n">
        <v>87</v>
      </c>
      <c r="P26" s="165" t="inlineStr">
        <is>
          <t>13-02-2026 18:27:59</t>
        </is>
      </c>
      <c r="Q26" s="165" t="inlineStr">
        <is>
          <t>Complied</t>
        </is>
      </c>
    </row>
    <row r="27" ht="15" customHeight="1" s="122">
      <c r="A27" s="171" t="inlineStr">
        <is>
          <t>KAAC 313C</t>
        </is>
      </c>
      <c r="B27" s="171" t="inlineStr">
        <is>
          <t>KAAC 313C</t>
        </is>
      </c>
      <c r="C27" s="171" t="inlineStr">
        <is>
          <t>Driver_52</t>
        </is>
      </c>
      <c r="D27" s="171" t="inlineStr">
        <is>
          <t>TBE</t>
        </is>
      </c>
      <c r="E27" s="171" t="inlineStr">
        <is>
          <t>Territory_01</t>
        </is>
      </c>
      <c r="F27" s="171" t="inlineStr">
        <is>
          <t>Honda</t>
        </is>
      </c>
      <c r="G27" s="171" t="inlineStr">
        <is>
          <t>South Rift</t>
        </is>
      </c>
      <c r="H27" s="173" t="n">
        <v>298.75</v>
      </c>
      <c r="I27" s="171" t="n"/>
      <c r="J27" s="171" t="n"/>
      <c r="K27" s="173" t="n">
        <v>39.36</v>
      </c>
      <c r="L27" s="173" t="n">
        <v>7.590193089</v>
      </c>
      <c r="M27" s="171" t="inlineStr">
        <is>
          <t>Not Complied</t>
        </is>
      </c>
      <c r="N27" s="171" t="n">
        <v>1</v>
      </c>
      <c r="O27" s="171" t="n">
        <v>81</v>
      </c>
      <c r="P27" s="177" t="n">
        <v>46358.39583</v>
      </c>
      <c r="Q27" s="171" t="inlineStr">
        <is>
          <t>Complied</t>
        </is>
      </c>
    </row>
    <row r="28" ht="15" customHeight="1" s="122">
      <c r="A28" s="165" t="inlineStr">
        <is>
          <t>KBB 111Q</t>
        </is>
      </c>
      <c r="B28" s="165" t="inlineStr">
        <is>
          <t>KBB 111Q</t>
        </is>
      </c>
      <c r="C28" s="165" t="inlineStr">
        <is>
          <t>Driver_12</t>
        </is>
      </c>
      <c r="D28" s="165" t="inlineStr">
        <is>
          <t>ABM</t>
        </is>
      </c>
      <c r="E28" s="165" t="inlineStr">
        <is>
          <t>Territory_16</t>
        </is>
      </c>
      <c r="F28" s="165" t="inlineStr">
        <is>
          <t>Toyota Probox</t>
        </is>
      </c>
      <c r="G28" s="165" t="inlineStr">
        <is>
          <t>North Rift</t>
        </is>
      </c>
      <c r="H28" s="176" t="n">
        <v>3982.49</v>
      </c>
      <c r="I28" s="165" t="n"/>
      <c r="J28" s="165" t="n"/>
      <c r="K28" s="176" t="n">
        <v>272.64</v>
      </c>
      <c r="L28" s="176" t="n">
        <v>14.60713762</v>
      </c>
      <c r="M28" s="165" t="inlineStr">
        <is>
          <t>Complied</t>
        </is>
      </c>
      <c r="N28" s="165" t="n">
        <v>5</v>
      </c>
      <c r="O28" s="165" t="n">
        <v>101</v>
      </c>
      <c r="P28" s="178" t="n">
        <v>46083.63012</v>
      </c>
      <c r="Q28" s="165" t="inlineStr">
        <is>
          <t>Not Complied</t>
        </is>
      </c>
    </row>
    <row r="29" ht="15" customHeight="1" s="122">
      <c r="A29" s="171" t="inlineStr">
        <is>
          <t>KBB 127Q</t>
        </is>
      </c>
      <c r="B29" s="171" t="inlineStr">
        <is>
          <t>KBB 127Q</t>
        </is>
      </c>
      <c r="C29" s="171" t="inlineStr">
        <is>
          <t>Driver_28</t>
        </is>
      </c>
      <c r="D29" s="171" t="inlineStr">
        <is>
          <t>ABM</t>
        </is>
      </c>
      <c r="E29" s="171" t="inlineStr">
        <is>
          <t>Territory_38</t>
        </is>
      </c>
      <c r="F29" s="171" t="inlineStr">
        <is>
          <t>Toyota Probox</t>
        </is>
      </c>
      <c r="G29" s="171" t="inlineStr">
        <is>
          <t>Territory_03</t>
        </is>
      </c>
      <c r="H29" s="173" t="n">
        <v>3462.78</v>
      </c>
      <c r="I29" s="171" t="n"/>
      <c r="J29" s="171" t="n"/>
      <c r="K29" s="173" t="n">
        <v>252.54</v>
      </c>
      <c r="L29" s="173" t="n">
        <v>13.71180803</v>
      </c>
      <c r="M29" s="171" t="inlineStr">
        <is>
          <t>Complied</t>
        </is>
      </c>
      <c r="N29" s="171" t="n">
        <v>2</v>
      </c>
      <c r="O29" s="171" t="n">
        <v>103</v>
      </c>
      <c r="P29" s="177" t="n">
        <v>46144.44252</v>
      </c>
      <c r="Q29" s="171" t="inlineStr">
        <is>
          <t>Not Complied</t>
        </is>
      </c>
    </row>
    <row r="30" ht="15" customHeight="1" s="122">
      <c r="A30" s="165" t="inlineStr">
        <is>
          <t>KBB 110Q</t>
        </is>
      </c>
      <c r="B30" s="165" t="inlineStr">
        <is>
          <t>KBB 110Q</t>
        </is>
      </c>
      <c r="C30" s="165" t="inlineStr">
        <is>
          <t>Driver_11</t>
        </is>
      </c>
      <c r="D30" s="165" t="inlineStr">
        <is>
          <t>Trainer</t>
        </is>
      </c>
      <c r="E30" s="165" t="inlineStr">
        <is>
          <t>Territory_19</t>
        </is>
      </c>
      <c r="F30" s="165" t="inlineStr">
        <is>
          <t>Toyota Probox</t>
        </is>
      </c>
      <c r="G30" s="165" t="inlineStr">
        <is>
          <t>Territory_25</t>
        </is>
      </c>
      <c r="H30" s="176" t="n">
        <v>2656.59</v>
      </c>
      <c r="I30" s="165" t="n"/>
      <c r="J30" s="165" t="n"/>
      <c r="K30" s="176" t="n">
        <v>229.62</v>
      </c>
      <c r="L30" s="176" t="n">
        <v>11.56950614</v>
      </c>
      <c r="M30" s="165" t="inlineStr">
        <is>
          <t>Not Complied</t>
        </is>
      </c>
      <c r="N30" s="165" t="n">
        <v>3</v>
      </c>
      <c r="O30" s="165" t="n">
        <v>101</v>
      </c>
      <c r="P30" s="178" t="n">
        <v>46083.63012</v>
      </c>
      <c r="Q30" s="165" t="inlineStr">
        <is>
          <t>Permission Granted</t>
        </is>
      </c>
    </row>
    <row r="31" ht="15" customHeight="1" s="122">
      <c r="A31" s="171" t="inlineStr">
        <is>
          <t>KBB 112Q</t>
        </is>
      </c>
      <c r="B31" s="171" t="inlineStr">
        <is>
          <t>KBB 112Q</t>
        </is>
      </c>
      <c r="C31" s="171" t="inlineStr">
        <is>
          <t>Driver_13</t>
        </is>
      </c>
      <c r="D31" s="171" t="inlineStr">
        <is>
          <t>Trainer</t>
        </is>
      </c>
      <c r="E31" s="171" t="inlineStr">
        <is>
          <t>Territory_22</t>
        </is>
      </c>
      <c r="F31" s="171" t="inlineStr">
        <is>
          <t>Toyota Probox</t>
        </is>
      </c>
      <c r="G31" s="171" t="inlineStr">
        <is>
          <t>Nyanza</t>
        </is>
      </c>
      <c r="H31" s="173" t="n">
        <v>2908.15</v>
      </c>
      <c r="I31" s="171" t="n"/>
      <c r="J31" s="171" t="n"/>
      <c r="K31" s="173" t="n">
        <v>273</v>
      </c>
      <c r="L31" s="173" t="n">
        <v>10.6525641</v>
      </c>
      <c r="M31" s="171" t="inlineStr">
        <is>
          <t>Not Complied</t>
        </is>
      </c>
      <c r="N31" s="171" t="n">
        <v>3</v>
      </c>
      <c r="O31" s="171" t="n">
        <v>87</v>
      </c>
      <c r="P31" s="171" t="inlineStr">
        <is>
          <t>13-02-2026 18:27:59</t>
        </is>
      </c>
      <c r="Q31" s="171" t="inlineStr">
        <is>
          <t>Complied</t>
        </is>
      </c>
    </row>
    <row r="32" ht="15" customHeight="1" s="122">
      <c r="A32" s="165" t="inlineStr">
        <is>
          <t>KBB 128Q</t>
        </is>
      </c>
      <c r="B32" s="165" t="inlineStr">
        <is>
          <t>KBB 128Q</t>
        </is>
      </c>
      <c r="C32" s="165" t="inlineStr">
        <is>
          <t>Driver_29</t>
        </is>
      </c>
      <c r="D32" s="165" t="inlineStr">
        <is>
          <t>ABM</t>
        </is>
      </c>
      <c r="E32" s="165" t="inlineStr">
        <is>
          <t>Territory_05</t>
        </is>
      </c>
      <c r="F32" s="165" t="inlineStr">
        <is>
          <t>Toyota Probox</t>
        </is>
      </c>
      <c r="G32" s="165" t="inlineStr">
        <is>
          <t>North Rift</t>
        </is>
      </c>
      <c r="H32" s="176" t="n">
        <v>5326.97</v>
      </c>
      <c r="I32" s="165" t="n"/>
      <c r="J32" s="165" t="n"/>
      <c r="K32" s="176" t="n">
        <v>220.23</v>
      </c>
      <c r="L32" s="176" t="n">
        <v>24.18821232</v>
      </c>
      <c r="M32" s="165" t="inlineStr">
        <is>
          <t>Inconsistent</t>
        </is>
      </c>
      <c r="N32" s="165" t="n">
        <v>10</v>
      </c>
      <c r="O32" s="165" t="n">
        <v>97</v>
      </c>
      <c r="P32" s="178" t="n">
        <v>46236.74632</v>
      </c>
      <c r="Q32" s="165" t="inlineStr">
        <is>
          <t>Overtaking Instances</t>
        </is>
      </c>
    </row>
    <row r="33" ht="15" customHeight="1" s="122">
      <c r="A33" s="171" t="inlineStr">
        <is>
          <t>KBB 108Q</t>
        </is>
      </c>
      <c r="B33" s="171" t="inlineStr">
        <is>
          <t>KBB 108Q</t>
        </is>
      </c>
      <c r="C33" s="171" t="inlineStr">
        <is>
          <t>Driver_09</t>
        </is>
      </c>
      <c r="D33" s="171" t="inlineStr">
        <is>
          <t>Trainer</t>
        </is>
      </c>
      <c r="E33" s="171" t="inlineStr">
        <is>
          <t>Territory_08</t>
        </is>
      </c>
      <c r="F33" s="171" t="inlineStr">
        <is>
          <t>Toyota Probox</t>
        </is>
      </c>
      <c r="G33" s="171" t="inlineStr">
        <is>
          <t>North Rift</t>
        </is>
      </c>
      <c r="H33" s="173" t="n">
        <v>2312.23</v>
      </c>
      <c r="I33" s="171" t="n"/>
      <c r="J33" s="171" t="n"/>
      <c r="K33" s="173" t="n">
        <v>173.12</v>
      </c>
      <c r="L33" s="173" t="n">
        <v>13.35622689</v>
      </c>
      <c r="M33" s="171" t="inlineStr">
        <is>
          <t>Complied</t>
        </is>
      </c>
      <c r="N33" s="171" t="n">
        <v>0</v>
      </c>
      <c r="O33" s="171" t="n">
        <v>99</v>
      </c>
      <c r="P33" s="171" t="inlineStr">
        <is>
          <t>23-02-2026 10:23:04</t>
        </is>
      </c>
      <c r="Q33" s="171" t="inlineStr">
        <is>
          <t>Overtaking Instances</t>
        </is>
      </c>
    </row>
    <row r="34" ht="15" customHeight="1" s="122">
      <c r="A34" s="165" t="inlineStr">
        <is>
          <t>KBB 105Q</t>
        </is>
      </c>
      <c r="B34" s="165" t="inlineStr">
        <is>
          <t>KBB 105Q</t>
        </is>
      </c>
      <c r="C34" s="165" t="inlineStr">
        <is>
          <t>Driver_06</t>
        </is>
      </c>
      <c r="D34" s="165" t="inlineStr">
        <is>
          <t>Stock Controller</t>
        </is>
      </c>
      <c r="E34" s="165" t="inlineStr">
        <is>
          <t>Territory_14</t>
        </is>
      </c>
      <c r="F34" s="165" t="inlineStr">
        <is>
          <t>Toyota Probox</t>
        </is>
      </c>
      <c r="G34" s="165" t="inlineStr">
        <is>
          <t>Nyanza</t>
        </is>
      </c>
      <c r="H34" s="176" t="n">
        <v>3146.72</v>
      </c>
      <c r="I34" s="165" t="n"/>
      <c r="J34" s="165" t="n"/>
      <c r="K34" s="176" t="n">
        <v>295.23</v>
      </c>
      <c r="L34" s="176" t="n">
        <v>10.65853741</v>
      </c>
      <c r="M34" s="165" t="inlineStr">
        <is>
          <t>Not Complied</t>
        </is>
      </c>
      <c r="N34" s="165" t="n">
        <v>0</v>
      </c>
      <c r="O34" s="165" t="n">
        <v>92</v>
      </c>
      <c r="P34" s="178" t="n">
        <v>46024.38961</v>
      </c>
      <c r="Q34" s="165" t="inlineStr">
        <is>
          <t>Overtaking Instances</t>
        </is>
      </c>
    </row>
    <row r="35" ht="15" customHeight="1" s="122">
      <c r="A35" s="171" t="inlineStr">
        <is>
          <t>KBB 103Q</t>
        </is>
      </c>
      <c r="B35" s="171" t="inlineStr">
        <is>
          <t>KBB 103Q</t>
        </is>
      </c>
      <c r="C35" s="171" t="inlineStr">
        <is>
          <t>Driver_04</t>
        </is>
      </c>
      <c r="D35" s="171" t="inlineStr">
        <is>
          <t>ABM</t>
        </is>
      </c>
      <c r="E35" s="171" t="inlineStr">
        <is>
          <t>Territory_38</t>
        </is>
      </c>
      <c r="F35" s="171" t="inlineStr">
        <is>
          <t>Toyota Probox</t>
        </is>
      </c>
      <c r="G35" s="171" t="inlineStr">
        <is>
          <t>Territory_03</t>
        </is>
      </c>
      <c r="H35" s="173" t="n">
        <v>2632.15</v>
      </c>
      <c r="I35" s="171" t="n"/>
      <c r="J35" s="171" t="n"/>
      <c r="K35" s="173" t="n">
        <v>149.12</v>
      </c>
      <c r="L35" s="173" t="n">
        <v>17.65122049</v>
      </c>
      <c r="M35" s="171" t="inlineStr">
        <is>
          <t>Inconsistent</t>
        </is>
      </c>
      <c r="N35" s="171" t="n">
        <v>7</v>
      </c>
      <c r="O35" s="171" t="n">
        <v>94</v>
      </c>
      <c r="P35" s="171" t="inlineStr">
        <is>
          <t>13-02-2026 15:26:29</t>
        </is>
      </c>
      <c r="Q35" s="171" t="inlineStr">
        <is>
          <t>Overtaking Instances</t>
        </is>
      </c>
    </row>
    <row r="36" ht="15" customHeight="1" s="122">
      <c r="A36" s="165" t="inlineStr">
        <is>
          <t>KBB 122Q</t>
        </is>
      </c>
      <c r="B36" s="165" t="inlineStr">
        <is>
          <t>KBB 122Q</t>
        </is>
      </c>
      <c r="C36" s="165" t="inlineStr">
        <is>
          <t>Driver_23</t>
        </is>
      </c>
      <c r="D36" s="165" t="inlineStr">
        <is>
          <t>ABM</t>
        </is>
      </c>
      <c r="E36" s="165" t="inlineStr">
        <is>
          <t>Territory_08</t>
        </is>
      </c>
      <c r="F36" s="165" t="inlineStr">
        <is>
          <t>Toyota Probox</t>
        </is>
      </c>
      <c r="G36" s="165" t="inlineStr">
        <is>
          <t>Territory_42</t>
        </is>
      </c>
      <c r="H36" s="176" t="n">
        <v>3906.94</v>
      </c>
      <c r="I36" s="165" t="n"/>
      <c r="J36" s="165" t="n"/>
      <c r="K36" s="176" t="n">
        <v>269.78</v>
      </c>
      <c r="L36" s="176" t="n">
        <v>14.48194825</v>
      </c>
      <c r="M36" s="165" t="inlineStr">
        <is>
          <t>Complied</t>
        </is>
      </c>
      <c r="N36" s="165" t="n">
        <v>6</v>
      </c>
      <c r="O36" s="165" t="n">
        <v>99</v>
      </c>
      <c r="P36" s="165" t="inlineStr">
        <is>
          <t>23-02-2026 10:23:04</t>
        </is>
      </c>
      <c r="Q36" s="165" t="inlineStr">
        <is>
          <t>Overtaking Instances</t>
        </is>
      </c>
    </row>
    <row r="37" ht="15" customHeight="1" s="122">
      <c r="A37" s="171" t="inlineStr">
        <is>
          <t>KBB 117Q</t>
        </is>
      </c>
      <c r="B37" s="171" t="inlineStr">
        <is>
          <t>KBB 117Q</t>
        </is>
      </c>
      <c r="C37" s="171" t="inlineStr">
        <is>
          <t>Driver_18</t>
        </is>
      </c>
      <c r="D37" s="171" t="inlineStr">
        <is>
          <t>ABM</t>
        </is>
      </c>
      <c r="E37" s="171" t="inlineStr">
        <is>
          <t>Territory_08</t>
        </is>
      </c>
      <c r="F37" s="171" t="inlineStr">
        <is>
          <t>Toyota Probox</t>
        </is>
      </c>
      <c r="G37" s="171" t="inlineStr">
        <is>
          <t>Territory_42</t>
        </is>
      </c>
      <c r="H37" s="173" t="n">
        <v>2783.54</v>
      </c>
      <c r="I37" s="171" t="n"/>
      <c r="J37" s="171" t="n"/>
      <c r="K37" s="173" t="n">
        <v>166.27</v>
      </c>
      <c r="L37" s="173" t="n">
        <v>16.74108378</v>
      </c>
      <c r="M37" s="171" t="inlineStr">
        <is>
          <t>Inconsistent</t>
        </is>
      </c>
      <c r="N37" s="171" t="n">
        <v>7</v>
      </c>
      <c r="O37" s="171" t="n">
        <v>96</v>
      </c>
      <c r="P37" s="177" t="n">
        <v>46328.46079</v>
      </c>
      <c r="Q37" s="171" t="inlineStr">
        <is>
          <t>Overtaking Instances</t>
        </is>
      </c>
    </row>
    <row r="38" ht="15" customHeight="1" s="122">
      <c r="A38" s="165" t="inlineStr">
        <is>
          <t>KBB 116Q</t>
        </is>
      </c>
      <c r="B38" s="165" t="inlineStr">
        <is>
          <t>KBB 116Q</t>
        </is>
      </c>
      <c r="C38" s="165" t="inlineStr">
        <is>
          <t>Driver_17</t>
        </is>
      </c>
      <c r="D38" s="165" t="inlineStr">
        <is>
          <t>ABM</t>
        </is>
      </c>
      <c r="E38" s="165" t="inlineStr">
        <is>
          <t>Territory_26</t>
        </is>
      </c>
      <c r="F38" s="165" t="inlineStr">
        <is>
          <t>Toyota Probox</t>
        </is>
      </c>
      <c r="G38" s="165" t="inlineStr">
        <is>
          <t>South Rift</t>
        </is>
      </c>
      <c r="H38" s="176" t="n">
        <v>2534.73</v>
      </c>
      <c r="I38" s="165" t="n"/>
      <c r="J38" s="165" t="n"/>
      <c r="K38" s="176" t="n">
        <v>236.3</v>
      </c>
      <c r="L38" s="176" t="n">
        <v>10.72674566</v>
      </c>
      <c r="M38" s="165" t="inlineStr">
        <is>
          <t>Not Complied</t>
        </is>
      </c>
      <c r="N38" s="165" t="n">
        <v>2</v>
      </c>
      <c r="O38" s="165" t="n">
        <v>94</v>
      </c>
      <c r="P38" s="165" t="inlineStr">
        <is>
          <t>13-02-2026 15:26:29</t>
        </is>
      </c>
      <c r="Q38" s="165" t="inlineStr">
        <is>
          <t>Overtaking Instances</t>
        </is>
      </c>
    </row>
    <row r="39" ht="15" customHeight="1" s="122">
      <c r="A39" s="171" t="inlineStr">
        <is>
          <t>KBB 104Q</t>
        </is>
      </c>
      <c r="B39" s="171" t="inlineStr">
        <is>
          <t>KBB 104Q</t>
        </is>
      </c>
      <c r="C39" s="171" t="inlineStr">
        <is>
          <t>Driver_05</t>
        </is>
      </c>
      <c r="D39" s="171" t="inlineStr">
        <is>
          <t>Stock Controller</t>
        </is>
      </c>
      <c r="E39" s="171" t="inlineStr">
        <is>
          <t>Territory_34</t>
        </is>
      </c>
      <c r="F39" s="171" t="inlineStr">
        <is>
          <t>Toyota Probox</t>
        </is>
      </c>
      <c r="G39" s="171" t="inlineStr">
        <is>
          <t>Mountain</t>
        </is>
      </c>
      <c r="H39" s="173" t="n">
        <v>2081.41</v>
      </c>
      <c r="I39" s="171" t="n"/>
      <c r="J39" s="171" t="n"/>
      <c r="K39" s="173" t="n">
        <v>190.46</v>
      </c>
      <c r="L39" s="173" t="n">
        <v>10.92833141</v>
      </c>
      <c r="M39" s="171" t="inlineStr">
        <is>
          <t>Not Complied</t>
        </is>
      </c>
      <c r="N39" s="171" t="n">
        <v>1</v>
      </c>
      <c r="O39" s="171" t="n">
        <v>111</v>
      </c>
      <c r="P39" s="171" t="inlineStr">
        <is>
          <t>25-02-2026 06:44:26</t>
        </is>
      </c>
      <c r="Q39" s="171" t="inlineStr">
        <is>
          <t>Action Already Taken</t>
        </is>
      </c>
    </row>
    <row r="40" ht="15" customHeight="1" s="122">
      <c r="A40" s="165" t="inlineStr">
        <is>
          <t>KBB 119Q</t>
        </is>
      </c>
      <c r="B40" s="165" t="inlineStr">
        <is>
          <t>KBB 119Q</t>
        </is>
      </c>
      <c r="C40" s="165" t="inlineStr">
        <is>
          <t>Driver_20</t>
        </is>
      </c>
      <c r="D40" s="165" t="inlineStr">
        <is>
          <t>ABM</t>
        </is>
      </c>
      <c r="E40" s="165" t="inlineStr">
        <is>
          <t>Territory_30</t>
        </is>
      </c>
      <c r="F40" s="165" t="inlineStr">
        <is>
          <t>Toyota Probox</t>
        </is>
      </c>
      <c r="G40" s="165" t="inlineStr">
        <is>
          <t>South Rift</t>
        </is>
      </c>
      <c r="H40" s="176" t="n">
        <v>3685.49</v>
      </c>
      <c r="I40" s="165" t="n"/>
      <c r="J40" s="165" t="n"/>
      <c r="K40" s="176" t="n">
        <v>275.89</v>
      </c>
      <c r="L40" s="176" t="n">
        <v>13.3585487</v>
      </c>
      <c r="M40" s="165" t="inlineStr">
        <is>
          <t>Complied</t>
        </is>
      </c>
      <c r="N40" s="165" t="n">
        <v>7</v>
      </c>
      <c r="O40" s="165" t="n">
        <v>97</v>
      </c>
      <c r="P40" s="178" t="n">
        <v>46236.74632</v>
      </c>
      <c r="Q40" s="165" t="inlineStr">
        <is>
          <t>Overtaking Instances</t>
        </is>
      </c>
    </row>
    <row r="41" ht="15" customHeight="1" s="122">
      <c r="A41" s="171" t="inlineStr">
        <is>
          <t>KBB 126Q</t>
        </is>
      </c>
      <c r="B41" s="171" t="inlineStr">
        <is>
          <t>KBB 126Q</t>
        </is>
      </c>
      <c r="C41" s="171" t="inlineStr">
        <is>
          <t>Driver_27</t>
        </is>
      </c>
      <c r="D41" s="171" t="inlineStr">
        <is>
          <t>ABM</t>
        </is>
      </c>
      <c r="E41" s="171" t="inlineStr">
        <is>
          <t>Territory_06</t>
        </is>
      </c>
      <c r="F41" s="171" t="inlineStr">
        <is>
          <t>Toyota Probox</t>
        </is>
      </c>
      <c r="G41" s="171" t="inlineStr">
        <is>
          <t>Mountain</t>
        </is>
      </c>
      <c r="H41" s="173" t="n">
        <v>2934.12</v>
      </c>
      <c r="I41" s="171" t="n"/>
      <c r="J41" s="171" t="n"/>
      <c r="K41" s="173" t="n">
        <v>215.12</v>
      </c>
      <c r="L41" s="173" t="n">
        <v>13.63945705</v>
      </c>
      <c r="M41" s="171" t="inlineStr">
        <is>
          <t>Complied</t>
        </is>
      </c>
      <c r="N41" s="171" t="n">
        <v>0</v>
      </c>
      <c r="O41" s="171" t="n">
        <v>111</v>
      </c>
      <c r="P41" s="171" t="inlineStr">
        <is>
          <t>25-02-2026 06:44:26</t>
        </is>
      </c>
      <c r="Q41" s="171" t="inlineStr">
        <is>
          <t>Permission Granted</t>
        </is>
      </c>
    </row>
    <row r="42" ht="15" customHeight="1" s="122">
      <c r="A42" s="165" t="inlineStr">
        <is>
          <t>KBB 121Q</t>
        </is>
      </c>
      <c r="B42" s="165" t="inlineStr">
        <is>
          <t>KBB 121Q</t>
        </is>
      </c>
      <c r="C42" s="165" t="inlineStr">
        <is>
          <t>Driver_22</t>
        </is>
      </c>
      <c r="D42" s="165" t="inlineStr">
        <is>
          <t>ABM</t>
        </is>
      </c>
      <c r="E42" s="165" t="inlineStr">
        <is>
          <t>Territory_05</t>
        </is>
      </c>
      <c r="F42" s="165" t="inlineStr">
        <is>
          <t>Toyota Probox</t>
        </is>
      </c>
      <c r="G42" s="165" t="inlineStr">
        <is>
          <t>North Rift</t>
        </is>
      </c>
      <c r="H42" s="176" t="n">
        <v>1759.31</v>
      </c>
      <c r="I42" s="165" t="n"/>
      <c r="J42" s="165" t="n"/>
      <c r="K42" s="176" t="n">
        <v>165.42</v>
      </c>
      <c r="L42" s="176" t="n">
        <v>10.63541289</v>
      </c>
      <c r="M42" s="165" t="inlineStr">
        <is>
          <t>Not Complied</t>
        </is>
      </c>
      <c r="N42" s="165" t="n">
        <v>0</v>
      </c>
      <c r="O42" s="165" t="n">
        <v>85</v>
      </c>
      <c r="P42" s="178" t="n">
        <v>46297.53347</v>
      </c>
      <c r="Q42" s="165" t="inlineStr">
        <is>
          <t>Complied</t>
        </is>
      </c>
    </row>
    <row r="43" ht="15" customHeight="1" s="122">
      <c r="A43" s="171" t="inlineStr">
        <is>
          <t>KAA 214B</t>
        </is>
      </c>
      <c r="B43" s="171" t="inlineStr">
        <is>
          <t>KAA 214B</t>
        </is>
      </c>
      <c r="C43" s="171" t="inlineStr">
        <is>
          <t>Driver_02</t>
        </is>
      </c>
      <c r="D43" s="171" t="inlineStr">
        <is>
          <t>ABM</t>
        </is>
      </c>
      <c r="E43" s="171" t="inlineStr">
        <is>
          <t>Territory_19</t>
        </is>
      </c>
      <c r="F43" s="171" t="inlineStr">
        <is>
          <t>Toyota Probox</t>
        </is>
      </c>
      <c r="G43" s="171" t="inlineStr">
        <is>
          <t>Territory_25</t>
        </is>
      </c>
      <c r="H43" s="173" t="n">
        <v>3338.97</v>
      </c>
      <c r="I43" s="171" t="n"/>
      <c r="J43" s="171" t="n"/>
      <c r="K43" s="173" t="n">
        <v>237.2</v>
      </c>
      <c r="L43" s="173" t="n">
        <v>14.07660202</v>
      </c>
      <c r="M43" s="171" t="inlineStr">
        <is>
          <t>Complied</t>
        </is>
      </c>
      <c r="N43" s="171" t="n">
        <v>8</v>
      </c>
      <c r="O43" s="171" t="n">
        <v>93</v>
      </c>
      <c r="P43" s="177" t="n">
        <v>46205.92345</v>
      </c>
      <c r="Q43" s="171" t="inlineStr">
        <is>
          <t>Overtaking Instances</t>
        </is>
      </c>
    </row>
    <row r="44" ht="15" customHeight="1" s="122">
      <c r="A44" s="165" t="inlineStr">
        <is>
          <t>KBB 113Q</t>
        </is>
      </c>
      <c r="B44" s="165" t="inlineStr">
        <is>
          <t>KBB 113Q</t>
        </is>
      </c>
      <c r="C44" s="165" t="inlineStr">
        <is>
          <t>Driver_14</t>
        </is>
      </c>
      <c r="D44" s="165" t="inlineStr">
        <is>
          <t>Trainer</t>
        </is>
      </c>
      <c r="E44" s="165" t="inlineStr">
        <is>
          <t>Territory_15</t>
        </is>
      </c>
      <c r="F44" s="165" t="inlineStr">
        <is>
          <t>Toyota Probox</t>
        </is>
      </c>
      <c r="G44" s="165" t="inlineStr">
        <is>
          <t>Nyanza</t>
        </is>
      </c>
      <c r="H44" s="176" t="n">
        <v>2112.93</v>
      </c>
      <c r="I44" s="165" t="n"/>
      <c r="J44" s="165" t="n"/>
      <c r="K44" s="176" t="n">
        <v>162.99</v>
      </c>
      <c r="L44" s="176" t="n">
        <v>12.96355605</v>
      </c>
      <c r="M44" s="165" t="inlineStr">
        <is>
          <t>Not Complied</t>
        </is>
      </c>
      <c r="N44" s="165" t="n">
        <v>9</v>
      </c>
      <c r="O44" s="165" t="n">
        <v>102</v>
      </c>
      <c r="P44" s="165" t="inlineStr">
        <is>
          <t>19-02-2026 12:55:29</t>
        </is>
      </c>
      <c r="Q44" s="165" t="inlineStr">
        <is>
          <t>Not Complied</t>
        </is>
      </c>
    </row>
    <row r="45" ht="15" customHeight="1" s="122">
      <c r="A45" s="171" t="inlineStr">
        <is>
          <t>KBB 109Q</t>
        </is>
      </c>
      <c r="B45" s="171" t="inlineStr">
        <is>
          <t>KBB 109Q</t>
        </is>
      </c>
      <c r="C45" s="171" t="inlineStr">
        <is>
          <t>Driver_10</t>
        </is>
      </c>
      <c r="D45" s="171" t="inlineStr">
        <is>
          <t>Trainer</t>
        </is>
      </c>
      <c r="E45" s="171" t="inlineStr">
        <is>
          <t>Territory_37</t>
        </is>
      </c>
      <c r="F45" s="171" t="inlineStr">
        <is>
          <t>Toyota Probox</t>
        </is>
      </c>
      <c r="G45" s="171" t="inlineStr">
        <is>
          <t>Territory_25</t>
        </is>
      </c>
      <c r="H45" s="173" t="n">
        <v>2762.44</v>
      </c>
      <c r="I45" s="171" t="n"/>
      <c r="J45" s="171" t="n"/>
      <c r="K45" s="173" t="n">
        <v>216.58</v>
      </c>
      <c r="L45" s="173" t="n">
        <v>12.75482501</v>
      </c>
      <c r="M45" s="171" t="inlineStr">
        <is>
          <t>Not Complied</t>
        </is>
      </c>
      <c r="N45" s="171" t="n">
        <v>0</v>
      </c>
      <c r="O45" s="171" t="n">
        <v>103</v>
      </c>
      <c r="P45" s="177" t="n">
        <v>46144.44252</v>
      </c>
      <c r="Q45" s="171" t="inlineStr">
        <is>
          <t>Permission Granted</t>
        </is>
      </c>
    </row>
    <row r="46" ht="15" customHeight="1" s="122">
      <c r="A46" s="165" t="inlineStr">
        <is>
          <t>KBB 124Q</t>
        </is>
      </c>
      <c r="B46" s="165" t="inlineStr">
        <is>
          <t>KBB 124Q</t>
        </is>
      </c>
      <c r="C46" s="165" t="inlineStr">
        <is>
          <t>Driver_25</t>
        </is>
      </c>
      <c r="D46" s="165" t="inlineStr">
        <is>
          <t>ABM</t>
        </is>
      </c>
      <c r="E46" s="165" t="inlineStr">
        <is>
          <t>Territory_34</t>
        </is>
      </c>
      <c r="F46" s="165" t="inlineStr">
        <is>
          <t>Toyota Probox</t>
        </is>
      </c>
      <c r="G46" s="165" t="inlineStr">
        <is>
          <t>Mountain</t>
        </is>
      </c>
      <c r="H46" s="176" t="n">
        <v>2311.67</v>
      </c>
      <c r="I46" s="165" t="n"/>
      <c r="J46" s="165" t="n"/>
      <c r="K46" s="176" t="n">
        <v>164.5</v>
      </c>
      <c r="L46" s="176" t="n">
        <v>14.05270517</v>
      </c>
      <c r="M46" s="165" t="inlineStr">
        <is>
          <t>Complied</t>
        </is>
      </c>
      <c r="N46" s="165" t="n">
        <v>0</v>
      </c>
      <c r="O46" s="165" t="n">
        <v>121</v>
      </c>
      <c r="P46" s="178" t="n">
        <v>46144.79074</v>
      </c>
      <c r="Q46" s="165" t="inlineStr">
        <is>
          <t>Action Already Taken</t>
        </is>
      </c>
    </row>
    <row r="47" ht="15" customHeight="1" s="122">
      <c r="A47" s="171" t="inlineStr">
        <is>
          <t>KBB 115Q</t>
        </is>
      </c>
      <c r="B47" s="171" t="inlineStr">
        <is>
          <t>KBB 115Q</t>
        </is>
      </c>
      <c r="C47" s="171" t="inlineStr">
        <is>
          <t>Driver_16</t>
        </is>
      </c>
      <c r="D47" s="171" t="inlineStr">
        <is>
          <t>Trainer</t>
        </is>
      </c>
      <c r="E47" s="171" t="inlineStr">
        <is>
          <t>Territory_26</t>
        </is>
      </c>
      <c r="F47" s="171" t="inlineStr">
        <is>
          <t>Toyota Probox</t>
        </is>
      </c>
      <c r="G47" s="171" t="inlineStr">
        <is>
          <t>South Rift</t>
        </is>
      </c>
      <c r="H47" s="173" t="n">
        <v>1885.02</v>
      </c>
      <c r="I47" s="171" t="n"/>
      <c r="J47" s="171" t="n"/>
      <c r="K47" s="173" t="n">
        <v>181.57</v>
      </c>
      <c r="L47" s="173" t="n">
        <v>10.38178113</v>
      </c>
      <c r="M47" s="171" t="inlineStr">
        <is>
          <t>Not Complied</t>
        </is>
      </c>
      <c r="N47" s="171" t="n">
        <v>0</v>
      </c>
      <c r="O47" s="171" t="n">
        <v>91</v>
      </c>
      <c r="P47" s="177" t="n">
        <v>46358.33087</v>
      </c>
      <c r="Q47" s="171" t="inlineStr">
        <is>
          <t>Overtaking Instances</t>
        </is>
      </c>
    </row>
    <row r="48" ht="15" customHeight="1" s="122">
      <c r="A48" s="165" t="inlineStr">
        <is>
          <t>KBB 120Q</t>
        </is>
      </c>
      <c r="B48" s="165" t="inlineStr">
        <is>
          <t>KBB 120Q</t>
        </is>
      </c>
      <c r="C48" s="165" t="inlineStr">
        <is>
          <t>Driver_21</t>
        </is>
      </c>
      <c r="D48" s="165" t="inlineStr">
        <is>
          <t>ABM</t>
        </is>
      </c>
      <c r="E48" s="165" t="inlineStr">
        <is>
          <t>Territory_25</t>
        </is>
      </c>
      <c r="F48" s="165" t="inlineStr">
        <is>
          <t>Toyota Probox</t>
        </is>
      </c>
      <c r="G48" s="165" t="inlineStr">
        <is>
          <t>Territory_25</t>
        </is>
      </c>
      <c r="H48" s="176" t="n">
        <v>1944.48</v>
      </c>
      <c r="I48" s="165" t="n"/>
      <c r="J48" s="165" t="n"/>
      <c r="K48" s="176" t="n">
        <v>183.01</v>
      </c>
      <c r="L48" s="176" t="n">
        <v>10.62499317</v>
      </c>
      <c r="M48" s="165" t="inlineStr">
        <is>
          <t>Not Complied</t>
        </is>
      </c>
      <c r="N48" s="165" t="n">
        <v>3</v>
      </c>
      <c r="O48" s="165" t="n">
        <v>100</v>
      </c>
      <c r="P48" s="178" t="n">
        <v>46328.73972</v>
      </c>
      <c r="Q48" s="165" t="inlineStr">
        <is>
          <t>Overtaking Instances</t>
        </is>
      </c>
    </row>
    <row r="49" ht="15" customHeight="1" s="122">
      <c r="A49" s="171" t="inlineStr">
        <is>
          <t>KBB 107Q</t>
        </is>
      </c>
      <c r="B49" s="171" t="inlineStr">
        <is>
          <t>KBB 107Q</t>
        </is>
      </c>
      <c r="C49" s="171" t="inlineStr">
        <is>
          <t>Driver_08</t>
        </is>
      </c>
      <c r="D49" s="171" t="inlineStr">
        <is>
          <t>Trainer</t>
        </is>
      </c>
      <c r="E49" s="171" t="inlineStr">
        <is>
          <t>Territory_35</t>
        </is>
      </c>
      <c r="F49" s="171" t="inlineStr">
        <is>
          <t>Toyota Probox</t>
        </is>
      </c>
      <c r="G49" s="171" t="inlineStr">
        <is>
          <t>Mountain</t>
        </is>
      </c>
      <c r="H49" s="173" t="n">
        <v>2783.01</v>
      </c>
      <c r="I49" s="171" t="n"/>
      <c r="J49" s="171" t="n"/>
      <c r="K49" s="173" t="n">
        <v>295.14</v>
      </c>
      <c r="L49" s="173" t="n">
        <v>9.429457207</v>
      </c>
      <c r="M49" s="171" t="inlineStr">
        <is>
          <t>Not Complied</t>
        </is>
      </c>
      <c r="N49" s="171" t="n">
        <v>1</v>
      </c>
      <c r="O49" s="171" t="n">
        <v>97</v>
      </c>
      <c r="P49" s="177" t="n">
        <v>46236.74632</v>
      </c>
      <c r="Q49" s="171" t="inlineStr">
        <is>
          <t>Overtaking Instances</t>
        </is>
      </c>
    </row>
    <row r="50" ht="15" customHeight="1" s="122">
      <c r="A50" s="165" t="inlineStr">
        <is>
          <t>KBB 123Q</t>
        </is>
      </c>
      <c r="B50" s="165" t="inlineStr">
        <is>
          <t>KBB 123Q</t>
        </is>
      </c>
      <c r="C50" s="165" t="inlineStr">
        <is>
          <t>Driver_24</t>
        </is>
      </c>
      <c r="D50" s="165" t="inlineStr">
        <is>
          <t>ABM</t>
        </is>
      </c>
      <c r="E50" s="165" t="inlineStr">
        <is>
          <t>Territory_05</t>
        </is>
      </c>
      <c r="F50" s="165" t="inlineStr">
        <is>
          <t>Toyota Probox</t>
        </is>
      </c>
      <c r="G50" s="165" t="inlineStr">
        <is>
          <t>North Rift</t>
        </is>
      </c>
      <c r="H50" s="176" t="n">
        <v>1173.75</v>
      </c>
      <c r="I50" s="165" t="n"/>
      <c r="J50" s="165" t="n"/>
      <c r="K50" s="176" t="n">
        <v>166.43</v>
      </c>
      <c r="L50" s="176" t="n">
        <v>7.052514571</v>
      </c>
      <c r="M50" s="165" t="inlineStr">
        <is>
          <t>Not Complied</t>
        </is>
      </c>
      <c r="N50" s="165" t="n">
        <v>1</v>
      </c>
      <c r="O50" s="165" t="n">
        <v>79</v>
      </c>
      <c r="P50" s="178" t="n">
        <v>46083.74642</v>
      </c>
      <c r="Q50" s="165" t="inlineStr">
        <is>
          <t>Complied</t>
        </is>
      </c>
    </row>
    <row r="51" ht="15" customHeight="1" s="122">
      <c r="A51" s="171" t="inlineStr">
        <is>
          <t>KBB 125Q</t>
        </is>
      </c>
      <c r="B51" s="171" t="inlineStr">
        <is>
          <t>KBB 125Q</t>
        </is>
      </c>
      <c r="C51" s="171" t="inlineStr">
        <is>
          <t>Driver_26</t>
        </is>
      </c>
      <c r="D51" s="171" t="inlineStr">
        <is>
          <t>ABM</t>
        </is>
      </c>
      <c r="E51" s="171" t="inlineStr">
        <is>
          <t>Territory_41</t>
        </is>
      </c>
      <c r="F51" s="171" t="inlineStr">
        <is>
          <t>Toyota Probox</t>
        </is>
      </c>
      <c r="G51" s="171" t="inlineStr">
        <is>
          <t>Mountain</t>
        </is>
      </c>
      <c r="H51" s="173" t="n">
        <v>2714.4</v>
      </c>
      <c r="I51" s="171" t="n"/>
      <c r="J51" s="171" t="n"/>
      <c r="K51" s="173" t="n">
        <v>235.58</v>
      </c>
      <c r="L51" s="173" t="n">
        <v>11.52220053</v>
      </c>
      <c r="M51" s="171" t="inlineStr">
        <is>
          <t>Not Complied</t>
        </is>
      </c>
      <c r="N51" s="171" t="n">
        <v>1</v>
      </c>
      <c r="O51" s="171" t="n">
        <v>119</v>
      </c>
      <c r="P51" s="177" t="n">
        <v>46114.56495</v>
      </c>
      <c r="Q51" s="171" t="inlineStr">
        <is>
          <t>Permission Granted</t>
        </is>
      </c>
    </row>
    <row r="52" ht="15" customHeight="1" s="122">
      <c r="A52" s="165" t="inlineStr">
        <is>
          <t>KBB 102Q</t>
        </is>
      </c>
      <c r="B52" s="165" t="inlineStr">
        <is>
          <t>KBB 102Q</t>
        </is>
      </c>
      <c r="C52" s="165" t="inlineStr">
        <is>
          <t>Driver_03</t>
        </is>
      </c>
      <c r="D52" s="165" t="inlineStr">
        <is>
          <t>Stock Controller</t>
        </is>
      </c>
      <c r="E52" s="165" t="inlineStr">
        <is>
          <t>Territory_03</t>
        </is>
      </c>
      <c r="F52" s="165" t="inlineStr">
        <is>
          <t>Toyota Probox</t>
        </is>
      </c>
      <c r="G52" s="165" t="inlineStr">
        <is>
          <t>Territory_03</t>
        </is>
      </c>
      <c r="H52" s="176" t="n">
        <v>1385.25</v>
      </c>
      <c r="I52" s="165" t="n"/>
      <c r="J52" s="165" t="n"/>
      <c r="K52" s="176" t="n">
        <v>139.53</v>
      </c>
      <c r="L52" s="176" t="n">
        <v>9.927972478999999</v>
      </c>
      <c r="M52" s="165" t="inlineStr">
        <is>
          <t>Not Complied</t>
        </is>
      </c>
      <c r="N52" s="165" t="n">
        <v>6</v>
      </c>
      <c r="O52" s="165" t="n">
        <v>87</v>
      </c>
      <c r="P52" s="165" t="inlineStr">
        <is>
          <t>13-02-2026 18:27:59</t>
        </is>
      </c>
      <c r="Q52" s="165" t="inlineStr">
        <is>
          <t>Complied</t>
        </is>
      </c>
    </row>
    <row r="53" ht="15" customHeight="1" s="122">
      <c r="A53" s="171" t="inlineStr">
        <is>
          <t>KBB 118Q</t>
        </is>
      </c>
      <c r="B53" s="171" t="inlineStr">
        <is>
          <t>KBB 118Q</t>
        </is>
      </c>
      <c r="C53" s="171" t="inlineStr">
        <is>
          <t>Driver_19</t>
        </is>
      </c>
      <c r="D53" s="171" t="inlineStr">
        <is>
          <t>ABM</t>
        </is>
      </c>
      <c r="E53" s="171" t="inlineStr">
        <is>
          <t>Territory_24</t>
        </is>
      </c>
      <c r="F53" s="171" t="inlineStr">
        <is>
          <t>Toyota Probox</t>
        </is>
      </c>
      <c r="G53" s="171" t="inlineStr">
        <is>
          <t>Territory_03</t>
        </is>
      </c>
      <c r="H53" s="173" t="n">
        <v>2417.77</v>
      </c>
      <c r="I53" s="171" t="n"/>
      <c r="J53" s="171" t="n"/>
      <c r="K53" s="173" t="n">
        <v>197.25</v>
      </c>
      <c r="L53" s="173" t="n">
        <v>12.2573891</v>
      </c>
      <c r="M53" s="171" t="inlineStr">
        <is>
          <t>Not Complied</t>
        </is>
      </c>
      <c r="N53" s="171" t="n">
        <v>4</v>
      </c>
      <c r="O53" s="171" t="n">
        <v>102</v>
      </c>
      <c r="P53" s="171" t="inlineStr">
        <is>
          <t>19-02-2026 12:55:29</t>
        </is>
      </c>
      <c r="Q53" s="171" t="inlineStr">
        <is>
          <t>Action Already Taken</t>
        </is>
      </c>
    </row>
    <row r="54" ht="15" customHeight="1" s="122">
      <c r="A54" s="165" t="inlineStr">
        <is>
          <t>KBB 114Q</t>
        </is>
      </c>
      <c r="B54" s="165" t="inlineStr">
        <is>
          <t>KBB 114Q</t>
        </is>
      </c>
      <c r="C54" s="165" t="inlineStr">
        <is>
          <t>Driver_15</t>
        </is>
      </c>
      <c r="D54" s="165" t="inlineStr">
        <is>
          <t>Trainer</t>
        </is>
      </c>
      <c r="E54" s="165" t="inlineStr">
        <is>
          <t>Territory_15</t>
        </is>
      </c>
      <c r="F54" s="165" t="inlineStr">
        <is>
          <t>Toyota Probox</t>
        </is>
      </c>
      <c r="G54" s="165" t="inlineStr">
        <is>
          <t>Nyanza</t>
        </is>
      </c>
      <c r="H54" s="176" t="n">
        <v>1941.15</v>
      </c>
      <c r="I54" s="165" t="n"/>
      <c r="J54" s="165" t="n"/>
      <c r="K54" s="176" t="n">
        <v>165.15</v>
      </c>
      <c r="L54" s="176" t="n">
        <v>11.75386013</v>
      </c>
      <c r="M54" s="165" t="inlineStr">
        <is>
          <t>Not Complied</t>
        </is>
      </c>
      <c r="N54" s="165" t="n">
        <v>0</v>
      </c>
      <c r="O54" s="165" t="n">
        <v>97</v>
      </c>
      <c r="P54" s="178" t="n">
        <v>46236.74632</v>
      </c>
      <c r="Q54" s="165" t="inlineStr">
        <is>
          <t>Overtaking Instances</t>
        </is>
      </c>
    </row>
    <row r="55" ht="15" customHeight="1" s="122">
      <c r="A55" s="171" t="inlineStr">
        <is>
          <t>KAA 754A</t>
        </is>
      </c>
      <c r="B55" s="171" t="inlineStr">
        <is>
          <t>KAA 754A</t>
        </is>
      </c>
      <c r="C55" s="171" t="inlineStr">
        <is>
          <t>Driver_01</t>
        </is>
      </c>
      <c r="D55" s="171" t="inlineStr">
        <is>
          <t>Stock Controller</t>
        </is>
      </c>
      <c r="E55" s="171" t="inlineStr">
        <is>
          <t>Territory_26</t>
        </is>
      </c>
      <c r="F55" s="171" t="inlineStr">
        <is>
          <t>Toyota Probox</t>
        </is>
      </c>
      <c r="G55" s="171" t="inlineStr">
        <is>
          <t>South Rift</t>
        </is>
      </c>
      <c r="H55" s="173" t="n">
        <v>2133.18</v>
      </c>
      <c r="I55" s="171" t="n"/>
      <c r="J55" s="171" t="n"/>
      <c r="K55" s="173" t="n">
        <v>235.58</v>
      </c>
      <c r="L55" s="173" t="n">
        <v>9.055013159</v>
      </c>
      <c r="M55" s="171" t="inlineStr">
        <is>
          <t>Not Complied</t>
        </is>
      </c>
      <c r="N55" s="171" t="n">
        <v>1</v>
      </c>
      <c r="O55" s="171" t="n">
        <v>100</v>
      </c>
      <c r="P55" s="177" t="n">
        <v>46328.73972</v>
      </c>
      <c r="Q55" s="171" t="inlineStr">
        <is>
          <t>Overtaking Instances</t>
        </is>
      </c>
    </row>
    <row r="56" ht="15" customHeight="1" s="122">
      <c r="A56" s="165" t="inlineStr">
        <is>
          <t>KBB 106Q</t>
        </is>
      </c>
      <c r="B56" s="165" t="inlineStr">
        <is>
          <t>KBB 106Q</t>
        </is>
      </c>
      <c r="C56" s="165" t="inlineStr">
        <is>
          <t>Driver_07</t>
        </is>
      </c>
      <c r="D56" s="165" t="inlineStr">
        <is>
          <t>ABM</t>
        </is>
      </c>
      <c r="E56" s="165" t="inlineStr">
        <is>
          <t>Territory_42</t>
        </is>
      </c>
      <c r="F56" s="165" t="inlineStr">
        <is>
          <t>Toyota Probox</t>
        </is>
      </c>
      <c r="G56" s="165" t="inlineStr">
        <is>
          <t>Territory_42</t>
        </is>
      </c>
      <c r="H56" s="176" t="n">
        <v>2339.18</v>
      </c>
      <c r="I56" s="165" t="n"/>
      <c r="J56" s="165" t="n"/>
      <c r="K56" s="176" t="n">
        <v>307.13</v>
      </c>
      <c r="L56" s="176" t="n">
        <v>7.616253704</v>
      </c>
      <c r="M56" s="165" t="inlineStr">
        <is>
          <t>Not Complied</t>
        </is>
      </c>
      <c r="N56" s="165" t="n">
        <v>1</v>
      </c>
      <c r="O56" s="165" t="n">
        <v>83</v>
      </c>
      <c r="P56" s="178" t="n">
        <v>46144.69605</v>
      </c>
      <c r="Q56" s="165" t="inlineStr">
        <is>
          <t>Complied</t>
        </is>
      </c>
    </row>
  </sheetData>
  <autoFilter ref="A3:Q3"/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5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21" min="1" max="1"/>
    <col width="22" customWidth="1" style="121" min="2" max="3"/>
    <col width="10" customWidth="1" style="121" min="4" max="4"/>
    <col width="14" customWidth="1" style="121" min="5" max="6"/>
    <col width="12" customWidth="1" style="121" min="7" max="7"/>
    <col width="14" customWidth="1" style="121" min="8" max="9"/>
  </cols>
  <sheetData>
    <row r="1" ht="27.75" customHeight="1" s="122">
      <c r="A1" s="160" t="inlineStr">
        <is>
          <t>📥  RAW TRIPS — PASTE TRIP-LEVEL GPS DATA HERE (February Travel Sheet Report)</t>
        </is>
      </c>
    </row>
    <row r="2" ht="15.75" customHeight="1" s="122">
      <c r="A2" s="161" t="inlineStr">
        <is>
          <t>Each month: paste the full trip-level export.  Column H (Past Midnight) is auto-calculated.  Do not modify column H.  Speed Flags &amp; Late Hours tabs reference this data.</t>
        </is>
      </c>
    </row>
    <row r="3" ht="21.75" customHeight="1" s="122">
      <c r="A3" s="162" t="inlineStr">
        <is>
          <t>Car Registration</t>
        </is>
      </c>
      <c r="B3" s="162" t="inlineStr">
        <is>
          <t>Departure Time</t>
        </is>
      </c>
      <c r="C3" s="162" t="inlineStr">
        <is>
          <t>End Time</t>
        </is>
      </c>
      <c r="D3" s="162" t="inlineStr">
        <is>
          <t>Route (km)</t>
        </is>
      </c>
      <c r="E3" s="162" t="inlineStr">
        <is>
          <t>Avg Speed (km/h)</t>
        </is>
      </c>
      <c r="F3" s="162" t="inlineStr">
        <is>
          <t>Top Speed (km/h)</t>
        </is>
      </c>
      <c r="G3" s="162" t="inlineStr">
        <is>
          <t>Past 10pm?</t>
        </is>
      </c>
      <c r="H3" s="169" t="inlineStr">
        <is>
          <t>Past Midnight?</t>
        </is>
      </c>
      <c r="I3" s="162" t="inlineStr">
        <is>
          <t>Date</t>
        </is>
      </c>
    </row>
    <row r="4" ht="15" customHeight="1" s="122">
      <c r="A4" s="179" t="inlineStr">
        <is>
          <t>KAA 754A</t>
        </is>
      </c>
      <c r="B4" s="180" t="n">
        <v>46024.40707175926</v>
      </c>
      <c r="C4" s="180" t="n">
        <v>46024.40780092592</v>
      </c>
      <c r="D4" s="173" t="inlineStr">
        <is>
          <t>0.01 Km</t>
        </is>
      </c>
      <c r="E4" s="181" t="n">
        <v>6</v>
      </c>
      <c r="F4" s="182" t="n">
        <v>6</v>
      </c>
      <c r="G4" s="172" t="inlineStr">
        <is>
          <t>No</t>
        </is>
      </c>
      <c r="H4" s="170">
        <f>IF(A4="","",IF(OR(NOT(ISNUMBER(C4)),C4=""),"No",IF(AND(HOUR(C4)&gt;=0,HOUR(C4)&lt;5),"Yes","No")))</f>
        <v/>
      </c>
      <c r="I4" s="183">
        <f>IF(OR(B4="",NOT(ISNUMBER(B4))),"",INT(B4))</f>
        <v/>
      </c>
    </row>
    <row r="5" ht="15" customHeight="1" s="122">
      <c r="A5" s="179" t="inlineStr">
        <is>
          <t>KAA 754A</t>
        </is>
      </c>
      <c r="B5" s="180" t="n">
        <v>46024.43230324074</v>
      </c>
      <c r="C5" s="180" t="n">
        <v>46024.43258101852</v>
      </c>
      <c r="D5" s="173" t="inlineStr">
        <is>
          <t>0.01 Km</t>
        </is>
      </c>
      <c r="E5" s="181" t="n">
        <v>7</v>
      </c>
      <c r="F5" s="182" t="n">
        <v>8</v>
      </c>
      <c r="G5" s="172" t="inlineStr">
        <is>
          <t>No</t>
        </is>
      </c>
      <c r="H5" s="170">
        <f>IF(A5="","",IF(OR(NOT(ISNUMBER(C5)),C5=""),"No",IF(AND(HOUR(C5)&gt;=0,HOUR(C5)&lt;5),"Yes","No")))</f>
        <v/>
      </c>
      <c r="I5" s="183">
        <f>IF(OR(B5="",NOT(ISNUMBER(B5))),"",INT(B5))</f>
        <v/>
      </c>
    </row>
    <row r="6" ht="15" customHeight="1" s="122">
      <c r="A6" s="179" t="inlineStr">
        <is>
          <t>KAA 754A</t>
        </is>
      </c>
      <c r="B6" s="180" t="n">
        <v>46024.72368055556</v>
      </c>
      <c r="C6" s="180" t="n">
        <v>46024.73259259259</v>
      </c>
      <c r="D6" s="173" t="inlineStr">
        <is>
          <t>2.45 Km</t>
        </is>
      </c>
      <c r="E6" s="181" t="n">
        <v>14</v>
      </c>
      <c r="F6" s="182" t="n">
        <v>35</v>
      </c>
      <c r="G6" s="172" t="inlineStr">
        <is>
          <t>No</t>
        </is>
      </c>
      <c r="H6" s="170">
        <f>IF(A6="","",IF(OR(NOT(ISNUMBER(C6)),C6=""),"No",IF(AND(HOUR(C6)&gt;=0,HOUR(C6)&lt;5),"Yes","No")))</f>
        <v/>
      </c>
      <c r="I6" s="183">
        <f>IF(OR(B6="",NOT(ISNUMBER(B6))),"",INT(B6))</f>
        <v/>
      </c>
    </row>
    <row r="7" ht="15" customHeight="1" s="122">
      <c r="A7" s="179" t="inlineStr">
        <is>
          <t>KAA 754A</t>
        </is>
      </c>
      <c r="B7" s="180" t="n">
        <v>46024.7553125</v>
      </c>
      <c r="C7" s="180" t="n">
        <v>46024.75880787037</v>
      </c>
      <c r="D7" s="173" t="inlineStr">
        <is>
          <t>0.99 Km</t>
        </is>
      </c>
      <c r="E7" s="181" t="n">
        <v>12</v>
      </c>
      <c r="F7" s="182" t="n">
        <v>26</v>
      </c>
      <c r="G7" s="172" t="inlineStr">
        <is>
          <t>No</t>
        </is>
      </c>
      <c r="H7" s="170">
        <f>IF(A7="","",IF(OR(NOT(ISNUMBER(C7)),C7=""),"No",IF(AND(HOUR(C7)&gt;=0,HOUR(C7)&lt;5),"Yes","No")))</f>
        <v/>
      </c>
      <c r="I7" s="183">
        <f>IF(OR(B7="",NOT(ISNUMBER(B7))),"",INT(B7))</f>
        <v/>
      </c>
    </row>
    <row r="8" ht="15" customHeight="1" s="122">
      <c r="A8" s="179" t="inlineStr">
        <is>
          <t>KAA 754A</t>
        </is>
      </c>
      <c r="B8" s="180" t="n">
        <v>46144.46313657407</v>
      </c>
      <c r="C8" s="180" t="n">
        <v>46144.46413194444</v>
      </c>
      <c r="D8" s="173" t="inlineStr">
        <is>
          <t>0.07 Km</t>
        </is>
      </c>
      <c r="E8" s="181" t="n">
        <v>7</v>
      </c>
      <c r="F8" s="182" t="n">
        <v>9</v>
      </c>
      <c r="G8" s="172" t="inlineStr">
        <is>
          <t>No</t>
        </is>
      </c>
      <c r="H8" s="170">
        <f>IF(A8="","",IF(OR(NOT(ISNUMBER(C8)),C8=""),"No",IF(AND(HOUR(C8)&gt;=0,HOUR(C8)&lt;5),"Yes","No")))</f>
        <v/>
      </c>
      <c r="I8" s="183">
        <f>IF(OR(B8="",NOT(ISNUMBER(B8))),"",INT(B8))</f>
        <v/>
      </c>
    </row>
    <row r="9" ht="15" customHeight="1" s="122">
      <c r="A9" s="179" t="inlineStr">
        <is>
          <t>KAA 754A</t>
        </is>
      </c>
      <c r="B9" s="180" t="n">
        <v>46144.63344907408</v>
      </c>
      <c r="C9" s="180" t="n">
        <v>46144.63409722222</v>
      </c>
      <c r="D9" s="173" t="inlineStr">
        <is>
          <t>0.04 Km</t>
        </is>
      </c>
      <c r="E9" s="181" t="n">
        <v>7</v>
      </c>
      <c r="F9" s="182" t="n">
        <v>9</v>
      </c>
      <c r="G9" s="172" t="inlineStr">
        <is>
          <t>No</t>
        </is>
      </c>
      <c r="H9" s="170">
        <f>IF(A9="","",IF(OR(NOT(ISNUMBER(C9)),C9=""),"No",IF(AND(HOUR(C9)&gt;=0,HOUR(C9)&lt;5),"Yes","No")))</f>
        <v/>
      </c>
      <c r="I9" s="183">
        <f>IF(OR(B9="",NOT(ISNUMBER(B9))),"",INT(B9))</f>
        <v/>
      </c>
    </row>
    <row r="10" ht="15" customHeight="1" s="122">
      <c r="A10" s="179" t="inlineStr">
        <is>
          <t>KAA 754A</t>
        </is>
      </c>
      <c r="B10" s="180" t="n">
        <v>46144.66534722222</v>
      </c>
      <c r="C10" s="180" t="n">
        <v>46144.66590277778</v>
      </c>
      <c r="D10" s="173" t="inlineStr">
        <is>
          <t>0.09 Km</t>
        </is>
      </c>
      <c r="E10" s="181" t="n">
        <v>7</v>
      </c>
      <c r="F10" s="182" t="n">
        <v>10</v>
      </c>
      <c r="G10" s="172" t="inlineStr">
        <is>
          <t>No</t>
        </is>
      </c>
      <c r="H10" s="170">
        <f>IF(A10="","",IF(OR(NOT(ISNUMBER(C10)),C10=""),"No",IF(AND(HOUR(C10)&gt;=0,HOUR(C10)&lt;5),"Yes","No")))</f>
        <v/>
      </c>
      <c r="I10" s="183">
        <f>IF(OR(B10="",NOT(ISNUMBER(B10))),"",INT(B10))</f>
        <v/>
      </c>
    </row>
    <row r="11" ht="15" customHeight="1" s="122">
      <c r="A11" s="179" t="inlineStr">
        <is>
          <t>KAA 754A</t>
        </is>
      </c>
      <c r="B11" s="180" t="n">
        <v>46144.67094907408</v>
      </c>
      <c r="C11" s="180" t="n">
        <v>46144.68707175926</v>
      </c>
      <c r="D11" s="173" t="inlineStr">
        <is>
          <t>11.31 Km</t>
        </is>
      </c>
      <c r="E11" s="181" t="n">
        <v>30</v>
      </c>
      <c r="F11" s="182" t="n">
        <v>74</v>
      </c>
      <c r="G11" s="172" t="inlineStr">
        <is>
          <t>No</t>
        </is>
      </c>
      <c r="H11" s="170">
        <f>IF(A11="","",IF(OR(NOT(ISNUMBER(C11)),C11=""),"No",IF(AND(HOUR(C11)&gt;=0,HOUR(C11)&lt;5),"Yes","No")))</f>
        <v/>
      </c>
      <c r="I11" s="183">
        <f>IF(OR(B11="",NOT(ISNUMBER(B11))),"",INT(B11))</f>
        <v/>
      </c>
    </row>
    <row r="12" ht="15" customHeight="1" s="122">
      <c r="A12" s="179" t="inlineStr">
        <is>
          <t>KAA 754A</t>
        </is>
      </c>
      <c r="B12" s="180" t="n">
        <v>46144.68722222222</v>
      </c>
      <c r="C12" s="180" t="n">
        <v>46144.69605324074</v>
      </c>
      <c r="D12" s="173" t="inlineStr">
        <is>
          <t>5.06 Km</t>
        </is>
      </c>
      <c r="E12" s="181" t="n">
        <v>28</v>
      </c>
      <c r="F12" s="182" t="n">
        <v>83</v>
      </c>
      <c r="G12" s="172" t="inlineStr">
        <is>
          <t>No</t>
        </is>
      </c>
      <c r="H12" s="170">
        <f>IF(A12="","",IF(OR(NOT(ISNUMBER(C12)),C12=""),"No",IF(AND(HOUR(C12)&gt;=0,HOUR(C12)&lt;5),"Yes","No")))</f>
        <v/>
      </c>
      <c r="I12" s="183">
        <f>IF(OR(B12="",NOT(ISNUMBER(B12))),"",INT(B12))</f>
        <v/>
      </c>
    </row>
    <row r="13" ht="15" customHeight="1" s="122">
      <c r="A13" s="179" t="inlineStr">
        <is>
          <t>KAA 754A</t>
        </is>
      </c>
      <c r="B13" s="180" t="n">
        <v>46144.69680555556</v>
      </c>
      <c r="C13" s="180" t="n">
        <v>46144.70744212963</v>
      </c>
      <c r="D13" s="173" t="inlineStr">
        <is>
          <t>2.14 Km</t>
        </is>
      </c>
      <c r="E13" s="181" t="n">
        <v>14</v>
      </c>
      <c r="F13" s="182" t="n">
        <v>42</v>
      </c>
      <c r="G13" s="172" t="inlineStr">
        <is>
          <t>No</t>
        </is>
      </c>
      <c r="H13" s="170">
        <f>IF(A13="","",IF(OR(NOT(ISNUMBER(C13)),C13=""),"No",IF(AND(HOUR(C13)&gt;=0,HOUR(C13)&lt;5),"Yes","No")))</f>
        <v/>
      </c>
      <c r="I13" s="183">
        <f>IF(OR(B13="",NOT(ISNUMBER(B13))),"",INT(B13))</f>
        <v/>
      </c>
    </row>
    <row r="14" ht="15" customHeight="1" s="122">
      <c r="A14" s="179" t="inlineStr">
        <is>
          <t>KAA 754A</t>
        </is>
      </c>
      <c r="B14" s="180" t="n">
        <v>46144.72457175926</v>
      </c>
      <c r="C14" s="180" t="n">
        <v>46144.7385300926</v>
      </c>
      <c r="D14" s="173" t="inlineStr">
        <is>
          <t>3.78 Km</t>
        </is>
      </c>
      <c r="E14" s="181" t="n">
        <v>17</v>
      </c>
      <c r="F14" s="182" t="n">
        <v>48</v>
      </c>
      <c r="G14" s="172" t="inlineStr">
        <is>
          <t>No</t>
        </is>
      </c>
      <c r="H14" s="170">
        <f>IF(A14="","",IF(OR(NOT(ISNUMBER(C14)),C14=""),"No",IF(AND(HOUR(C14)&gt;=0,HOUR(C14)&lt;5),"Yes","No")))</f>
        <v/>
      </c>
      <c r="I14" s="183">
        <f>IF(OR(B14="",NOT(ISNUMBER(B14))),"",INT(B14))</f>
        <v/>
      </c>
    </row>
    <row r="15" ht="15" customHeight="1" s="122">
      <c r="A15" s="179" t="inlineStr">
        <is>
          <t>KAA 754A</t>
        </is>
      </c>
      <c r="B15" s="180" t="n">
        <v>46144.74210648148</v>
      </c>
      <c r="C15" s="180" t="n">
        <v>46144.75032407408</v>
      </c>
      <c r="D15" s="173" t="inlineStr">
        <is>
          <t>4.53 Km</t>
        </is>
      </c>
      <c r="E15" s="181" t="n">
        <v>23</v>
      </c>
      <c r="F15" s="182" t="n">
        <v>60</v>
      </c>
      <c r="G15" s="172" t="inlineStr">
        <is>
          <t>No</t>
        </is>
      </c>
      <c r="H15" s="170">
        <f>IF(A15="","",IF(OR(NOT(ISNUMBER(C15)),C15=""),"No",IF(AND(HOUR(C15)&gt;=0,HOUR(C15)&lt;5),"Yes","No")))</f>
        <v/>
      </c>
      <c r="I15" s="183">
        <f>IF(OR(B15="",NOT(ISNUMBER(B15))),"",INT(B15))</f>
        <v/>
      </c>
    </row>
    <row r="16" ht="15" customHeight="1" s="122">
      <c r="A16" s="179" t="inlineStr">
        <is>
          <t>KAA 754A</t>
        </is>
      </c>
      <c r="B16" s="180" t="n">
        <v>46144.75103009259</v>
      </c>
      <c r="C16" s="180" t="n">
        <v>46144.75912037037</v>
      </c>
      <c r="D16" s="173" t="inlineStr">
        <is>
          <t>1.67 Km</t>
        </is>
      </c>
      <c r="E16" s="181" t="n">
        <v>12</v>
      </c>
      <c r="F16" s="182" t="n">
        <v>36</v>
      </c>
      <c r="G16" s="172" t="inlineStr">
        <is>
          <t>No</t>
        </is>
      </c>
      <c r="H16" s="170">
        <f>IF(A16="","",IF(OR(NOT(ISNUMBER(C16)),C16=""),"No",IF(AND(HOUR(C16)&gt;=0,HOUR(C16)&lt;5),"Yes","No")))</f>
        <v/>
      </c>
      <c r="I16" s="183">
        <f>IF(OR(B16="",NOT(ISNUMBER(B16))),"",INT(B16))</f>
        <v/>
      </c>
    </row>
    <row r="17" ht="15" customHeight="1" s="122">
      <c r="A17" s="179" t="inlineStr">
        <is>
          <t>KAA 754A</t>
        </is>
      </c>
      <c r="B17" s="180" t="n">
        <v>46144.76086805556</v>
      </c>
      <c r="C17" s="180" t="n">
        <v>46144.77185185185</v>
      </c>
      <c r="D17" s="173" t="inlineStr">
        <is>
          <t>6 Km</t>
        </is>
      </c>
      <c r="E17" s="181" t="n">
        <v>29</v>
      </c>
      <c r="F17" s="182" t="n">
        <v>67</v>
      </c>
      <c r="G17" s="172" t="inlineStr">
        <is>
          <t>No</t>
        </is>
      </c>
      <c r="H17" s="170">
        <f>IF(A17="","",IF(OR(NOT(ISNUMBER(C17)),C17=""),"No",IF(AND(HOUR(C17)&gt;=0,HOUR(C17)&lt;5),"Yes","No")))</f>
        <v/>
      </c>
      <c r="I17" s="183">
        <f>IF(OR(B17="",NOT(ISNUMBER(B17))),"",INT(B17))</f>
        <v/>
      </c>
    </row>
    <row r="18" ht="15" customHeight="1" s="122">
      <c r="A18" s="179" t="inlineStr">
        <is>
          <t>KAA 754A</t>
        </is>
      </c>
      <c r="B18" s="180" t="n">
        <v>46144.8290162037</v>
      </c>
      <c r="C18" s="180" t="n">
        <v>46144.83042824074</v>
      </c>
      <c r="D18" s="173" t="inlineStr">
        <is>
          <t>0.53 Km</t>
        </is>
      </c>
      <c r="E18" s="181" t="n">
        <v>19</v>
      </c>
      <c r="F18" s="182" t="n">
        <v>47</v>
      </c>
      <c r="G18" s="172" t="inlineStr">
        <is>
          <t>No</t>
        </is>
      </c>
      <c r="H18" s="170">
        <f>IF(A18="","",IF(OR(NOT(ISNUMBER(C18)),C18=""),"No",IF(AND(HOUR(C18)&gt;=0,HOUR(C18)&lt;5),"Yes","No")))</f>
        <v/>
      </c>
      <c r="I18" s="183">
        <f>IF(OR(B18="",NOT(ISNUMBER(B18))),"",INT(B18))</f>
        <v/>
      </c>
    </row>
    <row r="19" ht="15" customHeight="1" s="122">
      <c r="A19" s="179" t="inlineStr">
        <is>
          <t>KAA 754A</t>
        </is>
      </c>
      <c r="B19" s="180" t="n">
        <v>46144.83179398148</v>
      </c>
      <c r="C19" s="180" t="n">
        <v>46144.84197916667</v>
      </c>
      <c r="D19" s="173" t="inlineStr">
        <is>
          <t>4.64 Km</t>
        </is>
      </c>
      <c r="E19" s="181" t="n">
        <v>20</v>
      </c>
      <c r="F19" s="182" t="n">
        <v>46</v>
      </c>
      <c r="G19" s="172" t="inlineStr">
        <is>
          <t>No</t>
        </is>
      </c>
      <c r="H19" s="170">
        <f>IF(A19="","",IF(OR(NOT(ISNUMBER(C19)),C19=""),"No",IF(AND(HOUR(C19)&gt;=0,HOUR(C19)&lt;5),"Yes","No")))</f>
        <v/>
      </c>
      <c r="I19" s="183">
        <f>IF(OR(B19="",NOT(ISNUMBER(B19))),"",INT(B19))</f>
        <v/>
      </c>
    </row>
    <row r="20" ht="15" customHeight="1" s="122">
      <c r="A20" s="179" t="inlineStr">
        <is>
          <t>KAA 754A</t>
        </is>
      </c>
      <c r="B20" s="180" t="n">
        <v>46144.85388888889</v>
      </c>
      <c r="C20" s="180" t="n">
        <v>46144.85806712963</v>
      </c>
      <c r="D20" s="173" t="inlineStr">
        <is>
          <t>1.39 Km</t>
        </is>
      </c>
      <c r="E20" s="181" t="n">
        <v>13</v>
      </c>
      <c r="F20" s="182" t="n">
        <v>27</v>
      </c>
      <c r="G20" s="172" t="inlineStr">
        <is>
          <t>No</t>
        </is>
      </c>
      <c r="H20" s="170">
        <f>IF(A20="","",IF(OR(NOT(ISNUMBER(C20)),C20=""),"No",IF(AND(HOUR(C20)&gt;=0,HOUR(C20)&lt;5),"Yes","No")))</f>
        <v/>
      </c>
      <c r="I20" s="183">
        <f>IF(OR(B20="",NOT(ISNUMBER(B20))),"",INT(B20))</f>
        <v/>
      </c>
    </row>
    <row r="21" ht="15" customHeight="1" s="122">
      <c r="A21" s="179" t="inlineStr">
        <is>
          <t>KAA 754A</t>
        </is>
      </c>
      <c r="B21" s="180" t="n">
        <v>46175.80746527778</v>
      </c>
      <c r="C21" s="180" t="n">
        <v>46175.80849537037</v>
      </c>
      <c r="D21" s="173" t="inlineStr">
        <is>
          <t>0.13 Km</t>
        </is>
      </c>
      <c r="E21" s="181" t="n">
        <v>10</v>
      </c>
      <c r="F21" s="182" t="n">
        <v>14</v>
      </c>
      <c r="G21" s="172" t="inlineStr">
        <is>
          <t>No</t>
        </is>
      </c>
      <c r="H21" s="170">
        <f>IF(A21="","",IF(OR(NOT(ISNUMBER(C21)),C21=""),"No",IF(AND(HOUR(C21)&gt;=0,HOUR(C21)&lt;5),"Yes","No")))</f>
        <v/>
      </c>
      <c r="I21" s="183">
        <f>IF(OR(B21="",NOT(ISNUMBER(B21))),"",INT(B21))</f>
        <v/>
      </c>
    </row>
    <row r="22" ht="15" customHeight="1" s="122">
      <c r="A22" s="179" t="inlineStr">
        <is>
          <t>KAA 754A</t>
        </is>
      </c>
      <c r="B22" s="180" t="n">
        <v>46175.90321759259</v>
      </c>
      <c r="C22" s="180" t="n">
        <v>46175.91310185185</v>
      </c>
      <c r="D22" s="173" t="inlineStr">
        <is>
          <t>1.69 Km</t>
        </is>
      </c>
      <c r="E22" s="181" t="n">
        <v>9</v>
      </c>
      <c r="F22" s="182" t="n">
        <v>21</v>
      </c>
      <c r="G22" s="172" t="inlineStr">
        <is>
          <t>No</t>
        </is>
      </c>
      <c r="H22" s="170">
        <f>IF(A22="","",IF(OR(NOT(ISNUMBER(C22)),C22=""),"No",IF(AND(HOUR(C22)&gt;=0,HOUR(C22)&lt;5),"Yes","No")))</f>
        <v/>
      </c>
      <c r="I22" s="183">
        <f>IF(OR(B22="",NOT(ISNUMBER(B22))),"",INT(B22))</f>
        <v/>
      </c>
    </row>
    <row r="23" ht="15" customHeight="1" s="122">
      <c r="A23" s="179" t="inlineStr">
        <is>
          <t>KAA 754A</t>
        </is>
      </c>
      <c r="B23" s="180" t="n">
        <v>46175.91329861111</v>
      </c>
      <c r="C23" s="180" t="n">
        <v>46175.91927083334</v>
      </c>
      <c r="D23" s="173" t="inlineStr">
        <is>
          <t>1.36 Km</t>
        </is>
      </c>
      <c r="E23" s="181" t="n">
        <v>10</v>
      </c>
      <c r="F23" s="182" t="n">
        <v>28</v>
      </c>
      <c r="G23" s="172" t="inlineStr">
        <is>
          <t>Yes</t>
        </is>
      </c>
      <c r="H23" s="170">
        <f>IF(A23="","",IF(OR(NOT(ISNUMBER(C23)),C23=""),"No",IF(AND(HOUR(C23)&gt;=0,HOUR(C23)&lt;5),"Yes","No")))</f>
        <v/>
      </c>
      <c r="I23" s="183">
        <f>IF(OR(B23="",NOT(ISNUMBER(B23))),"",INT(B23))</f>
        <v/>
      </c>
    </row>
    <row r="24" ht="15" customHeight="1" s="122">
      <c r="A24" s="179" t="inlineStr">
        <is>
          <t>KAA 754A</t>
        </is>
      </c>
      <c r="B24" s="180" t="n">
        <v>46175.92069444444</v>
      </c>
      <c r="C24" s="180" t="n">
        <v>46175.92185185185</v>
      </c>
      <c r="D24" s="173" t="inlineStr">
        <is>
          <t>0.16 Km</t>
        </is>
      </c>
      <c r="E24" s="181" t="n">
        <v>9</v>
      </c>
      <c r="F24" s="182" t="n">
        <v>14</v>
      </c>
      <c r="G24" s="172" t="inlineStr">
        <is>
          <t>Yes</t>
        </is>
      </c>
      <c r="H24" s="170">
        <f>IF(A24="","",IF(OR(NOT(ISNUMBER(C24)),C24=""),"No",IF(AND(HOUR(C24)&gt;=0,HOUR(C24)&lt;5),"Yes","No")))</f>
        <v/>
      </c>
      <c r="I24" s="183">
        <f>IF(OR(B24="",NOT(ISNUMBER(B24))),"",INT(B24))</f>
        <v/>
      </c>
    </row>
    <row r="25" ht="15" customHeight="1" s="122">
      <c r="A25" s="179" t="inlineStr">
        <is>
          <t>KAA 754A</t>
        </is>
      </c>
      <c r="B25" s="180" t="n">
        <v>46205.66549768519</v>
      </c>
      <c r="C25" s="180" t="n">
        <v>46205.67318287037</v>
      </c>
      <c r="D25" s="173" t="inlineStr">
        <is>
          <t>2.37 Km</t>
        </is>
      </c>
      <c r="E25" s="181" t="n">
        <v>13</v>
      </c>
      <c r="F25" s="182" t="n">
        <v>29</v>
      </c>
      <c r="G25" s="172" t="inlineStr">
        <is>
          <t>No</t>
        </is>
      </c>
      <c r="H25" s="170">
        <f>IF(A25="","",IF(OR(NOT(ISNUMBER(C25)),C25=""),"No",IF(AND(HOUR(C25)&gt;=0,HOUR(C25)&lt;5),"Yes","No")))</f>
        <v/>
      </c>
      <c r="I25" s="183">
        <f>IF(OR(B25="",NOT(ISNUMBER(B25))),"",INT(B25))</f>
        <v/>
      </c>
    </row>
    <row r="26" ht="15" customHeight="1" s="122">
      <c r="A26" s="179" t="inlineStr">
        <is>
          <t>KAA 754A</t>
        </is>
      </c>
      <c r="B26" s="180" t="n">
        <v>46205.67457175926</v>
      </c>
      <c r="C26" s="180" t="n">
        <v>46205.67466435185</v>
      </c>
      <c r="D26" s="173" t="inlineStr">
        <is>
          <t>0.01 Km</t>
        </is>
      </c>
      <c r="E26" s="181" t="n">
        <v>7</v>
      </c>
      <c r="F26" s="182" t="n">
        <v>7</v>
      </c>
      <c r="G26" s="172" t="inlineStr">
        <is>
          <t>No</t>
        </is>
      </c>
      <c r="H26" s="170">
        <f>IF(A26="","",IF(OR(NOT(ISNUMBER(C26)),C26=""),"No",IF(AND(HOUR(C26)&gt;=0,HOUR(C26)&lt;5),"Yes","No")))</f>
        <v/>
      </c>
      <c r="I26" s="183">
        <f>IF(OR(B26="",NOT(ISNUMBER(B26))),"",INT(B26))</f>
        <v/>
      </c>
    </row>
    <row r="27" ht="15" customHeight="1" s="122">
      <c r="A27" s="179" t="inlineStr">
        <is>
          <t>KAA 754A</t>
        </is>
      </c>
      <c r="B27" s="180" t="n">
        <v>46205.82084490741</v>
      </c>
      <c r="C27" s="180" t="n">
        <v>46205.8242824074</v>
      </c>
      <c r="D27" s="173" t="inlineStr">
        <is>
          <t>0.61 Km</t>
        </is>
      </c>
      <c r="E27" s="181" t="n">
        <v>9</v>
      </c>
      <c r="F27" s="182" t="n">
        <v>22</v>
      </c>
      <c r="G27" s="172" t="inlineStr">
        <is>
          <t>No</t>
        </is>
      </c>
      <c r="H27" s="170">
        <f>IF(A27="","",IF(OR(NOT(ISNUMBER(C27)),C27=""),"No",IF(AND(HOUR(C27)&gt;=0,HOUR(C27)&lt;5),"Yes","No")))</f>
        <v/>
      </c>
      <c r="I27" s="183">
        <f>IF(OR(B27="",NOT(ISNUMBER(B27))),"",INT(B27))</f>
        <v/>
      </c>
    </row>
    <row r="28" ht="15" customHeight="1" s="122">
      <c r="A28" s="179" t="inlineStr">
        <is>
          <t>KAA 754A</t>
        </is>
      </c>
      <c r="B28" s="180" t="n">
        <v>46205.83096064815</v>
      </c>
      <c r="C28" s="180" t="n">
        <v>46205.83486111111</v>
      </c>
      <c r="D28" s="173" t="inlineStr">
        <is>
          <t>0.72 Km</t>
        </is>
      </c>
      <c r="E28" s="181" t="n">
        <v>9</v>
      </c>
      <c r="F28" s="182" t="n">
        <v>19</v>
      </c>
      <c r="G28" s="172" t="inlineStr">
        <is>
          <t>No</t>
        </is>
      </c>
      <c r="H28" s="170">
        <f>IF(A28="","",IF(OR(NOT(ISNUMBER(C28)),C28=""),"No",IF(AND(HOUR(C28)&gt;=0,HOUR(C28)&lt;5),"Yes","No")))</f>
        <v/>
      </c>
      <c r="I28" s="183">
        <f>IF(OR(B28="",NOT(ISNUMBER(B28))),"",INT(B28))</f>
        <v/>
      </c>
    </row>
    <row r="29" ht="15" customHeight="1" s="122">
      <c r="A29" s="179" t="inlineStr">
        <is>
          <t>KAA 754A</t>
        </is>
      </c>
      <c r="B29" s="180" t="n">
        <v>46205.83554398148</v>
      </c>
      <c r="C29" s="180" t="n">
        <v>46205.8496875</v>
      </c>
      <c r="D29" s="173" t="inlineStr">
        <is>
          <t>2.31 Km</t>
        </is>
      </c>
      <c r="E29" s="181" t="n">
        <v>10</v>
      </c>
      <c r="F29" s="182" t="n">
        <v>24</v>
      </c>
      <c r="G29" s="172" t="inlineStr">
        <is>
          <t>No</t>
        </is>
      </c>
      <c r="H29" s="170">
        <f>IF(A29="","",IF(OR(NOT(ISNUMBER(C29)),C29=""),"No",IF(AND(HOUR(C29)&gt;=0,HOUR(C29)&lt;5),"Yes","No")))</f>
        <v/>
      </c>
      <c r="I29" s="183">
        <f>IF(OR(B29="",NOT(ISNUMBER(B29))),"",INT(B29))</f>
        <v/>
      </c>
    </row>
    <row r="30" ht="15" customHeight="1" s="122">
      <c r="A30" s="179" t="inlineStr">
        <is>
          <t>KAA 754A</t>
        </is>
      </c>
      <c r="B30" s="180" t="n">
        <v>46236.60243055555</v>
      </c>
      <c r="C30" s="180" t="n">
        <v>46236.61009259259</v>
      </c>
      <c r="D30" s="173" t="inlineStr">
        <is>
          <t>1.77 Km</t>
        </is>
      </c>
      <c r="E30" s="181" t="n">
        <v>11</v>
      </c>
      <c r="F30" s="182" t="n">
        <v>27</v>
      </c>
      <c r="G30" s="172" t="inlineStr">
        <is>
          <t>No</t>
        </is>
      </c>
      <c r="H30" s="170">
        <f>IF(A30="","",IF(OR(NOT(ISNUMBER(C30)),C30=""),"No",IF(AND(HOUR(C30)&gt;=0,HOUR(C30)&lt;5),"Yes","No")))</f>
        <v/>
      </c>
      <c r="I30" s="183">
        <f>IF(OR(B30="",NOT(ISNUMBER(B30))),"",INT(B30))</f>
        <v/>
      </c>
    </row>
    <row r="31" ht="15" customHeight="1" s="122">
      <c r="A31" s="179" t="inlineStr">
        <is>
          <t>KAA 754A</t>
        </is>
      </c>
      <c r="B31" s="180" t="n">
        <v>46236.61274305556</v>
      </c>
      <c r="C31" s="180" t="n">
        <v>46236.62637731482</v>
      </c>
      <c r="D31" s="173" t="inlineStr">
        <is>
          <t>11.16 Km</t>
        </is>
      </c>
      <c r="E31" s="181" t="n">
        <v>36</v>
      </c>
      <c r="F31" s="182" t="n">
        <v>90</v>
      </c>
      <c r="G31" s="172" t="inlineStr">
        <is>
          <t>No</t>
        </is>
      </c>
      <c r="H31" s="170">
        <f>IF(A31="","",IF(OR(NOT(ISNUMBER(C31)),C31=""),"No",IF(AND(HOUR(C31)&gt;=0,HOUR(C31)&lt;5),"Yes","No")))</f>
        <v/>
      </c>
      <c r="I31" s="183">
        <f>IF(OR(B31="",NOT(ISNUMBER(B31))),"",INT(B31))</f>
        <v/>
      </c>
    </row>
    <row r="32" ht="15" customHeight="1" s="122">
      <c r="A32" s="179" t="inlineStr">
        <is>
          <t>KAA 754A</t>
        </is>
      </c>
      <c r="B32" s="180" t="n">
        <v>46236.62940972222</v>
      </c>
      <c r="C32" s="180" t="n">
        <v>46236.6315625</v>
      </c>
      <c r="D32" s="173" t="inlineStr">
        <is>
          <t>0.24 Km</t>
        </is>
      </c>
      <c r="E32" s="181" t="n">
        <v>10</v>
      </c>
      <c r="F32" s="182" t="n">
        <v>15</v>
      </c>
      <c r="G32" s="172" t="inlineStr">
        <is>
          <t>No</t>
        </is>
      </c>
      <c r="H32" s="170">
        <f>IF(A32="","",IF(OR(NOT(ISNUMBER(C32)),C32=""),"No",IF(AND(HOUR(C32)&gt;=0,HOUR(C32)&lt;5),"Yes","No")))</f>
        <v/>
      </c>
      <c r="I32" s="183">
        <f>IF(OR(B32="",NOT(ISNUMBER(B32))),"",INT(B32))</f>
        <v/>
      </c>
    </row>
    <row r="33" ht="15" customHeight="1" s="122">
      <c r="A33" s="179" t="inlineStr">
        <is>
          <t>KAA 754A</t>
        </is>
      </c>
      <c r="B33" s="180" t="n">
        <v>46236.63335648148</v>
      </c>
      <c r="C33" s="180" t="n">
        <v>46236.67269675926</v>
      </c>
      <c r="D33" s="173" t="inlineStr">
        <is>
          <t>54.99 Km</t>
        </is>
      </c>
      <c r="E33" s="181" t="n">
        <v>59</v>
      </c>
      <c r="F33" s="182" t="n">
        <v>89</v>
      </c>
      <c r="G33" s="172" t="inlineStr">
        <is>
          <t>No</t>
        </is>
      </c>
      <c r="H33" s="170">
        <f>IF(A33="","",IF(OR(NOT(ISNUMBER(C33)),C33=""),"No",IF(AND(HOUR(C33)&gt;=0,HOUR(C33)&lt;5),"Yes","No")))</f>
        <v/>
      </c>
      <c r="I33" s="183">
        <f>IF(OR(B33="",NOT(ISNUMBER(B33))),"",INT(B33))</f>
        <v/>
      </c>
    </row>
    <row r="34" ht="15" customHeight="1" s="122">
      <c r="A34" s="179" t="inlineStr">
        <is>
          <t>KAA 754A</t>
        </is>
      </c>
      <c r="B34" s="180" t="n">
        <v>46236.67515046296</v>
      </c>
      <c r="C34" s="180" t="n">
        <v>46236.74631944444</v>
      </c>
      <c r="D34" s="173" t="inlineStr">
        <is>
          <t>80.52 Km</t>
        </is>
      </c>
      <c r="E34" s="181" t="n">
        <v>53</v>
      </c>
      <c r="F34" s="182" t="n">
        <v>97</v>
      </c>
      <c r="G34" s="172" t="inlineStr">
        <is>
          <t>No</t>
        </is>
      </c>
      <c r="H34" s="170">
        <f>IF(A34="","",IF(OR(NOT(ISNUMBER(C34)),C34=""),"No",IF(AND(HOUR(C34)&gt;=0,HOUR(C34)&lt;5),"Yes","No")))</f>
        <v/>
      </c>
      <c r="I34" s="183">
        <f>IF(OR(B34="",NOT(ISNUMBER(B34))),"",INT(B34))</f>
        <v/>
      </c>
    </row>
    <row r="35" ht="15" customHeight="1" s="122">
      <c r="A35" s="179" t="inlineStr">
        <is>
          <t>KAA 754A</t>
        </is>
      </c>
      <c r="B35" s="180" t="n">
        <v>46236.76318287037</v>
      </c>
      <c r="C35" s="180" t="n">
        <v>46236.79439814815</v>
      </c>
      <c r="D35" s="173" t="inlineStr">
        <is>
          <t>32 Km</t>
        </is>
      </c>
      <c r="E35" s="181" t="n">
        <v>45</v>
      </c>
      <c r="F35" s="182" t="n">
        <v>83</v>
      </c>
      <c r="G35" s="172" t="inlineStr">
        <is>
          <t>No</t>
        </is>
      </c>
      <c r="H35" s="170">
        <f>IF(A35="","",IF(OR(NOT(ISNUMBER(C35)),C35=""),"No",IF(AND(HOUR(C35)&gt;=0,HOUR(C35)&lt;5),"Yes","No")))</f>
        <v/>
      </c>
      <c r="I35" s="183">
        <f>IF(OR(B35="",NOT(ISNUMBER(B35))),"",INT(B35))</f>
        <v/>
      </c>
    </row>
    <row r="36" ht="15" customHeight="1" s="122">
      <c r="A36" s="179" t="inlineStr">
        <is>
          <t>KAA 754A</t>
        </is>
      </c>
      <c r="B36" s="180" t="n">
        <v>46236.81157407408</v>
      </c>
      <c r="C36" s="180" t="n">
        <v>46236.81550925926</v>
      </c>
      <c r="D36" s="173" t="inlineStr">
        <is>
          <t>1.36 Km</t>
        </is>
      </c>
      <c r="E36" s="181" t="n">
        <v>13</v>
      </c>
      <c r="F36" s="182" t="n">
        <v>33</v>
      </c>
      <c r="G36" s="172" t="inlineStr">
        <is>
          <t>No</t>
        </is>
      </c>
      <c r="H36" s="170">
        <f>IF(A36="","",IF(OR(NOT(ISNUMBER(C36)),C36=""),"No",IF(AND(HOUR(C36)&gt;=0,HOUR(C36)&lt;5),"Yes","No")))</f>
        <v/>
      </c>
      <c r="I36" s="183">
        <f>IF(OR(B36="",NOT(ISNUMBER(B36))),"",INT(B36))</f>
        <v/>
      </c>
    </row>
    <row r="37" ht="15" customHeight="1" s="122">
      <c r="A37" s="179" t="inlineStr">
        <is>
          <t>KAA 754A</t>
        </is>
      </c>
      <c r="B37" s="180" t="n">
        <v>46236.8178125</v>
      </c>
      <c r="C37" s="180" t="n">
        <v>46236.83629629629</v>
      </c>
      <c r="D37" s="173" t="inlineStr">
        <is>
          <t>10.83 Km</t>
        </is>
      </c>
      <c r="E37" s="181" t="n">
        <v>23</v>
      </c>
      <c r="F37" s="182" t="n">
        <v>69</v>
      </c>
      <c r="G37" s="172" t="inlineStr">
        <is>
          <t>No</t>
        </is>
      </c>
      <c r="H37" s="170">
        <f>IF(A37="","",IF(OR(NOT(ISNUMBER(C37)),C37=""),"No",IF(AND(HOUR(C37)&gt;=0,HOUR(C37)&lt;5),"Yes","No")))</f>
        <v/>
      </c>
      <c r="I37" s="183">
        <f>IF(OR(B37="",NOT(ISNUMBER(B37))),"",INT(B37))</f>
        <v/>
      </c>
    </row>
    <row r="38" ht="15" customHeight="1" s="122">
      <c r="A38" s="179" t="inlineStr">
        <is>
          <t>KAA 754A</t>
        </is>
      </c>
      <c r="B38" s="180" t="n">
        <v>46267.03071759259</v>
      </c>
      <c r="C38" s="180" t="n">
        <v>46267.03084490741</v>
      </c>
      <c r="D38" s="173" t="inlineStr">
        <is>
          <t>0.01 Km</t>
        </is>
      </c>
      <c r="E38" s="181" t="n">
        <v>7</v>
      </c>
      <c r="F38" s="182" t="n">
        <v>7</v>
      </c>
      <c r="G38" s="172" t="inlineStr">
        <is>
          <t>No</t>
        </is>
      </c>
      <c r="H38" s="170">
        <f>IF(A38="","",IF(OR(NOT(ISNUMBER(C38)),C38=""),"No",IF(AND(HOUR(C38)&gt;=0,HOUR(C38)&lt;5),"Yes","No")))</f>
        <v/>
      </c>
      <c r="I38" s="183">
        <f>IF(OR(B38="",NOT(ISNUMBER(B38))),"",INT(B38))</f>
        <v/>
      </c>
    </row>
    <row r="39" ht="15" customHeight="1" s="122">
      <c r="A39" s="179" t="inlineStr">
        <is>
          <t>KAA 754A</t>
        </is>
      </c>
      <c r="B39" s="180" t="n">
        <v>46297.38185185185</v>
      </c>
      <c r="C39" s="180" t="n">
        <v>46297.39540509259</v>
      </c>
      <c r="D39" s="173" t="inlineStr">
        <is>
          <t>9.84 Km</t>
        </is>
      </c>
      <c r="E39" s="181" t="n">
        <v>32</v>
      </c>
      <c r="F39" s="182" t="n">
        <v>86</v>
      </c>
      <c r="G39" s="172" t="inlineStr">
        <is>
          <t>No</t>
        </is>
      </c>
      <c r="H39" s="170">
        <f>IF(A39="","",IF(OR(NOT(ISNUMBER(C39)),C39=""),"No",IF(AND(HOUR(C39)&gt;=0,HOUR(C39)&lt;5),"Yes","No")))</f>
        <v/>
      </c>
      <c r="I39" s="183">
        <f>IF(OR(B39="",NOT(ISNUMBER(B39))),"",INT(B39))</f>
        <v/>
      </c>
    </row>
    <row r="40" ht="15" customHeight="1" s="122">
      <c r="A40" s="179" t="inlineStr">
        <is>
          <t>KAA 754A</t>
        </is>
      </c>
      <c r="B40" s="180" t="n">
        <v>46297.39611111111</v>
      </c>
      <c r="C40" s="180" t="n">
        <v>46297.40954861111</v>
      </c>
      <c r="D40" s="173" t="inlineStr">
        <is>
          <t>6.53 Km</t>
        </is>
      </c>
      <c r="E40" s="181" t="n">
        <v>19</v>
      </c>
      <c r="F40" s="182" t="n">
        <v>53</v>
      </c>
      <c r="G40" s="172" t="inlineStr">
        <is>
          <t>No</t>
        </is>
      </c>
      <c r="H40" s="170">
        <f>IF(A40="","",IF(OR(NOT(ISNUMBER(C40)),C40=""),"No",IF(AND(HOUR(C40)&gt;=0,HOUR(C40)&lt;5),"Yes","No")))</f>
        <v/>
      </c>
      <c r="I40" s="183">
        <f>IF(OR(B40="",NOT(ISNUMBER(B40))),"",INT(B40))</f>
        <v/>
      </c>
    </row>
    <row r="41" ht="15" customHeight="1" s="122">
      <c r="A41" s="179" t="inlineStr">
        <is>
          <t>KAA 754A</t>
        </is>
      </c>
      <c r="B41" s="180" t="n">
        <v>46297.41774305556</v>
      </c>
      <c r="C41" s="180" t="n">
        <v>46297.42763888889</v>
      </c>
      <c r="D41" s="173" t="inlineStr">
        <is>
          <t>4.82 Km</t>
        </is>
      </c>
      <c r="E41" s="181" t="n">
        <v>19</v>
      </c>
      <c r="F41" s="182" t="n">
        <v>43</v>
      </c>
      <c r="G41" s="172" t="inlineStr">
        <is>
          <t>No</t>
        </is>
      </c>
      <c r="H41" s="170">
        <f>IF(A41="","",IF(OR(NOT(ISNUMBER(C41)),C41=""),"No",IF(AND(HOUR(C41)&gt;=0,HOUR(C41)&lt;5),"Yes","No")))</f>
        <v/>
      </c>
      <c r="I41" s="183">
        <f>IF(OR(B41="",NOT(ISNUMBER(B41))),"",INT(B41))</f>
        <v/>
      </c>
    </row>
    <row r="42" ht="15" customHeight="1" s="122">
      <c r="A42" s="179" t="inlineStr">
        <is>
          <t>KAA 754A</t>
        </is>
      </c>
      <c r="B42" s="180" t="n">
        <v>46297.43121527778</v>
      </c>
      <c r="C42" s="180" t="n">
        <v>46297.43195601852</v>
      </c>
      <c r="D42" s="173" t="inlineStr">
        <is>
          <t>0.02 Km</t>
        </is>
      </c>
      <c r="E42" s="181" t="n">
        <v>9</v>
      </c>
      <c r="F42" s="182" t="n">
        <v>11</v>
      </c>
      <c r="G42" s="172" t="inlineStr">
        <is>
          <t>No</t>
        </is>
      </c>
      <c r="H42" s="170">
        <f>IF(A42="","",IF(OR(NOT(ISNUMBER(C42)),C42=""),"No",IF(AND(HOUR(C42)&gt;=0,HOUR(C42)&lt;5),"Yes","No")))</f>
        <v/>
      </c>
      <c r="I42" s="183">
        <f>IF(OR(B42="",NOT(ISNUMBER(B42))),"",INT(B42))</f>
        <v/>
      </c>
    </row>
    <row r="43" ht="15" customHeight="1" s="122">
      <c r="A43" s="179" t="inlineStr">
        <is>
          <t>KAA 754A</t>
        </is>
      </c>
      <c r="B43" s="180" t="n">
        <v>46297.4336574074</v>
      </c>
      <c r="C43" s="180" t="n">
        <v>46297.43659722222</v>
      </c>
      <c r="D43" s="173" t="inlineStr">
        <is>
          <t>1.62 Km</t>
        </is>
      </c>
      <c r="E43" s="181" t="n">
        <v>20</v>
      </c>
      <c r="F43" s="182" t="n">
        <v>58</v>
      </c>
      <c r="G43" s="172" t="inlineStr">
        <is>
          <t>No</t>
        </is>
      </c>
      <c r="H43" s="170">
        <f>IF(A43="","",IF(OR(NOT(ISNUMBER(C43)),C43=""),"No",IF(AND(HOUR(C43)&gt;=0,HOUR(C43)&lt;5),"Yes","No")))</f>
        <v/>
      </c>
      <c r="I43" s="183">
        <f>IF(OR(B43="",NOT(ISNUMBER(B43))),"",INT(B43))</f>
        <v/>
      </c>
    </row>
    <row r="44" ht="15" customHeight="1" s="122">
      <c r="A44" s="179" t="inlineStr">
        <is>
          <t>KAA 754A</t>
        </is>
      </c>
      <c r="B44" s="180" t="n">
        <v>46297.4553125</v>
      </c>
      <c r="C44" s="180" t="n">
        <v>46297.46533564815</v>
      </c>
      <c r="D44" s="173" t="inlineStr">
        <is>
          <t>4.13 Km</t>
        </is>
      </c>
      <c r="E44" s="181" t="n">
        <v>19</v>
      </c>
      <c r="F44" s="182" t="n">
        <v>50</v>
      </c>
      <c r="G44" s="172" t="inlineStr">
        <is>
          <t>No</t>
        </is>
      </c>
      <c r="H44" s="170">
        <f>IF(A44="","",IF(OR(NOT(ISNUMBER(C44)),C44=""),"No",IF(AND(HOUR(C44)&gt;=0,HOUR(C44)&lt;5),"Yes","No")))</f>
        <v/>
      </c>
      <c r="I44" s="183">
        <f>IF(OR(B44="",NOT(ISNUMBER(B44))),"",INT(B44))</f>
        <v/>
      </c>
    </row>
    <row r="45" ht="15" customHeight="1" s="122">
      <c r="A45" s="179" t="inlineStr">
        <is>
          <t>KAA 754A</t>
        </is>
      </c>
      <c r="B45" s="180" t="n">
        <v>46297.46815972222</v>
      </c>
      <c r="C45" s="180" t="n">
        <v>46297.48309027778</v>
      </c>
      <c r="D45" s="173" t="inlineStr">
        <is>
          <t>13.76 Km</t>
        </is>
      </c>
      <c r="E45" s="181" t="n">
        <v>37</v>
      </c>
      <c r="F45" s="182" t="n">
        <v>83</v>
      </c>
      <c r="G45" s="172" t="inlineStr">
        <is>
          <t>No</t>
        </is>
      </c>
      <c r="H45" s="170">
        <f>IF(A45="","",IF(OR(NOT(ISNUMBER(C45)),C45=""),"No",IF(AND(HOUR(C45)&gt;=0,HOUR(C45)&lt;5),"Yes","No")))</f>
        <v/>
      </c>
      <c r="I45" s="183">
        <f>IF(OR(B45="",NOT(ISNUMBER(B45))),"",INT(B45))</f>
        <v/>
      </c>
    </row>
    <row r="46" ht="15" customHeight="1" s="122">
      <c r="A46" s="179" t="inlineStr">
        <is>
          <t>KAA 754A</t>
        </is>
      </c>
      <c r="B46" s="180" t="n">
        <v>46297.50072916667</v>
      </c>
      <c r="C46" s="180" t="n">
        <v>46297.51175925926</v>
      </c>
      <c r="D46" s="173" t="inlineStr">
        <is>
          <t>10.22 Km</t>
        </is>
      </c>
      <c r="E46" s="181" t="n">
        <v>40</v>
      </c>
      <c r="F46" s="182" t="n">
        <v>60</v>
      </c>
      <c r="G46" s="172" t="inlineStr">
        <is>
          <t>No</t>
        </is>
      </c>
      <c r="H46" s="170">
        <f>IF(A46="","",IF(OR(NOT(ISNUMBER(C46)),C46=""),"No",IF(AND(HOUR(C46)&gt;=0,HOUR(C46)&lt;5),"Yes","No")))</f>
        <v/>
      </c>
      <c r="I46" s="183">
        <f>IF(OR(B46="",NOT(ISNUMBER(B46))),"",INT(B46))</f>
        <v/>
      </c>
    </row>
    <row r="47" ht="15" customHeight="1" s="122">
      <c r="A47" s="179" t="inlineStr">
        <is>
          <t>KAA 754A</t>
        </is>
      </c>
      <c r="B47" s="180" t="n">
        <v>46297.51337962963</v>
      </c>
      <c r="C47" s="180" t="n">
        <v>46297.52016203704</v>
      </c>
      <c r="D47" s="173" t="inlineStr">
        <is>
          <t>8.42 Km</t>
        </is>
      </c>
      <c r="E47" s="181" t="n">
        <v>51</v>
      </c>
      <c r="F47" s="182" t="n">
        <v>76</v>
      </c>
      <c r="G47" s="172" t="inlineStr">
        <is>
          <t>No</t>
        </is>
      </c>
      <c r="H47" s="170">
        <f>IF(A47="","",IF(OR(NOT(ISNUMBER(C47)),C47=""),"No",IF(AND(HOUR(C47)&gt;=0,HOUR(C47)&lt;5),"Yes","No")))</f>
        <v/>
      </c>
      <c r="I47" s="183">
        <f>IF(OR(B47="",NOT(ISNUMBER(B47))),"",INT(B47))</f>
        <v/>
      </c>
    </row>
    <row r="48" ht="15" customHeight="1" s="122">
      <c r="A48" s="179" t="inlineStr">
        <is>
          <t>KAA 754A</t>
        </is>
      </c>
      <c r="B48" s="180" t="n">
        <v>46297.52236111111</v>
      </c>
      <c r="C48" s="180" t="n">
        <v>46297.53347222223</v>
      </c>
      <c r="D48" s="173" t="inlineStr">
        <is>
          <t>13.69 Km</t>
        </is>
      </c>
      <c r="E48" s="181" t="n">
        <v>53</v>
      </c>
      <c r="F48" s="182" t="n">
        <v>85</v>
      </c>
      <c r="G48" s="172" t="inlineStr">
        <is>
          <t>No</t>
        </is>
      </c>
      <c r="H48" s="170">
        <f>IF(A48="","",IF(OR(NOT(ISNUMBER(C48)),C48=""),"No",IF(AND(HOUR(C48)&gt;=0,HOUR(C48)&lt;5),"Yes","No")))</f>
        <v/>
      </c>
      <c r="I48" s="183">
        <f>IF(OR(B48="",NOT(ISNUMBER(B48))),"",INT(B48))</f>
        <v/>
      </c>
    </row>
    <row r="49" ht="15" customHeight="1" s="122">
      <c r="A49" s="179" t="inlineStr">
        <is>
          <t>KAA 754A</t>
        </is>
      </c>
      <c r="B49" s="180" t="n">
        <v>46297.56912037037</v>
      </c>
      <c r="C49" s="180" t="n">
        <v>46297.5703587963</v>
      </c>
      <c r="D49" s="173" t="inlineStr">
        <is>
          <t>0.16 Km</t>
        </is>
      </c>
      <c r="E49" s="181" t="n">
        <v>10</v>
      </c>
      <c r="F49" s="182" t="n">
        <v>20</v>
      </c>
      <c r="G49" s="172" t="inlineStr">
        <is>
          <t>No</t>
        </is>
      </c>
      <c r="H49" s="170">
        <f>IF(A49="","",IF(OR(NOT(ISNUMBER(C49)),C49=""),"No",IF(AND(HOUR(C49)&gt;=0,HOUR(C49)&lt;5),"Yes","No")))</f>
        <v/>
      </c>
      <c r="I49" s="183">
        <f>IF(OR(B49="",NOT(ISNUMBER(B49))),"",INT(B49))</f>
        <v/>
      </c>
    </row>
    <row r="50" ht="15" customHeight="1" s="122">
      <c r="A50" s="179" t="inlineStr">
        <is>
          <t>KAA 754A</t>
        </is>
      </c>
      <c r="B50" s="180" t="n">
        <v>46297.57503472222</v>
      </c>
      <c r="C50" s="180" t="n">
        <v>46297.59489583333</v>
      </c>
      <c r="D50" s="173" t="inlineStr">
        <is>
          <t>22.64 Km</t>
        </is>
      </c>
      <c r="E50" s="181" t="n">
        <v>52</v>
      </c>
      <c r="F50" s="182" t="n">
        <v>86</v>
      </c>
      <c r="G50" s="172" t="inlineStr">
        <is>
          <t>No</t>
        </is>
      </c>
      <c r="H50" s="170">
        <f>IF(A50="","",IF(OR(NOT(ISNUMBER(C50)),C50=""),"No",IF(AND(HOUR(C50)&gt;=0,HOUR(C50)&lt;5),"Yes","No")))</f>
        <v/>
      </c>
      <c r="I50" s="183">
        <f>IF(OR(B50="",NOT(ISNUMBER(B50))),"",INT(B50))</f>
        <v/>
      </c>
    </row>
    <row r="51" ht="15" customHeight="1" s="122">
      <c r="A51" s="179" t="inlineStr">
        <is>
          <t>KAA 754A</t>
        </is>
      </c>
      <c r="B51" s="180" t="n">
        <v>46297.59924768518</v>
      </c>
      <c r="C51" s="180" t="n">
        <v>46297.6003125</v>
      </c>
      <c r="D51" s="173" t="inlineStr">
        <is>
          <t>0.14 Km</t>
        </is>
      </c>
      <c r="E51" s="181" t="n">
        <v>12</v>
      </c>
      <c r="F51" s="182" t="n">
        <v>27</v>
      </c>
      <c r="G51" s="172" t="inlineStr">
        <is>
          <t>No</t>
        </is>
      </c>
      <c r="H51" s="170">
        <f>IF(A51="","",IF(OR(NOT(ISNUMBER(C51)),C51=""),"No",IF(AND(HOUR(C51)&gt;=0,HOUR(C51)&lt;5),"Yes","No")))</f>
        <v/>
      </c>
      <c r="I51" s="183">
        <f>IF(OR(B51="",NOT(ISNUMBER(B51))),"",INT(B51))</f>
        <v/>
      </c>
    </row>
    <row r="52" ht="15" customHeight="1" s="122">
      <c r="A52" s="179" t="inlineStr">
        <is>
          <t>KAA 754A</t>
        </is>
      </c>
      <c r="B52" s="180" t="n">
        <v>46297.60268518519</v>
      </c>
      <c r="C52" s="180" t="n">
        <v>46297.61137731482</v>
      </c>
      <c r="D52" s="173" t="inlineStr">
        <is>
          <t>10.02 Km</t>
        </is>
      </c>
      <c r="E52" s="181" t="n">
        <v>49</v>
      </c>
      <c r="F52" s="182" t="n">
        <v>75</v>
      </c>
      <c r="G52" s="172" t="inlineStr">
        <is>
          <t>No</t>
        </is>
      </c>
      <c r="H52" s="170">
        <f>IF(A52="","",IF(OR(NOT(ISNUMBER(C52)),C52=""),"No",IF(AND(HOUR(C52)&gt;=0,HOUR(C52)&lt;5),"Yes","No")))</f>
        <v/>
      </c>
      <c r="I52" s="183">
        <f>IF(OR(B52="",NOT(ISNUMBER(B52))),"",INT(B52))</f>
        <v/>
      </c>
    </row>
    <row r="53" ht="15" customHeight="1" s="122">
      <c r="A53" s="179" t="inlineStr">
        <is>
          <t>KAA 754A</t>
        </is>
      </c>
      <c r="B53" s="180" t="n">
        <v>46297.63664351852</v>
      </c>
      <c r="C53" s="180" t="n">
        <v>46297.63783564815</v>
      </c>
      <c r="D53" s="173" t="inlineStr">
        <is>
          <t>0.44 Km</t>
        </is>
      </c>
      <c r="E53" s="181" t="n">
        <v>13</v>
      </c>
      <c r="F53" s="182" t="n">
        <v>37</v>
      </c>
      <c r="G53" s="172" t="inlineStr">
        <is>
          <t>No</t>
        </is>
      </c>
      <c r="H53" s="170">
        <f>IF(A53="","",IF(OR(NOT(ISNUMBER(C53)),C53=""),"No",IF(AND(HOUR(C53)&gt;=0,HOUR(C53)&lt;5),"Yes","No")))</f>
        <v/>
      </c>
      <c r="I53" s="183">
        <f>IF(OR(B53="",NOT(ISNUMBER(B53))),"",INT(B53))</f>
        <v/>
      </c>
    </row>
    <row r="54" ht="15" customHeight="1" s="122">
      <c r="A54" s="179" t="inlineStr">
        <is>
          <t>KAA 754A</t>
        </is>
      </c>
      <c r="B54" s="180" t="n">
        <v>46297.73331018518</v>
      </c>
      <c r="C54" s="180" t="n">
        <v>46297.75736111111</v>
      </c>
      <c r="D54" s="173" t="inlineStr">
        <is>
          <t>19.52 Km</t>
        </is>
      </c>
      <c r="E54" s="181" t="n">
        <v>33</v>
      </c>
      <c r="F54" s="182" t="n">
        <v>88</v>
      </c>
      <c r="G54" s="172" t="inlineStr">
        <is>
          <t>No</t>
        </is>
      </c>
      <c r="H54" s="170">
        <f>IF(A54="","",IF(OR(NOT(ISNUMBER(C54)),C54=""),"No",IF(AND(HOUR(C54)&gt;=0,HOUR(C54)&lt;5),"Yes","No")))</f>
        <v/>
      </c>
      <c r="I54" s="183">
        <f>IF(OR(B54="",NOT(ISNUMBER(B54))),"",INT(B54))</f>
        <v/>
      </c>
    </row>
    <row r="55" ht="15" customHeight="1" s="122">
      <c r="A55" s="179" t="inlineStr">
        <is>
          <t>KAA 754A</t>
        </is>
      </c>
      <c r="B55" s="180" t="n">
        <v>46297.78395833333</v>
      </c>
      <c r="C55" s="180" t="n">
        <v>46297.78420138889</v>
      </c>
      <c r="D55" s="173" t="inlineStr">
        <is>
          <t>0.03 Km</t>
        </is>
      </c>
      <c r="E55" s="181" t="n">
        <v>8</v>
      </c>
      <c r="F55" s="182" t="n">
        <v>9</v>
      </c>
      <c r="G55" s="172" t="inlineStr">
        <is>
          <t>No</t>
        </is>
      </c>
      <c r="H55" s="170">
        <f>IF(A55="","",IF(OR(NOT(ISNUMBER(C55)),C55=""),"No",IF(AND(HOUR(C55)&gt;=0,HOUR(C55)&lt;5),"Yes","No")))</f>
        <v/>
      </c>
      <c r="I55" s="183">
        <f>IF(OR(B55="",NOT(ISNUMBER(B55))),"",INT(B55))</f>
        <v/>
      </c>
    </row>
    <row r="56" ht="15" customHeight="1" s="122">
      <c r="A56" s="179" t="inlineStr">
        <is>
          <t>KAA 754A</t>
        </is>
      </c>
      <c r="B56" s="180" t="n">
        <v>46328.3871412037</v>
      </c>
      <c r="C56" s="180" t="n">
        <v>46328.46078703704</v>
      </c>
      <c r="D56" s="173" t="inlineStr">
        <is>
          <t>97.79 Km</t>
        </is>
      </c>
      <c r="E56" s="181" t="n">
        <v>56</v>
      </c>
      <c r="F56" s="182" t="n">
        <v>96</v>
      </c>
      <c r="G56" s="172" t="inlineStr">
        <is>
          <t>No</t>
        </is>
      </c>
      <c r="H56" s="170">
        <f>IF(A56="","",IF(OR(NOT(ISNUMBER(C56)),C56=""),"No",IF(AND(HOUR(C56)&gt;=0,HOUR(C56)&lt;5),"Yes","No")))</f>
        <v/>
      </c>
      <c r="I56" s="183">
        <f>IF(OR(B56="",NOT(ISNUMBER(B56))),"",INT(B56))</f>
        <v/>
      </c>
    </row>
    <row r="57" ht="15" customHeight="1" s="122">
      <c r="A57" s="179" t="inlineStr">
        <is>
          <t>KAA 754A</t>
        </is>
      </c>
      <c r="B57" s="180" t="n">
        <v>46328.46797453704</v>
      </c>
      <c r="C57" s="180" t="n">
        <v>46328.51730324074</v>
      </c>
      <c r="D57" s="173" t="inlineStr">
        <is>
          <t>30.52 Km</t>
        </is>
      </c>
      <c r="E57" s="181" t="n">
        <v>26</v>
      </c>
      <c r="F57" s="182" t="n">
        <v>64</v>
      </c>
      <c r="G57" s="172" t="inlineStr">
        <is>
          <t>No</t>
        </is>
      </c>
      <c r="H57" s="170">
        <f>IF(A57="","",IF(OR(NOT(ISNUMBER(C57)),C57=""),"No",IF(AND(HOUR(C57)&gt;=0,HOUR(C57)&lt;5),"Yes","No")))</f>
        <v/>
      </c>
      <c r="I57" s="183">
        <f>IF(OR(B57="",NOT(ISNUMBER(B57))),"",INT(B57))</f>
        <v/>
      </c>
    </row>
    <row r="58" ht="15" customHeight="1" s="122">
      <c r="A58" s="179" t="inlineStr">
        <is>
          <t>KAA 754A</t>
        </is>
      </c>
      <c r="B58" s="180" t="n">
        <v>46328.54293981481</v>
      </c>
      <c r="C58" s="180" t="n">
        <v>46328.59694444444</v>
      </c>
      <c r="D58" s="173" t="inlineStr">
        <is>
          <t>31.11 Km</t>
        </is>
      </c>
      <c r="E58" s="181" t="n">
        <v>26</v>
      </c>
      <c r="F58" s="182" t="n">
        <v>61</v>
      </c>
      <c r="G58" s="172" t="inlineStr">
        <is>
          <t>No</t>
        </is>
      </c>
      <c r="H58" s="170">
        <f>IF(A58="","",IF(OR(NOT(ISNUMBER(C58)),C58=""),"No",IF(AND(HOUR(C58)&gt;=0,HOUR(C58)&lt;5),"Yes","No")))</f>
        <v/>
      </c>
      <c r="I58" s="183">
        <f>IF(OR(B58="",NOT(ISNUMBER(B58))),"",INT(B58))</f>
        <v/>
      </c>
    </row>
    <row r="59" ht="15" customHeight="1" s="122">
      <c r="A59" s="179" t="inlineStr">
        <is>
          <t>KAA 754A</t>
        </is>
      </c>
      <c r="B59" s="180" t="n">
        <v>46328.6625</v>
      </c>
      <c r="C59" s="180" t="n">
        <v>46328.73972222222</v>
      </c>
      <c r="D59" s="173" t="inlineStr">
        <is>
          <t>100.24 Km</t>
        </is>
      </c>
      <c r="E59" s="181" t="n">
        <v>57</v>
      </c>
      <c r="F59" s="182" t="n">
        <v>100</v>
      </c>
      <c r="G59" s="172" t="inlineStr">
        <is>
          <t>No</t>
        </is>
      </c>
      <c r="H59" s="170">
        <f>IF(A59="","",IF(OR(NOT(ISNUMBER(C59)),C59=""),"No",IF(AND(HOUR(C59)&gt;=0,HOUR(C59)&lt;5),"Yes","No")))</f>
        <v/>
      </c>
      <c r="I59" s="183">
        <f>IF(OR(B59="",NOT(ISNUMBER(B59))),"",INT(B59))</f>
        <v/>
      </c>
    </row>
    <row r="60" ht="15" customHeight="1" s="122">
      <c r="A60" s="179" t="inlineStr">
        <is>
          <t>KAA 754A</t>
        </is>
      </c>
      <c r="B60" s="180" t="n">
        <v>46328.7637962963</v>
      </c>
      <c r="C60" s="180" t="n">
        <v>46328.77736111111</v>
      </c>
      <c r="D60" s="173" t="inlineStr">
        <is>
          <t>9.95 Km</t>
        </is>
      </c>
      <c r="E60" s="181" t="n">
        <v>28</v>
      </c>
      <c r="F60" s="182" t="n">
        <v>74</v>
      </c>
      <c r="G60" s="172" t="inlineStr">
        <is>
          <t>No</t>
        </is>
      </c>
      <c r="H60" s="170">
        <f>IF(A60="","",IF(OR(NOT(ISNUMBER(C60)),C60=""),"No",IF(AND(HOUR(C60)&gt;=0,HOUR(C60)&lt;5),"Yes","No")))</f>
        <v/>
      </c>
      <c r="I60" s="183">
        <f>IF(OR(B60="",NOT(ISNUMBER(B60))),"",INT(B60))</f>
        <v/>
      </c>
    </row>
    <row r="61" ht="15" customHeight="1" s="122">
      <c r="A61" s="179" t="inlineStr">
        <is>
          <t>KAA 754A</t>
        </is>
      </c>
      <c r="B61" s="180" t="n">
        <v>46358.31839120371</v>
      </c>
      <c r="C61" s="180" t="n">
        <v>46358.33086805556</v>
      </c>
      <c r="D61" s="173" t="inlineStr">
        <is>
          <t>11.21 Km</t>
        </is>
      </c>
      <c r="E61" s="181" t="n">
        <v>33</v>
      </c>
      <c r="F61" s="182" t="n">
        <v>91</v>
      </c>
      <c r="G61" s="172" t="inlineStr">
        <is>
          <t>No</t>
        </is>
      </c>
      <c r="H61" s="170">
        <f>IF(A61="","",IF(OR(NOT(ISNUMBER(C61)),C61=""),"No",IF(AND(HOUR(C61)&gt;=0,HOUR(C61)&lt;5),"Yes","No")))</f>
        <v/>
      </c>
      <c r="I61" s="183">
        <f>IF(OR(B61="",NOT(ISNUMBER(B61))),"",INT(B61))</f>
        <v/>
      </c>
    </row>
    <row r="62" ht="15" customHeight="1" s="122">
      <c r="A62" s="179" t="inlineStr">
        <is>
          <t>KAA 754A</t>
        </is>
      </c>
      <c r="B62" s="180" t="n">
        <v>46358.33506944445</v>
      </c>
      <c r="C62" s="180" t="n">
        <v>46358.38608796296</v>
      </c>
      <c r="D62" s="173" t="inlineStr">
        <is>
          <t>59.17 Km</t>
        </is>
      </c>
      <c r="E62" s="181" t="n">
        <v>50</v>
      </c>
      <c r="F62" s="182" t="n">
        <v>83</v>
      </c>
      <c r="G62" s="172" t="inlineStr">
        <is>
          <t>No</t>
        </is>
      </c>
      <c r="H62" s="170">
        <f>IF(A62="","",IF(OR(NOT(ISNUMBER(C62)),C62=""),"No",IF(AND(HOUR(C62)&gt;=0,HOUR(C62)&lt;5),"Yes","No")))</f>
        <v/>
      </c>
      <c r="I62" s="183">
        <f>IF(OR(B62="",NOT(ISNUMBER(B62))),"",INT(B62))</f>
        <v/>
      </c>
    </row>
    <row r="63" ht="15" customHeight="1" s="122">
      <c r="A63" s="179" t="inlineStr">
        <is>
          <t>KAA 754A</t>
        </is>
      </c>
      <c r="B63" s="180" t="n">
        <v>46358.38899305555</v>
      </c>
      <c r="C63" s="180" t="n">
        <v>46358.39583333334</v>
      </c>
      <c r="D63" s="173" t="inlineStr">
        <is>
          <t>8.12 Km</t>
        </is>
      </c>
      <c r="E63" s="181" t="n">
        <v>51</v>
      </c>
      <c r="F63" s="182" t="n">
        <v>81</v>
      </c>
      <c r="G63" s="172" t="inlineStr">
        <is>
          <t>No</t>
        </is>
      </c>
      <c r="H63" s="170">
        <f>IF(A63="","",IF(OR(NOT(ISNUMBER(C63)),C63=""),"No",IF(AND(HOUR(C63)&gt;=0,HOUR(C63)&lt;5),"Yes","No")))</f>
        <v/>
      </c>
      <c r="I63" s="183">
        <f>IF(OR(B63="",NOT(ISNUMBER(B63))),"",INT(B63))</f>
        <v/>
      </c>
    </row>
    <row r="64" ht="15" customHeight="1" s="122">
      <c r="A64" s="179" t="inlineStr">
        <is>
          <t>KAA 754A</t>
        </is>
      </c>
      <c r="B64" s="180" t="n">
        <v>46358.41277777778</v>
      </c>
      <c r="C64" s="180" t="n">
        <v>46358.4338425926</v>
      </c>
      <c r="D64" s="173" t="inlineStr">
        <is>
          <t>33.66 Km</t>
        </is>
      </c>
      <c r="E64" s="181" t="n">
        <v>68</v>
      </c>
      <c r="F64" s="182" t="n">
        <v>91</v>
      </c>
      <c r="G64" s="172" t="inlineStr">
        <is>
          <t>No</t>
        </is>
      </c>
      <c r="H64" s="170">
        <f>IF(A64="","",IF(OR(NOT(ISNUMBER(C64)),C64=""),"No",IF(AND(HOUR(C64)&gt;=0,HOUR(C64)&lt;5),"Yes","No")))</f>
        <v/>
      </c>
      <c r="I64" s="183">
        <f>IF(OR(B64="",NOT(ISNUMBER(B64))),"",INT(B64))</f>
        <v/>
      </c>
    </row>
    <row r="65" ht="15" customHeight="1" s="122">
      <c r="A65" s="179" t="inlineStr">
        <is>
          <t>KAA 754A</t>
        </is>
      </c>
      <c r="B65" s="180" t="n">
        <v>46358.4347337963</v>
      </c>
      <c r="C65" s="180" t="n">
        <v>46358.43542824074</v>
      </c>
      <c r="D65" s="173" t="inlineStr">
        <is>
          <t>0 Km</t>
        </is>
      </c>
      <c r="E65" s="181" t="n">
        <v>8</v>
      </c>
      <c r="F65" s="182" t="n">
        <v>8</v>
      </c>
      <c r="G65" s="172" t="inlineStr">
        <is>
          <t>No</t>
        </is>
      </c>
      <c r="H65" s="170">
        <f>IF(A65="","",IF(OR(NOT(ISNUMBER(C65)),C65=""),"No",IF(AND(HOUR(C65)&gt;=0,HOUR(C65)&lt;5),"Yes","No")))</f>
        <v/>
      </c>
      <c r="I65" s="183">
        <f>IF(OR(B65="",NOT(ISNUMBER(B65))),"",INT(B65))</f>
        <v/>
      </c>
    </row>
    <row r="66" ht="15" customHeight="1" s="122">
      <c r="A66" s="179" t="inlineStr">
        <is>
          <t>KAA 754A</t>
        </is>
      </c>
      <c r="B66" s="180" t="n">
        <v>46358.56465277778</v>
      </c>
      <c r="C66" s="180" t="n">
        <v>46358.60983796296</v>
      </c>
      <c r="D66" s="173" t="inlineStr">
        <is>
          <t>74.23 Km</t>
        </is>
      </c>
      <c r="E66" s="181" t="n">
        <v>67</v>
      </c>
      <c r="F66" s="182" t="n">
        <v>98</v>
      </c>
      <c r="G66" s="172" t="inlineStr">
        <is>
          <t>No</t>
        </is>
      </c>
      <c r="H66" s="170">
        <f>IF(A66="","",IF(OR(NOT(ISNUMBER(C66)),C66=""),"No",IF(AND(HOUR(C66)&gt;=0,HOUR(C66)&lt;5),"Yes","No")))</f>
        <v/>
      </c>
      <c r="I66" s="183">
        <f>IF(OR(B66="",NOT(ISNUMBER(B66))),"",INT(B66))</f>
        <v/>
      </c>
    </row>
    <row r="67" ht="15" customHeight="1" s="122">
      <c r="A67" s="179" t="inlineStr">
        <is>
          <t>KAA 754A</t>
        </is>
      </c>
      <c r="B67" s="180" t="n">
        <v>46358.61274305556</v>
      </c>
      <c r="C67" s="180" t="n">
        <v>46358.64032407408</v>
      </c>
      <c r="D67" s="173" t="inlineStr">
        <is>
          <t>37.63 Km</t>
        </is>
      </c>
      <c r="E67" s="181" t="n">
        <v>56</v>
      </c>
      <c r="F67" s="182" t="n">
        <v>86</v>
      </c>
      <c r="G67" s="172" t="inlineStr">
        <is>
          <t>No</t>
        </is>
      </c>
      <c r="H67" s="170">
        <f>IF(A67="","",IF(OR(NOT(ISNUMBER(C67)),C67=""),"No",IF(AND(HOUR(C67)&gt;=0,HOUR(C67)&lt;5),"Yes","No")))</f>
        <v/>
      </c>
      <c r="I67" s="183">
        <f>IF(OR(B67="",NOT(ISNUMBER(B67))),"",INT(B67))</f>
        <v/>
      </c>
    </row>
    <row r="68" ht="15" customHeight="1" s="122">
      <c r="A68" s="179" t="inlineStr">
        <is>
          <t>KAA 754A</t>
        </is>
      </c>
      <c r="B68" s="180" t="n">
        <v>46358.66344907408</v>
      </c>
      <c r="C68" s="180" t="n">
        <v>46358.66471064815</v>
      </c>
      <c r="D68" s="173" t="inlineStr">
        <is>
          <t>0.32 Km</t>
        </is>
      </c>
      <c r="E68" s="181" t="n">
        <v>10</v>
      </c>
      <c r="F68" s="182" t="n">
        <v>23</v>
      </c>
      <c r="G68" s="172" t="inlineStr">
        <is>
          <t>No</t>
        </is>
      </c>
      <c r="H68" s="170">
        <f>IF(A68="","",IF(OR(NOT(ISNUMBER(C68)),C68=""),"No",IF(AND(HOUR(C68)&gt;=0,HOUR(C68)&lt;5),"Yes","No")))</f>
        <v/>
      </c>
      <c r="I68" s="183">
        <f>IF(OR(B68="",NOT(ISNUMBER(B68))),"",INT(B68))</f>
        <v/>
      </c>
    </row>
    <row r="69" ht="15" customHeight="1" s="122">
      <c r="A69" s="179" t="inlineStr">
        <is>
          <t>KAA 754A</t>
        </is>
      </c>
      <c r="B69" s="180" t="n">
        <v>46358.71427083333</v>
      </c>
      <c r="C69" s="180" t="n">
        <v>46358.71545138889</v>
      </c>
      <c r="D69" s="173" t="inlineStr">
        <is>
          <t>0.21 Km</t>
        </is>
      </c>
      <c r="E69" s="181" t="n">
        <v>11</v>
      </c>
      <c r="F69" s="182" t="n">
        <v>18</v>
      </c>
      <c r="G69" s="172" t="inlineStr">
        <is>
          <t>No</t>
        </is>
      </c>
      <c r="H69" s="170">
        <f>IF(A69="","",IF(OR(NOT(ISNUMBER(C69)),C69=""),"No",IF(AND(HOUR(C69)&gt;=0,HOUR(C69)&lt;5),"Yes","No")))</f>
        <v/>
      </c>
      <c r="I69" s="183">
        <f>IF(OR(B69="",NOT(ISNUMBER(B69))),"",INT(B69))</f>
        <v/>
      </c>
    </row>
    <row r="70" ht="15" customHeight="1" s="122">
      <c r="A70" s="179" t="inlineStr">
        <is>
          <t>KAA 754A</t>
        </is>
      </c>
      <c r="B70" s="180" t="n">
        <v>46358.73092592593</v>
      </c>
      <c r="C70" s="180" t="n">
        <v>46358.73179398148</v>
      </c>
      <c r="D70" s="173" t="inlineStr">
        <is>
          <t>0.03 Km</t>
        </is>
      </c>
      <c r="E70" s="181" t="n">
        <v>6</v>
      </c>
      <c r="F70" s="182" t="n">
        <v>7</v>
      </c>
      <c r="G70" s="172" t="inlineStr">
        <is>
          <t>No</t>
        </is>
      </c>
      <c r="H70" s="170">
        <f>IF(A70="","",IF(OR(NOT(ISNUMBER(C70)),C70=""),"No",IF(AND(HOUR(C70)&gt;=0,HOUR(C70)&lt;5),"Yes","No")))</f>
        <v/>
      </c>
      <c r="I70" s="183">
        <f>IF(OR(B70="",NOT(ISNUMBER(B70))),"",INT(B70))</f>
        <v/>
      </c>
    </row>
    <row r="71" ht="15" customHeight="1" s="122">
      <c r="A71" s="179" t="inlineStr">
        <is>
          <t>KAA 754A</t>
        </is>
      </c>
      <c r="B71" s="180" t="n">
        <v>46358.75503472222</v>
      </c>
      <c r="C71" s="180" t="n">
        <v>46358.75606481481</v>
      </c>
      <c r="D71" s="173" t="inlineStr">
        <is>
          <t>0.07 Km</t>
        </is>
      </c>
      <c r="E71" s="181" t="n">
        <v>8</v>
      </c>
      <c r="F71" s="182" t="n">
        <v>11</v>
      </c>
      <c r="G71" s="172" t="inlineStr">
        <is>
          <t>No</t>
        </is>
      </c>
      <c r="H71" s="170">
        <f>IF(A71="","",IF(OR(NOT(ISNUMBER(C71)),C71=""),"No",IF(AND(HOUR(C71)&gt;=0,HOUR(C71)&lt;5),"Yes","No")))</f>
        <v/>
      </c>
      <c r="I71" s="183">
        <f>IF(OR(B71="",NOT(ISNUMBER(B71))),"",INT(B71))</f>
        <v/>
      </c>
    </row>
    <row r="72" ht="15" customHeight="1" s="122">
      <c r="A72" s="179" t="inlineStr">
        <is>
          <t>KAA 754A</t>
        </is>
      </c>
      <c r="B72" s="172" t="inlineStr">
        <is>
          <t>13-02-2026 09:21:00</t>
        </is>
      </c>
      <c r="C72" s="172" t="inlineStr">
        <is>
          <t>13-02-2026 09:21:58</t>
        </is>
      </c>
      <c r="D72" s="173" t="inlineStr">
        <is>
          <t>0.05 Km</t>
        </is>
      </c>
      <c r="E72" s="181" t="n">
        <v>7</v>
      </c>
      <c r="F72" s="182" t="n">
        <v>7</v>
      </c>
      <c r="G72" s="172" t="inlineStr">
        <is>
          <t>No</t>
        </is>
      </c>
      <c r="H72" s="170">
        <f>IF(A72="","",IF(OR(NOT(ISNUMBER(C72)),C72=""),"No",IF(AND(HOUR(C72)&gt;=0,HOUR(C72)&lt;5),"Yes","No")))</f>
        <v/>
      </c>
      <c r="I72" s="183">
        <f>IF(OR(B72="",NOT(ISNUMBER(B72))),"",INT(B72))</f>
        <v/>
      </c>
    </row>
    <row r="73" ht="15" customHeight="1" s="122">
      <c r="A73" s="179" t="inlineStr">
        <is>
          <t>KAA 754A</t>
        </is>
      </c>
      <c r="B73" s="172" t="inlineStr">
        <is>
          <t>13-02-2026 09:38:33</t>
        </is>
      </c>
      <c r="C73" s="172" t="inlineStr">
        <is>
          <t>13-02-2026 09:40:44</t>
        </is>
      </c>
      <c r="D73" s="173" t="inlineStr">
        <is>
          <t>0.33 Km</t>
        </is>
      </c>
      <c r="E73" s="181" t="n">
        <v>12</v>
      </c>
      <c r="F73" s="182" t="n">
        <v>23</v>
      </c>
      <c r="G73" s="172" t="inlineStr">
        <is>
          <t>No</t>
        </is>
      </c>
      <c r="H73" s="170">
        <f>IF(A73="","",IF(OR(NOT(ISNUMBER(C73)),C73=""),"No",IF(AND(HOUR(C73)&gt;=0,HOUR(C73)&lt;5),"Yes","No")))</f>
        <v/>
      </c>
      <c r="I73" s="183">
        <f>IF(OR(B73="",NOT(ISNUMBER(B73))),"",INT(B73))</f>
        <v/>
      </c>
    </row>
    <row r="74" ht="15" customHeight="1" s="122">
      <c r="A74" s="179" t="inlineStr">
        <is>
          <t>KAA 754A</t>
        </is>
      </c>
      <c r="B74" s="172" t="inlineStr">
        <is>
          <t>13-02-2026 09:44:54</t>
        </is>
      </c>
      <c r="C74" s="172" t="inlineStr">
        <is>
          <t>13-02-2026 09:47:04</t>
        </is>
      </c>
      <c r="D74" s="173" t="inlineStr">
        <is>
          <t>0.39 Km</t>
        </is>
      </c>
      <c r="E74" s="181" t="n">
        <v>12</v>
      </c>
      <c r="F74" s="182" t="n">
        <v>28</v>
      </c>
      <c r="G74" s="172" t="inlineStr">
        <is>
          <t>No</t>
        </is>
      </c>
      <c r="H74" s="170">
        <f>IF(A74="","",IF(OR(NOT(ISNUMBER(C74)),C74=""),"No",IF(AND(HOUR(C74)&gt;=0,HOUR(C74)&lt;5),"Yes","No")))</f>
        <v/>
      </c>
      <c r="I74" s="183">
        <f>IF(OR(B74="",NOT(ISNUMBER(B74))),"",INT(B74))</f>
        <v/>
      </c>
    </row>
    <row r="75" ht="15" customHeight="1" s="122">
      <c r="A75" s="179" t="inlineStr">
        <is>
          <t>KAA 754A</t>
        </is>
      </c>
      <c r="B75" s="172" t="inlineStr">
        <is>
          <t>13-02-2026 10:20:37</t>
        </is>
      </c>
      <c r="C75" s="172" t="inlineStr">
        <is>
          <t>13-02-2026 10:22:20</t>
        </is>
      </c>
      <c r="D75" s="173" t="inlineStr">
        <is>
          <t>0.4 Km</t>
        </is>
      </c>
      <c r="E75" s="181" t="n">
        <v>15</v>
      </c>
      <c r="F75" s="182" t="n">
        <v>30</v>
      </c>
      <c r="G75" s="172" t="inlineStr">
        <is>
          <t>No</t>
        </is>
      </c>
      <c r="H75" s="170">
        <f>IF(A75="","",IF(OR(NOT(ISNUMBER(C75)),C75=""),"No",IF(AND(HOUR(C75)&gt;=0,HOUR(C75)&lt;5),"Yes","No")))</f>
        <v/>
      </c>
      <c r="I75" s="183">
        <f>IF(OR(B75="",NOT(ISNUMBER(B75))),"",INT(B75))</f>
        <v/>
      </c>
    </row>
    <row r="76" ht="15" customHeight="1" s="122">
      <c r="A76" s="179" t="inlineStr">
        <is>
          <t>KAA 754A</t>
        </is>
      </c>
      <c r="B76" s="172" t="inlineStr">
        <is>
          <t>13-02-2026 12:52:48</t>
        </is>
      </c>
      <c r="C76" s="172" t="inlineStr">
        <is>
          <t>13-02-2026 12:55:17</t>
        </is>
      </c>
      <c r="D76" s="173" t="inlineStr">
        <is>
          <t>0.32 Km</t>
        </is>
      </c>
      <c r="E76" s="181" t="n">
        <v>15</v>
      </c>
      <c r="F76" s="182" t="n">
        <v>23</v>
      </c>
      <c r="G76" s="172" t="inlineStr">
        <is>
          <t>No</t>
        </is>
      </c>
      <c r="H76" s="170">
        <f>IF(A76="","",IF(OR(NOT(ISNUMBER(C76)),C76=""),"No",IF(AND(HOUR(C76)&gt;=0,HOUR(C76)&lt;5),"Yes","No")))</f>
        <v/>
      </c>
      <c r="I76" s="183">
        <f>IF(OR(B76="",NOT(ISNUMBER(B76))),"",INT(B76))</f>
        <v/>
      </c>
    </row>
    <row r="77" ht="15" customHeight="1" s="122">
      <c r="A77" s="179" t="inlineStr">
        <is>
          <t>KAA 754A</t>
        </is>
      </c>
      <c r="B77" s="172" t="inlineStr">
        <is>
          <t>13-02-2026 12:59:21</t>
        </is>
      </c>
      <c r="C77" s="172" t="inlineStr">
        <is>
          <t>13-02-2026 13:30:38</t>
        </is>
      </c>
      <c r="D77" s="173" t="inlineStr">
        <is>
          <t>35.59 Km</t>
        </is>
      </c>
      <c r="E77" s="181" t="n">
        <v>68</v>
      </c>
      <c r="F77" s="182" t="n">
        <v>90</v>
      </c>
      <c r="G77" s="172" t="inlineStr">
        <is>
          <t>No</t>
        </is>
      </c>
      <c r="H77" s="170">
        <f>IF(A77="","",IF(OR(NOT(ISNUMBER(C77)),C77=""),"No",IF(AND(HOUR(C77)&gt;=0,HOUR(C77)&lt;5),"Yes","No")))</f>
        <v/>
      </c>
      <c r="I77" s="183">
        <f>IF(OR(B77="",NOT(ISNUMBER(B77))),"",INT(B77))</f>
        <v/>
      </c>
    </row>
    <row r="78" ht="15" customHeight="1" s="122">
      <c r="A78" s="179" t="inlineStr">
        <is>
          <t>KAA 754A</t>
        </is>
      </c>
      <c r="B78" s="172" t="inlineStr">
        <is>
          <t>13-02-2026 14:14:18</t>
        </is>
      </c>
      <c r="C78" s="172" t="inlineStr">
        <is>
          <t>13-02-2026 14:16:07</t>
        </is>
      </c>
      <c r="D78" s="173" t="inlineStr">
        <is>
          <t>0.55 Km</t>
        </is>
      </c>
      <c r="E78" s="181" t="n">
        <v>18</v>
      </c>
      <c r="F78" s="182" t="n">
        <v>41</v>
      </c>
      <c r="G78" s="172" t="inlineStr">
        <is>
          <t>No</t>
        </is>
      </c>
      <c r="H78" s="170">
        <f>IF(A78="","",IF(OR(NOT(ISNUMBER(C78)),C78=""),"No",IF(AND(HOUR(C78)&gt;=0,HOUR(C78)&lt;5),"Yes","No")))</f>
        <v/>
      </c>
      <c r="I78" s="183">
        <f>IF(OR(B78="",NOT(ISNUMBER(B78))),"",INT(B78))</f>
        <v/>
      </c>
    </row>
    <row r="79" ht="15" customHeight="1" s="122">
      <c r="A79" s="179" t="inlineStr">
        <is>
          <t>KAA 754A</t>
        </is>
      </c>
      <c r="B79" s="172" t="inlineStr">
        <is>
          <t>13-02-2026 14:20:55</t>
        </is>
      </c>
      <c r="C79" s="172" t="inlineStr">
        <is>
          <t>13-02-2026 15:26:29</t>
        </is>
      </c>
      <c r="D79" s="173" t="inlineStr">
        <is>
          <t>74.28 Km</t>
        </is>
      </c>
      <c r="E79" s="181" t="n">
        <v>68</v>
      </c>
      <c r="F79" s="182" t="n">
        <v>94</v>
      </c>
      <c r="G79" s="172" t="inlineStr">
        <is>
          <t>No</t>
        </is>
      </c>
      <c r="H79" s="170">
        <f>IF(A79="","",IF(OR(NOT(ISNUMBER(C79)),C79=""),"No",IF(AND(HOUR(C79)&gt;=0,HOUR(C79)&lt;5),"Yes","No")))</f>
        <v/>
      </c>
      <c r="I79" s="183">
        <f>IF(OR(B79="",NOT(ISNUMBER(B79))),"",INT(B79))</f>
        <v/>
      </c>
    </row>
    <row r="80" ht="15" customHeight="1" s="122">
      <c r="A80" s="179" t="inlineStr">
        <is>
          <t>KAA 754A</t>
        </is>
      </c>
      <c r="B80" s="172" t="inlineStr">
        <is>
          <t>13-02-2026 15:29:04</t>
        </is>
      </c>
      <c r="C80" s="172" t="inlineStr">
        <is>
          <t>13-02-2026 15:30:26</t>
        </is>
      </c>
      <c r="D80" s="173" t="inlineStr">
        <is>
          <t>0.14 Km</t>
        </is>
      </c>
      <c r="E80" s="181" t="n">
        <v>8</v>
      </c>
      <c r="F80" s="182" t="n">
        <v>12</v>
      </c>
      <c r="G80" s="172" t="inlineStr">
        <is>
          <t>No</t>
        </is>
      </c>
      <c r="H80" s="170">
        <f>IF(A80="","",IF(OR(NOT(ISNUMBER(C80)),C80=""),"No",IF(AND(HOUR(C80)&gt;=0,HOUR(C80)&lt;5),"Yes","No")))</f>
        <v/>
      </c>
      <c r="I80" s="183">
        <f>IF(OR(B80="",NOT(ISNUMBER(B80))),"",INT(B80))</f>
        <v/>
      </c>
    </row>
    <row r="81" ht="15" customHeight="1" s="122">
      <c r="A81" s="179" t="inlineStr">
        <is>
          <t>KAA 754A</t>
        </is>
      </c>
      <c r="B81" s="172" t="inlineStr">
        <is>
          <t>13-02-2026 15:40:46</t>
        </is>
      </c>
      <c r="C81" s="172" t="inlineStr">
        <is>
          <t>13-02-2026 15:45:50</t>
        </is>
      </c>
      <c r="D81" s="173" t="inlineStr">
        <is>
          <t>1.94 Km</t>
        </is>
      </c>
      <c r="E81" s="181" t="n">
        <v>22</v>
      </c>
      <c r="F81" s="182" t="n">
        <v>54</v>
      </c>
      <c r="G81" s="172" t="inlineStr">
        <is>
          <t>No</t>
        </is>
      </c>
      <c r="H81" s="170">
        <f>IF(A81="","",IF(OR(NOT(ISNUMBER(C81)),C81=""),"No",IF(AND(HOUR(C81)&gt;=0,HOUR(C81)&lt;5),"Yes","No")))</f>
        <v/>
      </c>
      <c r="I81" s="183">
        <f>IF(OR(B81="",NOT(ISNUMBER(B81))),"",INT(B81))</f>
        <v/>
      </c>
    </row>
    <row r="82" ht="15" customHeight="1" s="122">
      <c r="A82" s="179" t="inlineStr">
        <is>
          <t>KAA 754A</t>
        </is>
      </c>
      <c r="B82" s="172" t="inlineStr">
        <is>
          <t>13-02-2026 16:06:10</t>
        </is>
      </c>
      <c r="C82" s="172" t="inlineStr">
        <is>
          <t>13-02-2026 16:12:28</t>
        </is>
      </c>
      <c r="D82" s="173" t="inlineStr">
        <is>
          <t>1.9 Km</t>
        </is>
      </c>
      <c r="E82" s="181" t="n">
        <v>19</v>
      </c>
      <c r="F82" s="182" t="n">
        <v>48</v>
      </c>
      <c r="G82" s="172" t="inlineStr">
        <is>
          <t>No</t>
        </is>
      </c>
      <c r="H82" s="170">
        <f>IF(A82="","",IF(OR(NOT(ISNUMBER(C82)),C82=""),"No",IF(AND(HOUR(C82)&gt;=0,HOUR(C82)&lt;5),"Yes","No")))</f>
        <v/>
      </c>
      <c r="I82" s="183">
        <f>IF(OR(B82="",NOT(ISNUMBER(B82))),"",INT(B82))</f>
        <v/>
      </c>
    </row>
    <row r="83" ht="15" customHeight="1" s="122">
      <c r="A83" s="179" t="inlineStr">
        <is>
          <t>KAA 754A</t>
        </is>
      </c>
      <c r="B83" s="172" t="inlineStr">
        <is>
          <t>13-02-2026 16:16:46</t>
        </is>
      </c>
      <c r="C83" s="172" t="inlineStr">
        <is>
          <t>13-02-2026 16:31:32</t>
        </is>
      </c>
      <c r="D83" s="173" t="inlineStr">
        <is>
          <t>12.07 Km</t>
        </is>
      </c>
      <c r="E83" s="181" t="n">
        <v>57</v>
      </c>
      <c r="F83" s="182" t="n">
        <v>76</v>
      </c>
      <c r="G83" s="172" t="inlineStr">
        <is>
          <t>No</t>
        </is>
      </c>
      <c r="H83" s="170">
        <f>IF(A83="","",IF(OR(NOT(ISNUMBER(C83)),C83=""),"No",IF(AND(HOUR(C83)&gt;=0,HOUR(C83)&lt;5),"Yes","No")))</f>
        <v/>
      </c>
      <c r="I83" s="183">
        <f>IF(OR(B83="",NOT(ISNUMBER(B83))),"",INT(B83))</f>
        <v/>
      </c>
    </row>
    <row r="84" ht="15" customHeight="1" s="122">
      <c r="A84" s="179" t="inlineStr">
        <is>
          <t>KAA 754A</t>
        </is>
      </c>
      <c r="B84" s="172" t="inlineStr">
        <is>
          <t>13-02-2026 16:38:11</t>
        </is>
      </c>
      <c r="C84" s="172" t="inlineStr">
        <is>
          <t>13-02-2026 18:27:59</t>
        </is>
      </c>
      <c r="D84" s="173" t="inlineStr">
        <is>
          <t>87.93 Km</t>
        </is>
      </c>
      <c r="E84" s="181" t="n">
        <v>50</v>
      </c>
      <c r="F84" s="182" t="n">
        <v>87</v>
      </c>
      <c r="G84" s="172" t="inlineStr">
        <is>
          <t>No</t>
        </is>
      </c>
      <c r="H84" s="170">
        <f>IF(A84="","",IF(OR(NOT(ISNUMBER(C84)),C84=""),"No",IF(AND(HOUR(C84)&gt;=0,HOUR(C84)&lt;5),"Yes","No")))</f>
        <v/>
      </c>
      <c r="I84" s="183">
        <f>IF(OR(B84="",NOT(ISNUMBER(B84))),"",INT(B84))</f>
        <v/>
      </c>
    </row>
    <row r="85" ht="15" customHeight="1" s="122">
      <c r="A85" s="179" t="inlineStr">
        <is>
          <t>KAA 754A</t>
        </is>
      </c>
      <c r="B85" s="172" t="inlineStr">
        <is>
          <t>13-02-2026 18:32:43</t>
        </is>
      </c>
      <c r="C85" s="172" t="inlineStr">
        <is>
          <t>13-02-2026 18:49:02</t>
        </is>
      </c>
      <c r="D85" s="173" t="inlineStr">
        <is>
          <t>9.33 Km</t>
        </is>
      </c>
      <c r="E85" s="181" t="n">
        <v>33</v>
      </c>
      <c r="F85" s="182" t="n">
        <v>78</v>
      </c>
      <c r="G85" s="172" t="inlineStr">
        <is>
          <t>No</t>
        </is>
      </c>
      <c r="H85" s="170">
        <f>IF(A85="","",IF(OR(NOT(ISNUMBER(C85)),C85=""),"No",IF(AND(HOUR(C85)&gt;=0,HOUR(C85)&lt;5),"Yes","No")))</f>
        <v/>
      </c>
      <c r="I85" s="183">
        <f>IF(OR(B85="",NOT(ISNUMBER(B85))),"",INT(B85))</f>
        <v/>
      </c>
    </row>
    <row r="86" ht="15" customHeight="1" s="122">
      <c r="A86" s="179" t="inlineStr">
        <is>
          <t>KAA 754A</t>
        </is>
      </c>
      <c r="B86" s="172" t="inlineStr">
        <is>
          <t>13-02-2026 18:52:35</t>
        </is>
      </c>
      <c r="C86" s="172" t="inlineStr">
        <is>
          <t>13-02-2026 18:57:20</t>
        </is>
      </c>
      <c r="D86" s="173" t="inlineStr">
        <is>
          <t>1.15 Km</t>
        </is>
      </c>
      <c r="E86" s="181" t="n">
        <v>12</v>
      </c>
      <c r="F86" s="182" t="n">
        <v>24</v>
      </c>
      <c r="G86" s="172" t="inlineStr">
        <is>
          <t>No</t>
        </is>
      </c>
      <c r="H86" s="170">
        <f>IF(A86="","",IF(OR(NOT(ISNUMBER(C86)),C86=""),"No",IF(AND(HOUR(C86)&gt;=0,HOUR(C86)&lt;5),"Yes","No")))</f>
        <v/>
      </c>
      <c r="I86" s="183">
        <f>IF(OR(B86="",NOT(ISNUMBER(B86))),"",INT(B86))</f>
        <v/>
      </c>
    </row>
    <row r="87" ht="15" customHeight="1" s="122">
      <c r="A87" s="179" t="inlineStr">
        <is>
          <t>KAA 754A</t>
        </is>
      </c>
      <c r="B87" s="172" t="inlineStr">
        <is>
          <t>13-02-2026 19:03:09</t>
        </is>
      </c>
      <c r="C87" s="172" t="inlineStr">
        <is>
          <t>13-02-2026 19:04:10</t>
        </is>
      </c>
      <c r="D87" s="173" t="inlineStr">
        <is>
          <t>0.01 Km</t>
        </is>
      </c>
      <c r="E87" s="181" t="n">
        <v>6</v>
      </c>
      <c r="F87" s="182" t="n">
        <v>6</v>
      </c>
      <c r="G87" s="172" t="inlineStr">
        <is>
          <t>No</t>
        </is>
      </c>
      <c r="H87" s="170">
        <f>IF(A87="","",IF(OR(NOT(ISNUMBER(C87)),C87=""),"No",IF(AND(HOUR(C87)&gt;=0,HOUR(C87)&lt;5),"Yes","No")))</f>
        <v/>
      </c>
      <c r="I87" s="183">
        <f>IF(OR(B87="",NOT(ISNUMBER(B87))),"",INT(B87))</f>
        <v/>
      </c>
    </row>
    <row r="88" ht="15" customHeight="1" s="122">
      <c r="A88" s="179" t="inlineStr">
        <is>
          <t>KAA 754A</t>
        </is>
      </c>
      <c r="B88" s="172" t="inlineStr">
        <is>
          <t>14-02-2026 16:11:07</t>
        </is>
      </c>
      <c r="C88" s="172" t="inlineStr">
        <is>
          <t>14-02-2026 16:30:53</t>
        </is>
      </c>
      <c r="D88" s="173" t="inlineStr">
        <is>
          <t>11.31 Km</t>
        </is>
      </c>
      <c r="E88" s="181" t="n">
        <v>33</v>
      </c>
      <c r="F88" s="182" t="n">
        <v>84</v>
      </c>
      <c r="G88" s="172" t="inlineStr">
        <is>
          <t>No</t>
        </is>
      </c>
      <c r="H88" s="170">
        <f>IF(A88="","",IF(OR(NOT(ISNUMBER(C88)),C88=""),"No",IF(AND(HOUR(C88)&gt;=0,HOUR(C88)&lt;5),"Yes","No")))</f>
        <v/>
      </c>
      <c r="I88" s="183">
        <f>IF(OR(B88="",NOT(ISNUMBER(B88))),"",INT(B88))</f>
        <v/>
      </c>
    </row>
    <row r="89" ht="15" customHeight="1" s="122">
      <c r="A89" s="179" t="inlineStr">
        <is>
          <t>KAA 754A</t>
        </is>
      </c>
      <c r="B89" s="172" t="inlineStr">
        <is>
          <t>14-02-2026 16:32:19</t>
        </is>
      </c>
      <c r="C89" s="172" t="inlineStr">
        <is>
          <t>14-02-2026 16:44:11</t>
        </is>
      </c>
      <c r="D89" s="173" t="inlineStr">
        <is>
          <t>3.91 Km</t>
        </is>
      </c>
      <c r="E89" s="181" t="n">
        <v>20</v>
      </c>
      <c r="F89" s="182" t="n">
        <v>48</v>
      </c>
      <c r="G89" s="172" t="inlineStr">
        <is>
          <t>No</t>
        </is>
      </c>
      <c r="H89" s="170">
        <f>IF(A89="","",IF(OR(NOT(ISNUMBER(C89)),C89=""),"No",IF(AND(HOUR(C89)&gt;=0,HOUR(C89)&lt;5),"Yes","No")))</f>
        <v/>
      </c>
      <c r="I89" s="183">
        <f>IF(OR(B89="",NOT(ISNUMBER(B89))),"",INT(B89))</f>
        <v/>
      </c>
    </row>
    <row r="90" ht="15" customHeight="1" s="122">
      <c r="A90" s="179" t="inlineStr">
        <is>
          <t>KAA 754A</t>
        </is>
      </c>
      <c r="B90" s="172" t="inlineStr">
        <is>
          <t>14-02-2026 16:49:46</t>
        </is>
      </c>
      <c r="C90" s="172" t="inlineStr">
        <is>
          <t>14-02-2026 16:50:21</t>
        </is>
      </c>
      <c r="D90" s="173" t="inlineStr">
        <is>
          <t>0.03 Km</t>
        </is>
      </c>
      <c r="E90" s="181" t="n">
        <v>7</v>
      </c>
      <c r="F90" s="182" t="n">
        <v>10</v>
      </c>
      <c r="G90" s="172" t="inlineStr">
        <is>
          <t>No</t>
        </is>
      </c>
      <c r="H90" s="170">
        <f>IF(A90="","",IF(OR(NOT(ISNUMBER(C90)),C90=""),"No",IF(AND(HOUR(C90)&gt;=0,HOUR(C90)&lt;5),"Yes","No")))</f>
        <v/>
      </c>
      <c r="I90" s="183">
        <f>IF(OR(B90="",NOT(ISNUMBER(B90))),"",INT(B90))</f>
        <v/>
      </c>
    </row>
    <row r="91" ht="15" customHeight="1" s="122">
      <c r="A91" s="179" t="inlineStr">
        <is>
          <t>KAA 754A</t>
        </is>
      </c>
      <c r="B91" s="172" t="inlineStr">
        <is>
          <t>14-02-2026 17:05:04</t>
        </is>
      </c>
      <c r="C91" s="172" t="inlineStr">
        <is>
          <t>14-02-2026 17:05:17</t>
        </is>
      </c>
      <c r="D91" s="173" t="inlineStr">
        <is>
          <t>0.01 Km</t>
        </is>
      </c>
      <c r="E91" s="181" t="n">
        <v>9</v>
      </c>
      <c r="F91" s="182" t="n">
        <v>10</v>
      </c>
      <c r="G91" s="172" t="inlineStr">
        <is>
          <t>No</t>
        </is>
      </c>
      <c r="H91" s="170">
        <f>IF(A91="","",IF(OR(NOT(ISNUMBER(C91)),C91=""),"No",IF(AND(HOUR(C91)&gt;=0,HOUR(C91)&lt;5),"Yes","No")))</f>
        <v/>
      </c>
      <c r="I91" s="183">
        <f>IF(OR(B91="",NOT(ISNUMBER(B91))),"",INT(B91))</f>
        <v/>
      </c>
    </row>
    <row r="92" ht="15" customHeight="1" s="122">
      <c r="A92" s="179" t="inlineStr">
        <is>
          <t>KAA 754A</t>
        </is>
      </c>
      <c r="B92" s="172" t="inlineStr">
        <is>
          <t>14-02-2026 17:50:56</t>
        </is>
      </c>
      <c r="C92" s="172" t="inlineStr">
        <is>
          <t>14-02-2026 17:52:28</t>
        </is>
      </c>
      <c r="D92" s="173" t="inlineStr">
        <is>
          <t>0.48 Km</t>
        </is>
      </c>
      <c r="E92" s="181" t="n">
        <v>15</v>
      </c>
      <c r="F92" s="182" t="n">
        <v>41</v>
      </c>
      <c r="G92" s="172" t="inlineStr">
        <is>
          <t>No</t>
        </is>
      </c>
      <c r="H92" s="170">
        <f>IF(A92="","",IF(OR(NOT(ISNUMBER(C92)),C92=""),"No",IF(AND(HOUR(C92)&gt;=0,HOUR(C92)&lt;5),"Yes","No")))</f>
        <v/>
      </c>
      <c r="I92" s="183">
        <f>IF(OR(B92="",NOT(ISNUMBER(B92))),"",INT(B92))</f>
        <v/>
      </c>
    </row>
    <row r="93" ht="15" customHeight="1" s="122">
      <c r="A93" s="179" t="inlineStr">
        <is>
          <t>KAA 754A</t>
        </is>
      </c>
      <c r="B93" s="172" t="inlineStr">
        <is>
          <t>14-02-2026 17:58:01</t>
        </is>
      </c>
      <c r="C93" s="172" t="inlineStr">
        <is>
          <t>14-02-2026 18:03:08</t>
        </is>
      </c>
      <c r="D93" s="173" t="inlineStr">
        <is>
          <t>1.9 Km</t>
        </is>
      </c>
      <c r="E93" s="181" t="n">
        <v>20</v>
      </c>
      <c r="F93" s="182" t="n">
        <v>49</v>
      </c>
      <c r="G93" s="172" t="inlineStr">
        <is>
          <t>No</t>
        </is>
      </c>
      <c r="H93" s="170">
        <f>IF(A93="","",IF(OR(NOT(ISNUMBER(C93)),C93=""),"No",IF(AND(HOUR(C93)&gt;=0,HOUR(C93)&lt;5),"Yes","No")))</f>
        <v/>
      </c>
      <c r="I93" s="183">
        <f>IF(OR(B93="",NOT(ISNUMBER(B93))),"",INT(B93))</f>
        <v/>
      </c>
    </row>
    <row r="94" ht="15" customHeight="1" s="122">
      <c r="A94" s="179" t="inlineStr">
        <is>
          <t>KAA 754A</t>
        </is>
      </c>
      <c r="B94" s="172" t="inlineStr">
        <is>
          <t>14-02-2026 18:33:08</t>
        </is>
      </c>
      <c r="C94" s="172" t="inlineStr">
        <is>
          <t>14-02-2026 18:53:06</t>
        </is>
      </c>
      <c r="D94" s="173" t="inlineStr">
        <is>
          <t>4.03 Km</t>
        </is>
      </c>
      <c r="E94" s="181" t="n">
        <v>14</v>
      </c>
      <c r="F94" s="182" t="n">
        <v>52</v>
      </c>
      <c r="G94" s="172" t="inlineStr">
        <is>
          <t>No</t>
        </is>
      </c>
      <c r="H94" s="170">
        <f>IF(A94="","",IF(OR(NOT(ISNUMBER(C94)),C94=""),"No",IF(AND(HOUR(C94)&gt;=0,HOUR(C94)&lt;5),"Yes","No")))</f>
        <v/>
      </c>
      <c r="I94" s="183">
        <f>IF(OR(B94="",NOT(ISNUMBER(B94))),"",INT(B94))</f>
        <v/>
      </c>
    </row>
    <row r="95" ht="15" customHeight="1" s="122">
      <c r="A95" s="179" t="inlineStr">
        <is>
          <t>KAA 754A</t>
        </is>
      </c>
      <c r="B95" s="172" t="inlineStr">
        <is>
          <t>14-02-2026 18:57:45</t>
        </is>
      </c>
      <c r="C95" s="172" t="inlineStr">
        <is>
          <t>14-02-2026 19:03:49</t>
        </is>
      </c>
      <c r="D95" s="173" t="inlineStr">
        <is>
          <t>0.78 Km</t>
        </is>
      </c>
      <c r="E95" s="181" t="n">
        <v>10</v>
      </c>
      <c r="F95" s="182" t="n">
        <v>28</v>
      </c>
      <c r="G95" s="172" t="inlineStr">
        <is>
          <t>No</t>
        </is>
      </c>
      <c r="H95" s="170">
        <f>IF(A95="","",IF(OR(NOT(ISNUMBER(C95)),C95=""),"No",IF(AND(HOUR(C95)&gt;=0,HOUR(C95)&lt;5),"Yes","No")))</f>
        <v/>
      </c>
      <c r="I95" s="183">
        <f>IF(OR(B95="",NOT(ISNUMBER(B95))),"",INT(B95))</f>
        <v/>
      </c>
    </row>
    <row r="96" ht="15" customHeight="1" s="122">
      <c r="A96" s="179" t="inlineStr">
        <is>
          <t>KAA 754A</t>
        </is>
      </c>
      <c r="B96" s="172" t="inlineStr">
        <is>
          <t>14-02-2026 19:15:07</t>
        </is>
      </c>
      <c r="C96" s="172" t="inlineStr">
        <is>
          <t>14-02-2026 19:23:29</t>
        </is>
      </c>
      <c r="D96" s="173" t="inlineStr">
        <is>
          <t>1.79 Km</t>
        </is>
      </c>
      <c r="E96" s="181" t="n">
        <v>15</v>
      </c>
      <c r="F96" s="182" t="n">
        <v>27</v>
      </c>
      <c r="G96" s="172" t="inlineStr">
        <is>
          <t>No</t>
        </is>
      </c>
      <c r="H96" s="170">
        <f>IF(A96="","",IF(OR(NOT(ISNUMBER(C96)),C96=""),"No",IF(AND(HOUR(C96)&gt;=0,HOUR(C96)&lt;5),"Yes","No")))</f>
        <v/>
      </c>
      <c r="I96" s="183">
        <f>IF(OR(B96="",NOT(ISNUMBER(B96))),"",INT(B96))</f>
        <v/>
      </c>
    </row>
    <row r="97" ht="15" customHeight="1" s="122">
      <c r="A97" s="179" t="inlineStr">
        <is>
          <t>KAA 754A</t>
        </is>
      </c>
      <c r="B97" s="172" t="inlineStr">
        <is>
          <t>14-02-2026 20:22:20</t>
        </is>
      </c>
      <c r="C97" s="172" t="inlineStr">
        <is>
          <t>14-02-2026 20:52:07</t>
        </is>
      </c>
      <c r="D97" s="173" t="inlineStr">
        <is>
          <t>13.35 Km</t>
        </is>
      </c>
      <c r="E97" s="181" t="n">
        <v>25</v>
      </c>
      <c r="F97" s="182" t="n">
        <v>65</v>
      </c>
      <c r="G97" s="172" t="inlineStr">
        <is>
          <t>No</t>
        </is>
      </c>
      <c r="H97" s="170">
        <f>IF(A97="","",IF(OR(NOT(ISNUMBER(C97)),C97=""),"No",IF(AND(HOUR(C97)&gt;=0,HOUR(C97)&lt;5),"Yes","No")))</f>
        <v/>
      </c>
      <c r="I97" s="183">
        <f>IF(OR(B97="",NOT(ISNUMBER(B97))),"",INT(B97))</f>
        <v/>
      </c>
    </row>
    <row r="98" ht="15" customHeight="1" s="122">
      <c r="A98" s="179" t="inlineStr">
        <is>
          <t>KAA 754A</t>
        </is>
      </c>
      <c r="B98" s="172" t="inlineStr">
        <is>
          <t>15-02-2026 10:02:46</t>
        </is>
      </c>
      <c r="C98" s="172" t="inlineStr">
        <is>
          <t>15-02-2026 10:07:40</t>
        </is>
      </c>
      <c r="D98" s="173" t="inlineStr">
        <is>
          <t>1.14 Km</t>
        </is>
      </c>
      <c r="E98" s="181" t="n">
        <v>12</v>
      </c>
      <c r="F98" s="182" t="n">
        <v>28</v>
      </c>
      <c r="G98" s="172" t="inlineStr">
        <is>
          <t>No</t>
        </is>
      </c>
      <c r="H98" s="170">
        <f>IF(A98="","",IF(OR(NOT(ISNUMBER(C98)),C98=""),"No",IF(AND(HOUR(C98)&gt;=0,HOUR(C98)&lt;5),"Yes","No")))</f>
        <v/>
      </c>
      <c r="I98" s="183">
        <f>IF(OR(B98="",NOT(ISNUMBER(B98))),"",INT(B98))</f>
        <v/>
      </c>
    </row>
    <row r="99" ht="15" customHeight="1" s="122">
      <c r="A99" s="179" t="inlineStr">
        <is>
          <t>KAA 754A</t>
        </is>
      </c>
      <c r="B99" s="172" t="inlineStr">
        <is>
          <t>15-02-2026 12:45:27</t>
        </is>
      </c>
      <c r="C99" s="172" t="inlineStr">
        <is>
          <t>15-02-2026 12:48:33</t>
        </is>
      </c>
      <c r="D99" s="173" t="inlineStr">
        <is>
          <t>1.15 Km</t>
        </is>
      </c>
      <c r="E99" s="181" t="n">
        <v>21</v>
      </c>
      <c r="F99" s="182" t="n">
        <v>47</v>
      </c>
      <c r="G99" s="172" t="inlineStr">
        <is>
          <t>No</t>
        </is>
      </c>
      <c r="H99" s="170">
        <f>IF(A99="","",IF(OR(NOT(ISNUMBER(C99)),C99=""),"No",IF(AND(HOUR(C99)&gt;=0,HOUR(C99)&lt;5),"Yes","No")))</f>
        <v/>
      </c>
      <c r="I99" s="183">
        <f>IF(OR(B99="",NOT(ISNUMBER(B99))),"",INT(B99))</f>
        <v/>
      </c>
    </row>
    <row r="100" ht="15" customHeight="1" s="122">
      <c r="A100" s="179" t="inlineStr">
        <is>
          <t>KAA 754A</t>
        </is>
      </c>
      <c r="B100" s="172" t="inlineStr">
        <is>
          <t>15-02-2026 13:13:46</t>
        </is>
      </c>
      <c r="C100" s="172" t="inlineStr">
        <is>
          <t>15-02-2026 13:27:29</t>
        </is>
      </c>
      <c r="D100" s="173" t="inlineStr">
        <is>
          <t>4.44 Km</t>
        </is>
      </c>
      <c r="E100" s="181" t="n">
        <v>17</v>
      </c>
      <c r="F100" s="182" t="n">
        <v>41</v>
      </c>
      <c r="G100" s="172" t="inlineStr">
        <is>
          <t>No</t>
        </is>
      </c>
      <c r="H100" s="170">
        <f>IF(A100="","",IF(OR(NOT(ISNUMBER(C100)),C100=""),"No",IF(AND(HOUR(C100)&gt;=0,HOUR(C100)&lt;5),"Yes","No")))</f>
        <v/>
      </c>
      <c r="I100" s="183">
        <f>IF(OR(B100="",NOT(ISNUMBER(B100))),"",INT(B100))</f>
        <v/>
      </c>
    </row>
    <row r="101" ht="15" customHeight="1" s="122">
      <c r="A101" s="179" t="inlineStr">
        <is>
          <t>KAA 754A</t>
        </is>
      </c>
      <c r="B101" s="172" t="inlineStr">
        <is>
          <t>15-02-2026 13:41:53</t>
        </is>
      </c>
      <c r="C101" s="172" t="inlineStr">
        <is>
          <t>15-02-2026 13:42:54</t>
        </is>
      </c>
      <c r="D101" s="173" t="inlineStr">
        <is>
          <t>0.01 Km</t>
        </is>
      </c>
      <c r="E101" s="181" t="n">
        <v>6</v>
      </c>
      <c r="F101" s="182" t="n">
        <v>6</v>
      </c>
      <c r="G101" s="172" t="inlineStr">
        <is>
          <t>No</t>
        </is>
      </c>
      <c r="H101" s="170">
        <f>IF(A101="","",IF(OR(NOT(ISNUMBER(C101)),C101=""),"No",IF(AND(HOUR(C101)&gt;=0,HOUR(C101)&lt;5),"Yes","No")))</f>
        <v/>
      </c>
      <c r="I101" s="183">
        <f>IF(OR(B101="",NOT(ISNUMBER(B101))),"",INT(B101))</f>
        <v/>
      </c>
    </row>
    <row r="102" ht="15" customHeight="1" s="122">
      <c r="A102" s="179" t="inlineStr">
        <is>
          <t>KAA 754A</t>
        </is>
      </c>
      <c r="B102" s="172" t="inlineStr">
        <is>
          <t>15-02-2026 13:43:30</t>
        </is>
      </c>
      <c r="C102" s="172" t="inlineStr">
        <is>
          <t>15-02-2026 13:43:43</t>
        </is>
      </c>
      <c r="D102" s="173" t="inlineStr">
        <is>
          <t>0.01 Km</t>
        </is>
      </c>
      <c r="E102" s="181" t="n">
        <v>7</v>
      </c>
      <c r="F102" s="182" t="n">
        <v>7</v>
      </c>
      <c r="G102" s="172" t="inlineStr">
        <is>
          <t>No</t>
        </is>
      </c>
      <c r="H102" s="170">
        <f>IF(A102="","",IF(OR(NOT(ISNUMBER(C102)),C102=""),"No",IF(AND(HOUR(C102)&gt;=0,HOUR(C102)&lt;5),"Yes","No")))</f>
        <v/>
      </c>
      <c r="I102" s="183">
        <f>IF(OR(B102="",NOT(ISNUMBER(B102))),"",INT(B102))</f>
        <v/>
      </c>
    </row>
    <row r="103" ht="15" customHeight="1" s="122">
      <c r="A103" s="179" t="inlineStr">
        <is>
          <t>KAA 754A</t>
        </is>
      </c>
      <c r="B103" s="172" t="inlineStr">
        <is>
          <t>16-02-2026 09:45:30</t>
        </is>
      </c>
      <c r="C103" s="172" t="inlineStr">
        <is>
          <t>16-02-2026 09:45:39</t>
        </is>
      </c>
      <c r="D103" s="173" t="inlineStr">
        <is>
          <t>0.02 Km</t>
        </is>
      </c>
      <c r="E103" s="181" t="n">
        <v>8</v>
      </c>
      <c r="F103" s="182" t="n">
        <v>8</v>
      </c>
      <c r="G103" s="172" t="inlineStr">
        <is>
          <t>No</t>
        </is>
      </c>
      <c r="H103" s="170">
        <f>IF(A103="","",IF(OR(NOT(ISNUMBER(C103)),C103=""),"No",IF(AND(HOUR(C103)&gt;=0,HOUR(C103)&lt;5),"Yes","No")))</f>
        <v/>
      </c>
      <c r="I103" s="183">
        <f>IF(OR(B103="",NOT(ISNUMBER(B103))),"",INT(B103))</f>
        <v/>
      </c>
    </row>
    <row r="104" ht="15" customHeight="1" s="122">
      <c r="A104" s="179" t="inlineStr">
        <is>
          <t>KAA 754A</t>
        </is>
      </c>
      <c r="B104" s="172" t="inlineStr">
        <is>
          <t>16-02-2026 09:47:55</t>
        </is>
      </c>
      <c r="C104" s="172" t="inlineStr">
        <is>
          <t>16-02-2026 11:16:14</t>
        </is>
      </c>
      <c r="D104" s="173" t="inlineStr">
        <is>
          <t>75.23 Km</t>
        </is>
      </c>
      <c r="E104" s="181" t="n">
        <v>51</v>
      </c>
      <c r="F104" s="182" t="n">
        <v>95</v>
      </c>
      <c r="G104" s="172" t="inlineStr">
        <is>
          <t>No</t>
        </is>
      </c>
      <c r="H104" s="170">
        <f>IF(A104="","",IF(OR(NOT(ISNUMBER(C104)),C104=""),"No",IF(AND(HOUR(C104)&gt;=0,HOUR(C104)&lt;5),"Yes","No")))</f>
        <v/>
      </c>
      <c r="I104" s="183">
        <f>IF(OR(B104="",NOT(ISNUMBER(B104))),"",INT(B104))</f>
        <v/>
      </c>
    </row>
    <row r="105" ht="15" customHeight="1" s="122">
      <c r="A105" s="179" t="inlineStr">
        <is>
          <t>KAA 754A</t>
        </is>
      </c>
      <c r="B105" s="172" t="inlineStr">
        <is>
          <t>16-02-2026 11:24:52</t>
        </is>
      </c>
      <c r="C105" s="172" t="inlineStr">
        <is>
          <t>16-02-2026 12:21:22</t>
        </is>
      </c>
      <c r="D105" s="173" t="inlineStr">
        <is>
          <t>56.56 Km</t>
        </is>
      </c>
      <c r="E105" s="181" t="n">
        <v>68</v>
      </c>
      <c r="F105" s="182" t="n">
        <v>95</v>
      </c>
      <c r="G105" s="172" t="inlineStr">
        <is>
          <t>No</t>
        </is>
      </c>
      <c r="H105" s="170">
        <f>IF(A105="","",IF(OR(NOT(ISNUMBER(C105)),C105=""),"No",IF(AND(HOUR(C105)&gt;=0,HOUR(C105)&lt;5),"Yes","No")))</f>
        <v/>
      </c>
      <c r="I105" s="183">
        <f>IF(OR(B105="",NOT(ISNUMBER(B105))),"",INT(B105))</f>
        <v/>
      </c>
    </row>
    <row r="106" ht="15" customHeight="1" s="122">
      <c r="A106" s="179" t="inlineStr">
        <is>
          <t>KAA 754A</t>
        </is>
      </c>
      <c r="B106" s="172" t="inlineStr">
        <is>
          <t>16-02-2026 13:37:29</t>
        </is>
      </c>
      <c r="C106" s="172" t="inlineStr">
        <is>
          <t>16-02-2026 13:39:02</t>
        </is>
      </c>
      <c r="D106" s="173" t="inlineStr">
        <is>
          <t>0.16 Km</t>
        </is>
      </c>
      <c r="E106" s="181" t="n">
        <v>12</v>
      </c>
      <c r="F106" s="182" t="n">
        <v>18</v>
      </c>
      <c r="G106" s="172" t="inlineStr">
        <is>
          <t>No</t>
        </is>
      </c>
      <c r="H106" s="170">
        <f>IF(A106="","",IF(OR(NOT(ISNUMBER(C106)),C106=""),"No",IF(AND(HOUR(C106)&gt;=0,HOUR(C106)&lt;5),"Yes","No")))</f>
        <v/>
      </c>
      <c r="I106" s="183">
        <f>IF(OR(B106="",NOT(ISNUMBER(B106))),"",INT(B106))</f>
        <v/>
      </c>
    </row>
    <row r="107" ht="15" customHeight="1" s="122">
      <c r="A107" s="179" t="inlineStr">
        <is>
          <t>KAA 754A</t>
        </is>
      </c>
      <c r="B107" s="172" t="inlineStr">
        <is>
          <t>16-02-2026 14:54:44</t>
        </is>
      </c>
      <c r="C107" s="172" t="inlineStr">
        <is>
          <t>16-02-2026 14:57:31</t>
        </is>
      </c>
      <c r="D107" s="173" t="inlineStr">
        <is>
          <t>0.24 Km</t>
        </is>
      </c>
      <c r="E107" s="181" t="n">
        <v>10</v>
      </c>
      <c r="F107" s="182" t="n">
        <v>27</v>
      </c>
      <c r="G107" s="172" t="inlineStr">
        <is>
          <t>No</t>
        </is>
      </c>
      <c r="H107" s="170">
        <f>IF(A107="","",IF(OR(NOT(ISNUMBER(C107)),C107=""),"No",IF(AND(HOUR(C107)&gt;=0,HOUR(C107)&lt;5),"Yes","No")))</f>
        <v/>
      </c>
      <c r="I107" s="183">
        <f>IF(OR(B107="",NOT(ISNUMBER(B107))),"",INT(B107))</f>
        <v/>
      </c>
    </row>
    <row r="108" ht="15" customHeight="1" s="122">
      <c r="A108" s="179" t="inlineStr">
        <is>
          <t>KAA 754A</t>
        </is>
      </c>
      <c r="B108" s="172" t="inlineStr">
        <is>
          <t>16-02-2026 15:06:31</t>
        </is>
      </c>
      <c r="C108" s="172" t="inlineStr">
        <is>
          <t>16-02-2026 15:12:17</t>
        </is>
      </c>
      <c r="D108" s="173" t="inlineStr">
        <is>
          <t>1.04 Km</t>
        </is>
      </c>
      <c r="E108" s="181" t="n">
        <v>14</v>
      </c>
      <c r="F108" s="182" t="n">
        <v>31</v>
      </c>
      <c r="G108" s="172" t="inlineStr">
        <is>
          <t>No</t>
        </is>
      </c>
      <c r="H108" s="170">
        <f>IF(A108="","",IF(OR(NOT(ISNUMBER(C108)),C108=""),"No",IF(AND(HOUR(C108)&gt;=0,HOUR(C108)&lt;5),"Yes","No")))</f>
        <v/>
      </c>
      <c r="I108" s="183">
        <f>IF(OR(B108="",NOT(ISNUMBER(B108))),"",INT(B108))</f>
        <v/>
      </c>
    </row>
    <row r="109" ht="15" customHeight="1" s="122">
      <c r="A109" s="179" t="inlineStr">
        <is>
          <t>KAA 754A</t>
        </is>
      </c>
      <c r="B109" s="172" t="inlineStr">
        <is>
          <t>16-02-2026 15:22:28</t>
        </is>
      </c>
      <c r="C109" s="172" t="inlineStr">
        <is>
          <t>16-02-2026 15:27:43</t>
        </is>
      </c>
      <c r="D109" s="173" t="inlineStr">
        <is>
          <t>1.24 Km</t>
        </is>
      </c>
      <c r="E109" s="181" t="n">
        <v>14</v>
      </c>
      <c r="F109" s="182" t="n">
        <v>40</v>
      </c>
      <c r="G109" s="172" t="inlineStr">
        <is>
          <t>No</t>
        </is>
      </c>
      <c r="H109" s="170">
        <f>IF(A109="","",IF(OR(NOT(ISNUMBER(C109)),C109=""),"No",IF(AND(HOUR(C109)&gt;=0,HOUR(C109)&lt;5),"Yes","No")))</f>
        <v/>
      </c>
      <c r="I109" s="183">
        <f>IF(OR(B109="",NOT(ISNUMBER(B109))),"",INT(B109))</f>
        <v/>
      </c>
    </row>
    <row r="110" ht="15" customHeight="1" s="122">
      <c r="A110" s="179" t="inlineStr">
        <is>
          <t>KAA 754A</t>
        </is>
      </c>
      <c r="B110" s="172" t="inlineStr">
        <is>
          <t>16-02-2026 15:44:08</t>
        </is>
      </c>
      <c r="C110" s="172" t="inlineStr">
        <is>
          <t>16-02-2026 15:52:22</t>
        </is>
      </c>
      <c r="D110" s="173" t="inlineStr">
        <is>
          <t>2.09 Km</t>
        </is>
      </c>
      <c r="E110" s="181" t="n">
        <v>20</v>
      </c>
      <c r="F110" s="182" t="n">
        <v>60</v>
      </c>
      <c r="G110" s="172" t="inlineStr">
        <is>
          <t>No</t>
        </is>
      </c>
      <c r="H110" s="170">
        <f>IF(A110="","",IF(OR(NOT(ISNUMBER(C110)),C110=""),"No",IF(AND(HOUR(C110)&gt;=0,HOUR(C110)&lt;5),"Yes","No")))</f>
        <v/>
      </c>
      <c r="I110" s="183">
        <f>IF(OR(B110="",NOT(ISNUMBER(B110))),"",INT(B110))</f>
        <v/>
      </c>
    </row>
    <row r="111" ht="15" customHeight="1" s="122">
      <c r="A111" s="179" t="inlineStr">
        <is>
          <t>KAA 754A</t>
        </is>
      </c>
      <c r="B111" s="172" t="inlineStr">
        <is>
          <t>16-02-2026 16:38:27</t>
        </is>
      </c>
      <c r="C111" s="172" t="inlineStr">
        <is>
          <t>16-02-2026 16:48:32</t>
        </is>
      </c>
      <c r="D111" s="173" t="inlineStr">
        <is>
          <t>0.63 Km</t>
        </is>
      </c>
      <c r="E111" s="181" t="n">
        <v>9</v>
      </c>
      <c r="F111" s="182" t="n">
        <v>15</v>
      </c>
      <c r="G111" s="172" t="inlineStr">
        <is>
          <t>No</t>
        </is>
      </c>
      <c r="H111" s="170">
        <f>IF(A111="","",IF(OR(NOT(ISNUMBER(C111)),C111=""),"No",IF(AND(HOUR(C111)&gt;=0,HOUR(C111)&lt;5),"Yes","No")))</f>
        <v/>
      </c>
      <c r="I111" s="183">
        <f>IF(OR(B111="",NOT(ISNUMBER(B111))),"",INT(B111))</f>
        <v/>
      </c>
    </row>
    <row r="112" ht="15" customHeight="1" s="122">
      <c r="A112" s="179" t="inlineStr">
        <is>
          <t>KAA 754A</t>
        </is>
      </c>
      <c r="B112" s="172" t="inlineStr">
        <is>
          <t>16-02-2026 16:50:48</t>
        </is>
      </c>
      <c r="C112" s="172" t="inlineStr">
        <is>
          <t>16-02-2026 16:52:51</t>
        </is>
      </c>
      <c r="D112" s="173" t="inlineStr">
        <is>
          <t>0.15 Km</t>
        </is>
      </c>
      <c r="E112" s="181" t="n">
        <v>8</v>
      </c>
      <c r="F112" s="182" t="n">
        <v>16</v>
      </c>
      <c r="G112" s="172" t="inlineStr">
        <is>
          <t>No</t>
        </is>
      </c>
      <c r="H112" s="170">
        <f>IF(A112="","",IF(OR(NOT(ISNUMBER(C112)),C112=""),"No",IF(AND(HOUR(C112)&gt;=0,HOUR(C112)&lt;5),"Yes","No")))</f>
        <v/>
      </c>
      <c r="I112" s="183">
        <f>IF(OR(B112="",NOT(ISNUMBER(B112))),"",INT(B112))</f>
        <v/>
      </c>
    </row>
    <row r="113" ht="15" customHeight="1" s="122">
      <c r="A113" s="179" t="inlineStr">
        <is>
          <t>KAA 754A</t>
        </is>
      </c>
      <c r="B113" s="172" t="inlineStr">
        <is>
          <t>16-02-2026 16:56:44</t>
        </is>
      </c>
      <c r="C113" s="172" t="inlineStr">
        <is>
          <t>16-02-2026 17:15:19</t>
        </is>
      </c>
      <c r="D113" s="173" t="inlineStr">
        <is>
          <t>6.35 Km</t>
        </is>
      </c>
      <c r="E113" s="181" t="n">
        <v>22</v>
      </c>
      <c r="F113" s="182" t="n">
        <v>62</v>
      </c>
      <c r="G113" s="172" t="inlineStr">
        <is>
          <t>No</t>
        </is>
      </c>
      <c r="H113" s="170">
        <f>IF(A113="","",IF(OR(NOT(ISNUMBER(C113)),C113=""),"No",IF(AND(HOUR(C113)&gt;=0,HOUR(C113)&lt;5),"Yes","No")))</f>
        <v/>
      </c>
      <c r="I113" s="183">
        <f>IF(OR(B113="",NOT(ISNUMBER(B113))),"",INT(B113))</f>
        <v/>
      </c>
    </row>
    <row r="114" ht="15" customHeight="1" s="122">
      <c r="A114" s="179" t="inlineStr">
        <is>
          <t>KAA 754A</t>
        </is>
      </c>
      <c r="B114" s="172" t="inlineStr">
        <is>
          <t>16-02-2026 17:15:32</t>
        </is>
      </c>
      <c r="C114" s="172" t="inlineStr">
        <is>
          <t>16-02-2026 17:22:16</t>
        </is>
      </c>
      <c r="D114" s="173" t="inlineStr">
        <is>
          <t>0.69 Km</t>
        </is>
      </c>
      <c r="E114" s="181" t="n">
        <v>10</v>
      </c>
      <c r="F114" s="182" t="n">
        <v>18</v>
      </c>
      <c r="G114" s="172" t="inlineStr">
        <is>
          <t>No</t>
        </is>
      </c>
      <c r="H114" s="170">
        <f>IF(A114="","",IF(OR(NOT(ISNUMBER(C114)),C114=""),"No",IF(AND(HOUR(C114)&gt;=0,HOUR(C114)&lt;5),"Yes","No")))</f>
        <v/>
      </c>
      <c r="I114" s="183">
        <f>IF(OR(B114="",NOT(ISNUMBER(B114))),"",INT(B114))</f>
        <v/>
      </c>
    </row>
    <row r="115" ht="15" customHeight="1" s="122">
      <c r="A115" s="179" t="inlineStr">
        <is>
          <t>KAA 754A</t>
        </is>
      </c>
      <c r="B115" s="172" t="inlineStr">
        <is>
          <t>16-02-2026 17:48:19</t>
        </is>
      </c>
      <c r="C115" s="172" t="inlineStr">
        <is>
          <t>16-02-2026 18:00:08</t>
        </is>
      </c>
      <c r="D115" s="173" t="inlineStr">
        <is>
          <t>2.01 Km</t>
        </is>
      </c>
      <c r="E115" s="181" t="n">
        <v>13</v>
      </c>
      <c r="F115" s="182" t="n">
        <v>37</v>
      </c>
      <c r="G115" s="172" t="inlineStr">
        <is>
          <t>No</t>
        </is>
      </c>
      <c r="H115" s="170">
        <f>IF(A115="","",IF(OR(NOT(ISNUMBER(C115)),C115=""),"No",IF(AND(HOUR(C115)&gt;=0,HOUR(C115)&lt;5),"Yes","No")))</f>
        <v/>
      </c>
      <c r="I115" s="183">
        <f>IF(OR(B115="",NOT(ISNUMBER(B115))),"",INT(B115))</f>
        <v/>
      </c>
    </row>
    <row r="116" ht="15" customHeight="1" s="122">
      <c r="A116" s="179" t="inlineStr">
        <is>
          <t>KAA 754A</t>
        </is>
      </c>
      <c r="B116" s="172" t="inlineStr">
        <is>
          <t>16-02-2026 20:39:01</t>
        </is>
      </c>
      <c r="C116" s="172" t="inlineStr">
        <is>
          <t>16-02-2026 20:43:19</t>
        </is>
      </c>
      <c r="D116" s="173" t="inlineStr">
        <is>
          <t>0.46 Km</t>
        </is>
      </c>
      <c r="E116" s="181" t="n">
        <v>9</v>
      </c>
      <c r="F116" s="182" t="n">
        <v>20</v>
      </c>
      <c r="G116" s="172" t="inlineStr">
        <is>
          <t>No</t>
        </is>
      </c>
      <c r="H116" s="170">
        <f>IF(A116="","",IF(OR(NOT(ISNUMBER(C116)),C116=""),"No",IF(AND(HOUR(C116)&gt;=0,HOUR(C116)&lt;5),"Yes","No")))</f>
        <v/>
      </c>
      <c r="I116" s="183">
        <f>IF(OR(B116="",NOT(ISNUMBER(B116))),"",INT(B116))</f>
        <v/>
      </c>
    </row>
    <row r="117" ht="15" customHeight="1" s="122">
      <c r="A117" s="179" t="inlineStr">
        <is>
          <t>KAA 754A</t>
        </is>
      </c>
      <c r="B117" s="172" t="inlineStr">
        <is>
          <t>17-02-2026 09:19:58</t>
        </is>
      </c>
      <c r="C117" s="172" t="inlineStr">
        <is>
          <t>17-02-2026 09:20:40</t>
        </is>
      </c>
      <c r="D117" s="173" t="inlineStr">
        <is>
          <t>0.03 Km</t>
        </is>
      </c>
      <c r="E117" s="181" t="n">
        <v>8</v>
      </c>
      <c r="F117" s="182" t="n">
        <v>8</v>
      </c>
      <c r="G117" s="172" t="inlineStr">
        <is>
          <t>No</t>
        </is>
      </c>
      <c r="H117" s="170">
        <f>IF(A117="","",IF(OR(NOT(ISNUMBER(C117)),C117=""),"No",IF(AND(HOUR(C117)&gt;=0,HOUR(C117)&lt;5),"Yes","No")))</f>
        <v/>
      </c>
      <c r="I117" s="183">
        <f>IF(OR(B117="",NOT(ISNUMBER(B117))),"",INT(B117))</f>
        <v/>
      </c>
    </row>
    <row r="118" ht="15" customHeight="1" s="122">
      <c r="A118" s="179" t="inlineStr">
        <is>
          <t>KAA 754A</t>
        </is>
      </c>
      <c r="B118" s="172" t="inlineStr">
        <is>
          <t>20-02-2026 09:15:22</t>
        </is>
      </c>
      <c r="C118" s="172" t="inlineStr">
        <is>
          <t>20-02-2026 09:21:05</t>
        </is>
      </c>
      <c r="D118" s="173" t="inlineStr">
        <is>
          <t>0.63 Km</t>
        </is>
      </c>
      <c r="E118" s="181" t="n">
        <v>9</v>
      </c>
      <c r="F118" s="182" t="n">
        <v>19</v>
      </c>
      <c r="G118" s="172" t="inlineStr">
        <is>
          <t>No</t>
        </is>
      </c>
      <c r="H118" s="170">
        <f>IF(A118="","",IF(OR(NOT(ISNUMBER(C118)),C118=""),"No",IF(AND(HOUR(C118)&gt;=0,HOUR(C118)&lt;5),"Yes","No")))</f>
        <v/>
      </c>
      <c r="I118" s="183">
        <f>IF(OR(B118="",NOT(ISNUMBER(B118))),"",INT(B118))</f>
        <v/>
      </c>
    </row>
    <row r="119" ht="15" customHeight="1" s="122">
      <c r="A119" s="179" t="inlineStr">
        <is>
          <t>KAA 754A</t>
        </is>
      </c>
      <c r="B119" s="172" t="inlineStr">
        <is>
          <t>20-02-2026 11:29:20</t>
        </is>
      </c>
      <c r="C119" s="172" t="inlineStr">
        <is>
          <t>20-02-2026 11:32:18</t>
        </is>
      </c>
      <c r="D119" s="173" t="inlineStr">
        <is>
          <t>1.06 Km</t>
        </is>
      </c>
      <c r="E119" s="181" t="n">
        <v>19</v>
      </c>
      <c r="F119" s="182" t="n">
        <v>36</v>
      </c>
      <c r="G119" s="172" t="inlineStr">
        <is>
          <t>No</t>
        </is>
      </c>
      <c r="H119" s="170">
        <f>IF(A119="","",IF(OR(NOT(ISNUMBER(C119)),C119=""),"No",IF(AND(HOUR(C119)&gt;=0,HOUR(C119)&lt;5),"Yes","No")))</f>
        <v/>
      </c>
      <c r="I119" s="183">
        <f>IF(OR(B119="",NOT(ISNUMBER(B119))),"",INT(B119))</f>
        <v/>
      </c>
    </row>
    <row r="120" ht="15" customHeight="1" s="122">
      <c r="A120" s="179" t="inlineStr">
        <is>
          <t>KAA 754A</t>
        </is>
      </c>
      <c r="B120" s="172" t="inlineStr">
        <is>
          <t>20-02-2026 11:38:54</t>
        </is>
      </c>
      <c r="C120" s="172" t="inlineStr">
        <is>
          <t>20-02-2026 11:40:07</t>
        </is>
      </c>
      <c r="D120" s="173" t="inlineStr">
        <is>
          <t>0.03 Km</t>
        </is>
      </c>
      <c r="E120" s="181" t="n">
        <v>9</v>
      </c>
      <c r="F120" s="182" t="n">
        <v>13</v>
      </c>
      <c r="G120" s="172" t="inlineStr">
        <is>
          <t>No</t>
        </is>
      </c>
      <c r="H120" s="170">
        <f>IF(A120="","",IF(OR(NOT(ISNUMBER(C120)),C120=""),"No",IF(AND(HOUR(C120)&gt;=0,HOUR(C120)&lt;5),"Yes","No")))</f>
        <v/>
      </c>
      <c r="I120" s="183">
        <f>IF(OR(B120="",NOT(ISNUMBER(B120))),"",INT(B120))</f>
        <v/>
      </c>
    </row>
    <row r="121" ht="15" customHeight="1" s="122">
      <c r="A121" s="179" t="inlineStr">
        <is>
          <t>KAA 754A</t>
        </is>
      </c>
      <c r="B121" s="172" t="inlineStr">
        <is>
          <t>20-02-2026 11:44:24</t>
        </is>
      </c>
      <c r="C121" s="172" t="inlineStr">
        <is>
          <t>20-02-2026 12:32:19</t>
        </is>
      </c>
      <c r="D121" s="173" t="inlineStr">
        <is>
          <t>45.4 Km</t>
        </is>
      </c>
      <c r="E121" s="181" t="n">
        <v>57</v>
      </c>
      <c r="F121" s="182" t="n">
        <v>86</v>
      </c>
      <c r="G121" s="172" t="inlineStr">
        <is>
          <t>No</t>
        </is>
      </c>
      <c r="H121" s="170">
        <f>IF(A121="","",IF(OR(NOT(ISNUMBER(C121)),C121=""),"No",IF(AND(HOUR(C121)&gt;=0,HOUR(C121)&lt;5),"Yes","No")))</f>
        <v/>
      </c>
      <c r="I121" s="183">
        <f>IF(OR(B121="",NOT(ISNUMBER(B121))),"",INT(B121))</f>
        <v/>
      </c>
    </row>
    <row r="122" ht="15" customHeight="1" s="122">
      <c r="A122" s="179" t="inlineStr">
        <is>
          <t>KAA 754A</t>
        </is>
      </c>
      <c r="B122" s="172" t="inlineStr">
        <is>
          <t>20-02-2026 12:36:06</t>
        </is>
      </c>
      <c r="C122" s="172" t="inlineStr">
        <is>
          <t>20-02-2026 12:37:10</t>
        </is>
      </c>
      <c r="D122" s="173" t="inlineStr">
        <is>
          <t>0.05 Km</t>
        </is>
      </c>
      <c r="E122" s="181" t="n">
        <v>7</v>
      </c>
      <c r="F122" s="182" t="n">
        <v>10</v>
      </c>
      <c r="G122" s="172" t="inlineStr">
        <is>
          <t>No</t>
        </is>
      </c>
      <c r="H122" s="170">
        <f>IF(A122="","",IF(OR(NOT(ISNUMBER(C122)),C122=""),"No",IF(AND(HOUR(C122)&gt;=0,HOUR(C122)&lt;5),"Yes","No")))</f>
        <v/>
      </c>
      <c r="I122" s="183">
        <f>IF(OR(B122="",NOT(ISNUMBER(B122))),"",INT(B122))</f>
        <v/>
      </c>
    </row>
    <row r="123" ht="15" customHeight="1" s="122">
      <c r="A123" s="179" t="inlineStr">
        <is>
          <t>KAA 754A</t>
        </is>
      </c>
      <c r="B123" s="172" t="inlineStr">
        <is>
          <t>20-02-2026 13:08:06</t>
        </is>
      </c>
      <c r="C123" s="172" t="inlineStr">
        <is>
          <t>20-02-2026 13:21:01</t>
        </is>
      </c>
      <c r="D123" s="173" t="inlineStr">
        <is>
          <t>12.82 Km</t>
        </is>
      </c>
      <c r="E123" s="181" t="n">
        <v>57</v>
      </c>
      <c r="F123" s="182" t="n">
        <v>78</v>
      </c>
      <c r="G123" s="172" t="inlineStr">
        <is>
          <t>No</t>
        </is>
      </c>
      <c r="H123" s="170">
        <f>IF(A123="","",IF(OR(NOT(ISNUMBER(C123)),C123=""),"No",IF(AND(HOUR(C123)&gt;=0,HOUR(C123)&lt;5),"Yes","No")))</f>
        <v/>
      </c>
      <c r="I123" s="183">
        <f>IF(OR(B123="",NOT(ISNUMBER(B123))),"",INT(B123))</f>
        <v/>
      </c>
    </row>
    <row r="124" ht="15" customHeight="1" s="122">
      <c r="A124" s="179" t="inlineStr">
        <is>
          <t>KAA 754A</t>
        </is>
      </c>
      <c r="B124" s="172" t="inlineStr">
        <is>
          <t>20-02-2026 14:34:31</t>
        </is>
      </c>
      <c r="C124" s="172" t="inlineStr">
        <is>
          <t>20-02-2026 14:35:46</t>
        </is>
      </c>
      <c r="D124" s="173" t="inlineStr">
        <is>
          <t>0.16 Km</t>
        </is>
      </c>
      <c r="E124" s="181" t="n">
        <v>10</v>
      </c>
      <c r="F124" s="182" t="n">
        <v>20</v>
      </c>
      <c r="G124" s="172" t="inlineStr">
        <is>
          <t>No</t>
        </is>
      </c>
      <c r="H124" s="170">
        <f>IF(A124="","",IF(OR(NOT(ISNUMBER(C124)),C124=""),"No",IF(AND(HOUR(C124)&gt;=0,HOUR(C124)&lt;5),"Yes","No")))</f>
        <v/>
      </c>
      <c r="I124" s="183">
        <f>IF(OR(B124="",NOT(ISNUMBER(B124))),"",INT(B124))</f>
        <v/>
      </c>
    </row>
    <row r="125" ht="15" customHeight="1" s="122">
      <c r="A125" s="179" t="inlineStr">
        <is>
          <t>KAA 754A</t>
        </is>
      </c>
      <c r="B125" s="172" t="inlineStr">
        <is>
          <t>20-02-2026 15:15:31</t>
        </is>
      </c>
      <c r="C125" s="172" t="inlineStr">
        <is>
          <t>20-02-2026 16:35:09</t>
        </is>
      </c>
      <c r="D125" s="173" t="inlineStr">
        <is>
          <t>60.26 Km</t>
        </is>
      </c>
      <c r="E125" s="181" t="n">
        <v>51</v>
      </c>
      <c r="F125" s="182" t="n">
        <v>89</v>
      </c>
      <c r="G125" s="172" t="inlineStr">
        <is>
          <t>No</t>
        </is>
      </c>
      <c r="H125" s="170">
        <f>IF(A125="","",IF(OR(NOT(ISNUMBER(C125)),C125=""),"No",IF(AND(HOUR(C125)&gt;=0,HOUR(C125)&lt;5),"Yes","No")))</f>
        <v/>
      </c>
      <c r="I125" s="183">
        <f>IF(OR(B125="",NOT(ISNUMBER(B125))),"",INT(B125))</f>
        <v/>
      </c>
    </row>
    <row r="126" ht="15" customHeight="1" s="122">
      <c r="A126" s="179" t="inlineStr">
        <is>
          <t>KAA 754A</t>
        </is>
      </c>
      <c r="B126" s="172" t="inlineStr">
        <is>
          <t>20-02-2026 16:37:18</t>
        </is>
      </c>
      <c r="C126" s="172" t="inlineStr">
        <is>
          <t>20-02-2026 18:06:11</t>
        </is>
      </c>
      <c r="D126" s="173" t="inlineStr">
        <is>
          <t>65.2 Km</t>
        </is>
      </c>
      <c r="E126" s="181" t="n">
        <v>47</v>
      </c>
      <c r="F126" s="182" t="n">
        <v>95</v>
      </c>
      <c r="G126" s="172" t="inlineStr">
        <is>
          <t>No</t>
        </is>
      </c>
      <c r="H126" s="170">
        <f>IF(A126="","",IF(OR(NOT(ISNUMBER(C126)),C126=""),"No",IF(AND(HOUR(C126)&gt;=0,HOUR(C126)&lt;5),"Yes","No")))</f>
        <v/>
      </c>
      <c r="I126" s="183">
        <f>IF(OR(B126="",NOT(ISNUMBER(B126))),"",INT(B126))</f>
        <v/>
      </c>
    </row>
    <row r="127" ht="15" customHeight="1" s="122">
      <c r="A127" s="179" t="inlineStr">
        <is>
          <t>KAA 754A</t>
        </is>
      </c>
      <c r="B127" s="172" t="inlineStr">
        <is>
          <t>20-02-2026 18:45:30</t>
        </is>
      </c>
      <c r="C127" s="172" t="inlineStr">
        <is>
          <t>20-02-2026 19:34:29</t>
        </is>
      </c>
      <c r="D127" s="173" t="inlineStr">
        <is>
          <t>35.23 Km</t>
        </is>
      </c>
      <c r="E127" s="181" t="n">
        <v>46</v>
      </c>
      <c r="F127" s="182" t="n">
        <v>80</v>
      </c>
      <c r="G127" s="172" t="inlineStr">
        <is>
          <t>No</t>
        </is>
      </c>
      <c r="H127" s="170">
        <f>IF(A127="","",IF(OR(NOT(ISNUMBER(C127)),C127=""),"No",IF(AND(HOUR(C127)&gt;=0,HOUR(C127)&lt;5),"Yes","No")))</f>
        <v/>
      </c>
      <c r="I127" s="183">
        <f>IF(OR(B127="",NOT(ISNUMBER(B127))),"",INT(B127))</f>
        <v/>
      </c>
    </row>
    <row r="128" ht="15" customHeight="1" s="122">
      <c r="A128" s="179" t="inlineStr">
        <is>
          <t>KAA 754A</t>
        </is>
      </c>
      <c r="B128" s="172" t="inlineStr">
        <is>
          <t>20-02-2026 19:40:01</t>
        </is>
      </c>
      <c r="C128" s="172" t="inlineStr">
        <is>
          <t>20-02-2026 19:40:18</t>
        </is>
      </c>
      <c r="D128" s="173" t="inlineStr">
        <is>
          <t>0.01 Km</t>
        </is>
      </c>
      <c r="E128" s="181" t="n">
        <v>6</v>
      </c>
      <c r="F128" s="182" t="n">
        <v>6</v>
      </c>
      <c r="G128" s="172" t="inlineStr">
        <is>
          <t>No</t>
        </is>
      </c>
      <c r="H128" s="170">
        <f>IF(A128="","",IF(OR(NOT(ISNUMBER(C128)),C128=""),"No",IF(AND(HOUR(C128)&gt;=0,HOUR(C128)&lt;5),"Yes","No")))</f>
        <v/>
      </c>
      <c r="I128" s="183">
        <f>IF(OR(B128="",NOT(ISNUMBER(B128))),"",INT(B128))</f>
        <v/>
      </c>
    </row>
    <row r="129" ht="15" customHeight="1" s="122">
      <c r="A129" s="179" t="inlineStr">
        <is>
          <t>KAA 754A</t>
        </is>
      </c>
      <c r="B129" s="172" t="inlineStr">
        <is>
          <t>21-02-2026 11:11:49</t>
        </is>
      </c>
      <c r="C129" s="172" t="inlineStr">
        <is>
          <t>21-02-2026 11:48:32</t>
        </is>
      </c>
      <c r="D129" s="173" t="inlineStr">
        <is>
          <t>17.1 Km</t>
        </is>
      </c>
      <c r="E129" s="181" t="n">
        <v>32</v>
      </c>
      <c r="F129" s="182" t="n">
        <v>90</v>
      </c>
      <c r="G129" s="172" t="inlineStr">
        <is>
          <t>No</t>
        </is>
      </c>
      <c r="H129" s="170">
        <f>IF(A129="","",IF(OR(NOT(ISNUMBER(C129)),C129=""),"No",IF(AND(HOUR(C129)&gt;=0,HOUR(C129)&lt;5),"Yes","No")))</f>
        <v/>
      </c>
      <c r="I129" s="183">
        <f>IF(OR(B129="",NOT(ISNUMBER(B129))),"",INT(B129))</f>
        <v/>
      </c>
    </row>
    <row r="130" ht="15" customHeight="1" s="122">
      <c r="A130" s="179" t="inlineStr">
        <is>
          <t>KAA 754A</t>
        </is>
      </c>
      <c r="B130" s="172" t="inlineStr">
        <is>
          <t>21-02-2026 11:59:23</t>
        </is>
      </c>
      <c r="C130" s="172" t="inlineStr">
        <is>
          <t>21-02-2026 12:01:21</t>
        </is>
      </c>
      <c r="D130" s="173" t="inlineStr">
        <is>
          <t>0.07 Km</t>
        </is>
      </c>
      <c r="E130" s="181" t="n">
        <v>8</v>
      </c>
      <c r="F130" s="182" t="n">
        <v>11</v>
      </c>
      <c r="G130" s="172" t="inlineStr">
        <is>
          <t>No</t>
        </is>
      </c>
      <c r="H130" s="170">
        <f>IF(A130="","",IF(OR(NOT(ISNUMBER(C130)),C130=""),"No",IF(AND(HOUR(C130)&gt;=0,HOUR(C130)&lt;5),"Yes","No")))</f>
        <v/>
      </c>
      <c r="I130" s="183">
        <f>IF(OR(B130="",NOT(ISNUMBER(B130))),"",INT(B130))</f>
        <v/>
      </c>
    </row>
    <row r="131" ht="15" customHeight="1" s="122">
      <c r="A131" s="179" t="inlineStr">
        <is>
          <t>KAA 754A</t>
        </is>
      </c>
      <c r="B131" s="172" t="inlineStr">
        <is>
          <t>21-02-2026 12:04:01</t>
        </is>
      </c>
      <c r="C131" s="172" t="inlineStr">
        <is>
          <t>21-02-2026 12:52:07</t>
        </is>
      </c>
      <c r="D131" s="173" t="inlineStr">
        <is>
          <t>32.27 Km</t>
        </is>
      </c>
      <c r="E131" s="181" t="n">
        <v>42</v>
      </c>
      <c r="F131" s="182" t="n">
        <v>85</v>
      </c>
      <c r="G131" s="172" t="inlineStr">
        <is>
          <t>No</t>
        </is>
      </c>
      <c r="H131" s="170">
        <f>IF(A131="","",IF(OR(NOT(ISNUMBER(C131)),C131=""),"No",IF(AND(HOUR(C131)&gt;=0,HOUR(C131)&lt;5),"Yes","No")))</f>
        <v/>
      </c>
      <c r="I131" s="183">
        <f>IF(OR(B131="",NOT(ISNUMBER(B131))),"",INT(B131))</f>
        <v/>
      </c>
    </row>
    <row r="132" ht="15" customHeight="1" s="122">
      <c r="A132" s="179" t="inlineStr">
        <is>
          <t>KAA 754A</t>
        </is>
      </c>
      <c r="B132" s="172" t="inlineStr">
        <is>
          <t>21-02-2026 12:53:13</t>
        </is>
      </c>
      <c r="C132" s="172" t="inlineStr">
        <is>
          <t>21-02-2026 14:24:48</t>
        </is>
      </c>
      <c r="D132" s="173" t="inlineStr">
        <is>
          <t>81.26 Km</t>
        </is>
      </c>
      <c r="E132" s="181" t="n">
        <v>54</v>
      </c>
      <c r="F132" s="182" t="n">
        <v>87</v>
      </c>
      <c r="G132" s="172" t="inlineStr">
        <is>
          <t>No</t>
        </is>
      </c>
      <c r="H132" s="170">
        <f>IF(A132="","",IF(OR(NOT(ISNUMBER(C132)),C132=""),"No",IF(AND(HOUR(C132)&gt;=0,HOUR(C132)&lt;5),"Yes","No")))</f>
        <v/>
      </c>
      <c r="I132" s="183">
        <f>IF(OR(B132="",NOT(ISNUMBER(B132))),"",INT(B132))</f>
        <v/>
      </c>
    </row>
    <row r="133" ht="15" customHeight="1" s="122">
      <c r="A133" s="179" t="inlineStr">
        <is>
          <t>KAA 754A</t>
        </is>
      </c>
      <c r="B133" s="172" t="inlineStr">
        <is>
          <t>21-02-2026 14:37:32</t>
        </is>
      </c>
      <c r="C133" s="172" t="inlineStr">
        <is>
          <t>21-02-2026 14:38:48</t>
        </is>
      </c>
      <c r="D133" s="173" t="inlineStr">
        <is>
          <t>0.18 Km</t>
        </is>
      </c>
      <c r="E133" s="181" t="n">
        <v>9</v>
      </c>
      <c r="F133" s="182" t="n">
        <v>14</v>
      </c>
      <c r="G133" s="172" t="inlineStr">
        <is>
          <t>No</t>
        </is>
      </c>
      <c r="H133" s="170">
        <f>IF(A133="","",IF(OR(NOT(ISNUMBER(C133)),C133=""),"No",IF(AND(HOUR(C133)&gt;=0,HOUR(C133)&lt;5),"Yes","No")))</f>
        <v/>
      </c>
      <c r="I133" s="183">
        <f>IF(OR(B133="",NOT(ISNUMBER(B133))),"",INT(B133))</f>
        <v/>
      </c>
    </row>
    <row r="134" ht="15" customHeight="1" s="122">
      <c r="A134" s="179" t="inlineStr">
        <is>
          <t>KAA 754A</t>
        </is>
      </c>
      <c r="B134" s="172" t="inlineStr">
        <is>
          <t>21-02-2026 14:50:14</t>
        </is>
      </c>
      <c r="C134" s="172" t="inlineStr">
        <is>
          <t>21-02-2026 15:10:40</t>
        </is>
      </c>
      <c r="D134" s="173" t="inlineStr">
        <is>
          <t>7.58 Km</t>
        </is>
      </c>
      <c r="E134" s="181" t="n">
        <v>20</v>
      </c>
      <c r="F134" s="182" t="n">
        <v>63</v>
      </c>
      <c r="G134" s="172" t="inlineStr">
        <is>
          <t>No</t>
        </is>
      </c>
      <c r="H134" s="170">
        <f>IF(A134="","",IF(OR(NOT(ISNUMBER(C134)),C134=""),"No",IF(AND(HOUR(C134)&gt;=0,HOUR(C134)&lt;5),"Yes","No")))</f>
        <v/>
      </c>
      <c r="I134" s="183">
        <f>IF(OR(B134="",NOT(ISNUMBER(B134))),"",INT(B134))</f>
        <v/>
      </c>
    </row>
    <row r="135" ht="15" customHeight="1" s="122">
      <c r="A135" s="179" t="inlineStr">
        <is>
          <t>KAA 754A</t>
        </is>
      </c>
      <c r="B135" s="172" t="inlineStr">
        <is>
          <t>22-02-2026 14:32:58</t>
        </is>
      </c>
      <c r="C135" s="172" t="inlineStr">
        <is>
          <t>22-02-2026 14:57:38</t>
        </is>
      </c>
      <c r="D135" s="173" t="inlineStr">
        <is>
          <t>9.1 Km</t>
        </is>
      </c>
      <c r="E135" s="181" t="n">
        <v>19</v>
      </c>
      <c r="F135" s="182" t="n">
        <v>42</v>
      </c>
      <c r="G135" s="172" t="inlineStr">
        <is>
          <t>No</t>
        </is>
      </c>
      <c r="H135" s="170">
        <f>IF(A135="","",IF(OR(NOT(ISNUMBER(C135)),C135=""),"No",IF(AND(HOUR(C135)&gt;=0,HOUR(C135)&lt;5),"Yes","No")))</f>
        <v/>
      </c>
      <c r="I135" s="183">
        <f>IF(OR(B135="",NOT(ISNUMBER(B135))),"",INT(B135))</f>
        <v/>
      </c>
    </row>
    <row r="136" ht="15" customHeight="1" s="122">
      <c r="A136" s="179" t="inlineStr">
        <is>
          <t>KAA 754A</t>
        </is>
      </c>
      <c r="B136" s="172" t="inlineStr">
        <is>
          <t>22-02-2026 15:08:58</t>
        </is>
      </c>
      <c r="C136" s="172" t="inlineStr">
        <is>
          <t>22-02-2026 16:27:31</t>
        </is>
      </c>
      <c r="D136" s="173" t="inlineStr">
        <is>
          <t>49.91 Km</t>
        </is>
      </c>
      <c r="E136" s="181" t="n">
        <v>37</v>
      </c>
      <c r="F136" s="182" t="n">
        <v>67</v>
      </c>
      <c r="G136" s="172" t="inlineStr">
        <is>
          <t>No</t>
        </is>
      </c>
      <c r="H136" s="170">
        <f>IF(A136="","",IF(OR(NOT(ISNUMBER(C136)),C136=""),"No",IF(AND(HOUR(C136)&gt;=0,HOUR(C136)&lt;5),"Yes","No")))</f>
        <v/>
      </c>
      <c r="I136" s="183">
        <f>IF(OR(B136="",NOT(ISNUMBER(B136))),"",INT(B136))</f>
        <v/>
      </c>
    </row>
    <row r="137" ht="15" customHeight="1" s="122">
      <c r="A137" s="179" t="inlineStr">
        <is>
          <t>KAA 754A</t>
        </is>
      </c>
      <c r="B137" s="172" t="inlineStr">
        <is>
          <t>22-02-2026 17:09:55</t>
        </is>
      </c>
      <c r="C137" s="172" t="inlineStr">
        <is>
          <t>22-02-2026 17:14:31</t>
        </is>
      </c>
      <c r="D137" s="173" t="inlineStr">
        <is>
          <t>1.06 Km</t>
        </is>
      </c>
      <c r="E137" s="181" t="n">
        <v>13</v>
      </c>
      <c r="F137" s="182" t="n">
        <v>25</v>
      </c>
      <c r="G137" s="172" t="inlineStr">
        <is>
          <t>No</t>
        </is>
      </c>
      <c r="H137" s="170">
        <f>IF(A137="","",IF(OR(NOT(ISNUMBER(C137)),C137=""),"No",IF(AND(HOUR(C137)&gt;=0,HOUR(C137)&lt;5),"Yes","No")))</f>
        <v/>
      </c>
      <c r="I137" s="183">
        <f>IF(OR(B137="",NOT(ISNUMBER(B137))),"",INT(B137))</f>
        <v/>
      </c>
    </row>
    <row r="138" ht="15" customHeight="1" s="122">
      <c r="A138" s="179" t="inlineStr">
        <is>
          <t>KAA 754A</t>
        </is>
      </c>
      <c r="B138" s="172" t="inlineStr">
        <is>
          <t>22-02-2026 17:16:01</t>
        </is>
      </c>
      <c r="C138" s="172" t="inlineStr">
        <is>
          <t>22-02-2026 17:18:16</t>
        </is>
      </c>
      <c r="D138" s="173" t="inlineStr">
        <is>
          <t>0.57 Km</t>
        </is>
      </c>
      <c r="E138" s="181" t="n">
        <v>20</v>
      </c>
      <c r="F138" s="182" t="n">
        <v>37</v>
      </c>
      <c r="G138" s="172" t="inlineStr">
        <is>
          <t>No</t>
        </is>
      </c>
      <c r="H138" s="170">
        <f>IF(A138="","",IF(OR(NOT(ISNUMBER(C138)),C138=""),"No",IF(AND(HOUR(C138)&gt;=0,HOUR(C138)&lt;5),"Yes","No")))</f>
        <v/>
      </c>
      <c r="I138" s="183">
        <f>IF(OR(B138="",NOT(ISNUMBER(B138))),"",INT(B138))</f>
        <v/>
      </c>
    </row>
    <row r="139" ht="15" customHeight="1" s="122">
      <c r="A139" s="179" t="inlineStr">
        <is>
          <t>KAA 754A</t>
        </is>
      </c>
      <c r="B139" s="172" t="inlineStr">
        <is>
          <t>22-02-2026 17:19:30</t>
        </is>
      </c>
      <c r="C139" s="172" t="inlineStr">
        <is>
          <t>22-02-2026 17:42:41</t>
        </is>
      </c>
      <c r="D139" s="173" t="inlineStr">
        <is>
          <t>19.05 Km</t>
        </is>
      </c>
      <c r="E139" s="181" t="n">
        <v>50</v>
      </c>
      <c r="F139" s="182" t="n">
        <v>88</v>
      </c>
      <c r="G139" s="172" t="inlineStr">
        <is>
          <t>No</t>
        </is>
      </c>
      <c r="H139" s="170">
        <f>IF(A139="","",IF(OR(NOT(ISNUMBER(C139)),C139=""),"No",IF(AND(HOUR(C139)&gt;=0,HOUR(C139)&lt;5),"Yes","No")))</f>
        <v/>
      </c>
      <c r="I139" s="183">
        <f>IF(OR(B139="",NOT(ISNUMBER(B139))),"",INT(B139))</f>
        <v/>
      </c>
    </row>
    <row r="140" ht="15" customHeight="1" s="122">
      <c r="A140" s="179" t="inlineStr">
        <is>
          <t>KAA 754A</t>
        </is>
      </c>
      <c r="B140" s="172" t="inlineStr">
        <is>
          <t>22-02-2026 17:54:22</t>
        </is>
      </c>
      <c r="C140" s="172" t="inlineStr">
        <is>
          <t>22-02-2026 18:32:34</t>
        </is>
      </c>
      <c r="D140" s="173" t="inlineStr">
        <is>
          <t>34.56 Km</t>
        </is>
      </c>
      <c r="E140" s="181" t="n">
        <v>56</v>
      </c>
      <c r="F140" s="182" t="n">
        <v>96</v>
      </c>
      <c r="G140" s="172" t="inlineStr">
        <is>
          <t>No</t>
        </is>
      </c>
      <c r="H140" s="170">
        <f>IF(A140="","",IF(OR(NOT(ISNUMBER(C140)),C140=""),"No",IF(AND(HOUR(C140)&gt;=0,HOUR(C140)&lt;5),"Yes","No")))</f>
        <v/>
      </c>
      <c r="I140" s="183">
        <f>IF(OR(B140="",NOT(ISNUMBER(B140))),"",INT(B140))</f>
        <v/>
      </c>
    </row>
    <row r="141" ht="15" customHeight="1" s="122">
      <c r="A141" s="179" t="inlineStr">
        <is>
          <t>KAA 754A</t>
        </is>
      </c>
      <c r="B141" s="172" t="inlineStr">
        <is>
          <t>22-02-2026 18:39:03</t>
        </is>
      </c>
      <c r="C141" s="172" t="inlineStr">
        <is>
          <t>22-02-2026 18:43:53</t>
        </is>
      </c>
      <c r="D141" s="173" t="inlineStr">
        <is>
          <t>1.17 Km</t>
        </is>
      </c>
      <c r="E141" s="181" t="n">
        <v>15</v>
      </c>
      <c r="F141" s="182" t="n">
        <v>29</v>
      </c>
      <c r="G141" s="172" t="inlineStr">
        <is>
          <t>No</t>
        </is>
      </c>
      <c r="H141" s="170">
        <f>IF(A141="","",IF(OR(NOT(ISNUMBER(C141)),C141=""),"No",IF(AND(HOUR(C141)&gt;=0,HOUR(C141)&lt;5),"Yes","No")))</f>
        <v/>
      </c>
      <c r="I141" s="183">
        <f>IF(OR(B141="",NOT(ISNUMBER(B141))),"",INT(B141))</f>
        <v/>
      </c>
    </row>
    <row r="142" ht="15" customHeight="1" s="122">
      <c r="A142" s="179" t="inlineStr">
        <is>
          <t>KAA 754A</t>
        </is>
      </c>
      <c r="B142" s="172" t="inlineStr">
        <is>
          <t>23-02-2026 10:26:07</t>
        </is>
      </c>
      <c r="C142" s="172" t="inlineStr">
        <is>
          <t>23-02-2026 10:34:31</t>
        </is>
      </c>
      <c r="D142" s="173" t="inlineStr">
        <is>
          <t>2.07 Km</t>
        </is>
      </c>
      <c r="E142" s="181" t="n">
        <v>13</v>
      </c>
      <c r="F142" s="182" t="n">
        <v>29</v>
      </c>
      <c r="G142" s="172" t="inlineStr">
        <is>
          <t>No</t>
        </is>
      </c>
      <c r="H142" s="170">
        <f>IF(A142="","",IF(OR(NOT(ISNUMBER(C142)),C142=""),"No",IF(AND(HOUR(C142)&gt;=0,HOUR(C142)&lt;5),"Yes","No")))</f>
        <v/>
      </c>
      <c r="I142" s="183">
        <f>IF(OR(B142="",NOT(ISNUMBER(B142))),"",INT(B142))</f>
        <v/>
      </c>
    </row>
    <row r="143" ht="15" customHeight="1" s="122">
      <c r="A143" s="179" t="inlineStr">
        <is>
          <t>KAA 754A</t>
        </is>
      </c>
      <c r="B143" s="172" t="inlineStr">
        <is>
          <t>23-02-2026 18:14:15</t>
        </is>
      </c>
      <c r="C143" s="172" t="inlineStr">
        <is>
          <t>23-02-2026 18:21:25</t>
        </is>
      </c>
      <c r="D143" s="173" t="inlineStr">
        <is>
          <t>2.07 Km</t>
        </is>
      </c>
      <c r="E143" s="181" t="n">
        <v>15</v>
      </c>
      <c r="F143" s="182" t="n">
        <v>37</v>
      </c>
      <c r="G143" s="172" t="inlineStr">
        <is>
          <t>No</t>
        </is>
      </c>
      <c r="H143" s="170">
        <f>IF(A143="","",IF(OR(NOT(ISNUMBER(C143)),C143=""),"No",IF(AND(HOUR(C143)&gt;=0,HOUR(C143)&lt;5),"Yes","No")))</f>
        <v/>
      </c>
      <c r="I143" s="183">
        <f>IF(OR(B143="",NOT(ISNUMBER(B143))),"",INT(B143))</f>
        <v/>
      </c>
    </row>
    <row r="144" ht="15" customHeight="1" s="122">
      <c r="A144" s="179" t="inlineStr">
        <is>
          <t>KAA 754A</t>
        </is>
      </c>
      <c r="B144" s="172" t="inlineStr">
        <is>
          <t>23-02-2026 18:29:57</t>
        </is>
      </c>
      <c r="C144" s="172" t="inlineStr">
        <is>
          <t>23-02-2026 18:31:01</t>
        </is>
      </c>
      <c r="D144" s="173" t="inlineStr">
        <is>
          <t>0.01 Km</t>
        </is>
      </c>
      <c r="E144" s="181" t="n">
        <v>7</v>
      </c>
      <c r="F144" s="182" t="n">
        <v>8</v>
      </c>
      <c r="G144" s="172" t="inlineStr">
        <is>
          <t>No</t>
        </is>
      </c>
      <c r="H144" s="170">
        <f>IF(A144="","",IF(OR(NOT(ISNUMBER(C144)),C144=""),"No",IF(AND(HOUR(C144)&gt;=0,HOUR(C144)&lt;5),"Yes","No")))</f>
        <v/>
      </c>
      <c r="I144" s="183">
        <f>IF(OR(B144="",NOT(ISNUMBER(B144))),"",INT(B144))</f>
        <v/>
      </c>
    </row>
    <row r="145" ht="15" customHeight="1" s="122">
      <c r="A145" s="179" t="inlineStr">
        <is>
          <t>KAA 754A</t>
        </is>
      </c>
      <c r="B145" s="172" t="inlineStr">
        <is>
          <t>24-02-2026 14:49:03</t>
        </is>
      </c>
      <c r="C145" s="172" t="inlineStr">
        <is>
          <t>24-02-2026 15:53:05</t>
        </is>
      </c>
      <c r="D145" s="173" t="inlineStr">
        <is>
          <t>54.88 Km</t>
        </is>
      </c>
      <c r="E145" s="181" t="n">
        <v>53</v>
      </c>
      <c r="F145" s="182" t="n">
        <v>91</v>
      </c>
      <c r="G145" s="172" t="inlineStr">
        <is>
          <t>No</t>
        </is>
      </c>
      <c r="H145" s="170">
        <f>IF(A145="","",IF(OR(NOT(ISNUMBER(C145)),C145=""),"No",IF(AND(HOUR(C145)&gt;=0,HOUR(C145)&lt;5),"Yes","No")))</f>
        <v/>
      </c>
      <c r="I145" s="183">
        <f>IF(OR(B145="",NOT(ISNUMBER(B145))),"",INT(B145))</f>
        <v/>
      </c>
    </row>
    <row r="146" ht="15" customHeight="1" s="122">
      <c r="A146" s="179" t="inlineStr">
        <is>
          <t>KAA 754A</t>
        </is>
      </c>
      <c r="B146" s="172" t="inlineStr">
        <is>
          <t>24-02-2026 16:43:37</t>
        </is>
      </c>
      <c r="C146" s="172" t="inlineStr">
        <is>
          <t>24-02-2026 16:48:02</t>
        </is>
      </c>
      <c r="D146" s="173" t="inlineStr">
        <is>
          <t>0.65 Km</t>
        </is>
      </c>
      <c r="E146" s="181" t="n">
        <v>12</v>
      </c>
      <c r="F146" s="182" t="n">
        <v>28</v>
      </c>
      <c r="G146" s="172" t="inlineStr">
        <is>
          <t>No</t>
        </is>
      </c>
      <c r="H146" s="170">
        <f>IF(A146="","",IF(OR(NOT(ISNUMBER(C146)),C146=""),"No",IF(AND(HOUR(C146)&gt;=0,HOUR(C146)&lt;5),"Yes","No")))</f>
        <v/>
      </c>
      <c r="I146" s="183">
        <f>IF(OR(B146="",NOT(ISNUMBER(B146))),"",INT(B146))</f>
        <v/>
      </c>
    </row>
    <row r="147" ht="15" customHeight="1" s="122">
      <c r="A147" s="179" t="inlineStr">
        <is>
          <t>KAA 754A</t>
        </is>
      </c>
      <c r="B147" s="172" t="inlineStr">
        <is>
          <t>24-02-2026 16:48:37</t>
        </is>
      </c>
      <c r="C147" s="172" t="inlineStr">
        <is>
          <t>24-02-2026 18:21:51</t>
        </is>
      </c>
      <c r="D147" s="173" t="inlineStr">
        <is>
          <t>65.6 Km</t>
        </is>
      </c>
      <c r="E147" s="181" t="n">
        <v>43</v>
      </c>
      <c r="F147" s="182" t="n">
        <v>83</v>
      </c>
      <c r="G147" s="172" t="inlineStr">
        <is>
          <t>No</t>
        </is>
      </c>
      <c r="H147" s="170">
        <f>IF(A147="","",IF(OR(NOT(ISNUMBER(C147)),C147=""),"No",IF(AND(HOUR(C147)&gt;=0,HOUR(C147)&lt;5),"Yes","No")))</f>
        <v/>
      </c>
      <c r="I147" s="183">
        <f>IF(OR(B147="",NOT(ISNUMBER(B147))),"",INT(B147))</f>
        <v/>
      </c>
    </row>
    <row r="148" ht="15" customHeight="1" s="122">
      <c r="A148" s="179" t="inlineStr">
        <is>
          <t>KAA 754A</t>
        </is>
      </c>
      <c r="B148" s="172" t="inlineStr">
        <is>
          <t>24-02-2026 18:42:23</t>
        </is>
      </c>
      <c r="C148" s="172" t="inlineStr">
        <is>
          <t>24-02-2026 19:22:20</t>
        </is>
      </c>
      <c r="D148" s="173" t="inlineStr">
        <is>
          <t>14.95 Km</t>
        </is>
      </c>
      <c r="E148" s="181" t="n">
        <v>21</v>
      </c>
      <c r="F148" s="182" t="n">
        <v>76</v>
      </c>
      <c r="G148" s="172" t="inlineStr">
        <is>
          <t>No</t>
        </is>
      </c>
      <c r="H148" s="170">
        <f>IF(A148="","",IF(OR(NOT(ISNUMBER(C148)),C148=""),"No",IF(AND(HOUR(C148)&gt;=0,HOUR(C148)&lt;5),"Yes","No")))</f>
        <v/>
      </c>
      <c r="I148" s="183">
        <f>IF(OR(B148="",NOT(ISNUMBER(B148))),"",INT(B148))</f>
        <v/>
      </c>
    </row>
    <row r="149" ht="15" customHeight="1" s="122">
      <c r="A149" s="179" t="inlineStr">
        <is>
          <t>KAA 754A</t>
        </is>
      </c>
      <c r="B149" s="172" t="inlineStr">
        <is>
          <t>24-02-2026 19:40:34</t>
        </is>
      </c>
      <c r="C149" s="172" t="inlineStr">
        <is>
          <t>24-02-2026 19:41:34</t>
        </is>
      </c>
      <c r="D149" s="173" t="inlineStr">
        <is>
          <t>0.02 Km</t>
        </is>
      </c>
      <c r="E149" s="181" t="n">
        <v>6</v>
      </c>
      <c r="F149" s="182" t="n">
        <v>6</v>
      </c>
      <c r="G149" s="172" t="inlineStr">
        <is>
          <t>No</t>
        </is>
      </c>
      <c r="H149" s="170">
        <f>IF(A149="","",IF(OR(NOT(ISNUMBER(C149)),C149=""),"No",IF(AND(HOUR(C149)&gt;=0,HOUR(C149)&lt;5),"Yes","No")))</f>
        <v/>
      </c>
      <c r="I149" s="183">
        <f>IF(OR(B149="",NOT(ISNUMBER(B149))),"",INT(B149))</f>
        <v/>
      </c>
    </row>
    <row r="150" ht="15" customHeight="1" s="122">
      <c r="A150" s="179" t="inlineStr">
        <is>
          <t>KAA 754A</t>
        </is>
      </c>
      <c r="B150" s="172" t="inlineStr">
        <is>
          <t>25-02-2026 10:39:25</t>
        </is>
      </c>
      <c r="C150" s="172" t="inlineStr">
        <is>
          <t>25-02-2026 12:51:10</t>
        </is>
      </c>
      <c r="D150" s="173" t="inlineStr">
        <is>
          <t>104.65 Km</t>
        </is>
      </c>
      <c r="E150" s="181" t="n">
        <v>49</v>
      </c>
      <c r="F150" s="182" t="n">
        <v>86</v>
      </c>
      <c r="G150" s="172" t="inlineStr">
        <is>
          <t>No</t>
        </is>
      </c>
      <c r="H150" s="170">
        <f>IF(A150="","",IF(OR(NOT(ISNUMBER(C150)),C150=""),"No",IF(AND(HOUR(C150)&gt;=0,HOUR(C150)&lt;5),"Yes","No")))</f>
        <v/>
      </c>
      <c r="I150" s="183">
        <f>IF(OR(B150="",NOT(ISNUMBER(B150))),"",INT(B150))</f>
        <v/>
      </c>
    </row>
    <row r="151" ht="15" customHeight="1" s="122">
      <c r="A151" s="179" t="inlineStr">
        <is>
          <t>KAA 754A</t>
        </is>
      </c>
      <c r="B151" s="172" t="inlineStr">
        <is>
          <t>25-02-2026 12:54:59</t>
        </is>
      </c>
      <c r="C151" s="172" t="inlineStr">
        <is>
          <t>25-02-2026 12:56:12</t>
        </is>
      </c>
      <c r="D151" s="173" t="inlineStr">
        <is>
          <t>0.04 Km</t>
        </is>
      </c>
      <c r="E151" s="181" t="n">
        <v>7</v>
      </c>
      <c r="F151" s="182" t="n">
        <v>8</v>
      </c>
      <c r="G151" s="172" t="inlineStr">
        <is>
          <t>No</t>
        </is>
      </c>
      <c r="H151" s="170">
        <f>IF(A151="","",IF(OR(NOT(ISNUMBER(C151)),C151=""),"No",IF(AND(HOUR(C151)&gt;=0,HOUR(C151)&lt;5),"Yes","No")))</f>
        <v/>
      </c>
      <c r="I151" s="183">
        <f>IF(OR(B151="",NOT(ISNUMBER(B151))),"",INT(B151))</f>
        <v/>
      </c>
    </row>
    <row r="152" ht="15" customHeight="1" s="122">
      <c r="A152" s="179" t="inlineStr">
        <is>
          <t>KAA 754A</t>
        </is>
      </c>
      <c r="B152" s="172" t="inlineStr">
        <is>
          <t>25-02-2026 12:59:06</t>
        </is>
      </c>
      <c r="C152" s="172" t="inlineStr">
        <is>
          <t>25-02-2026 13:13:15</t>
        </is>
      </c>
      <c r="D152" s="173" t="inlineStr">
        <is>
          <t>6.71 Km</t>
        </is>
      </c>
      <c r="E152" s="181" t="n">
        <v>28</v>
      </c>
      <c r="F152" s="182" t="n">
        <v>71</v>
      </c>
      <c r="G152" s="172" t="inlineStr">
        <is>
          <t>No</t>
        </is>
      </c>
      <c r="H152" s="170">
        <f>IF(A152="","",IF(OR(NOT(ISNUMBER(C152)),C152=""),"No",IF(AND(HOUR(C152)&gt;=0,HOUR(C152)&lt;5),"Yes","No")))</f>
        <v/>
      </c>
      <c r="I152" s="183">
        <f>IF(OR(B152="",NOT(ISNUMBER(B152))),"",INT(B152))</f>
        <v/>
      </c>
    </row>
    <row r="153" ht="15" customHeight="1" s="122">
      <c r="A153" s="179" t="inlineStr">
        <is>
          <t>KAA 754A</t>
        </is>
      </c>
      <c r="B153" s="172" t="inlineStr">
        <is>
          <t>25-02-2026 13:40:11</t>
        </is>
      </c>
      <c r="C153" s="172" t="inlineStr">
        <is>
          <t>25-02-2026 14:06:58</t>
        </is>
      </c>
      <c r="D153" s="173" t="inlineStr">
        <is>
          <t>21.42 Km</t>
        </is>
      </c>
      <c r="E153" s="181" t="n">
        <v>49</v>
      </c>
      <c r="F153" s="182" t="n">
        <v>74</v>
      </c>
      <c r="G153" s="172" t="inlineStr">
        <is>
          <t>No</t>
        </is>
      </c>
      <c r="H153" s="170">
        <f>IF(A153="","",IF(OR(NOT(ISNUMBER(C153)),C153=""),"No",IF(AND(HOUR(C153)&gt;=0,HOUR(C153)&lt;5),"Yes","No")))</f>
        <v/>
      </c>
      <c r="I153" s="183">
        <f>IF(OR(B153="",NOT(ISNUMBER(B153))),"",INT(B153))</f>
        <v/>
      </c>
    </row>
    <row r="154" ht="15" customHeight="1" s="122">
      <c r="A154" s="179" t="inlineStr">
        <is>
          <t>KAA 754A</t>
        </is>
      </c>
      <c r="B154" s="172" t="inlineStr">
        <is>
          <t>25-02-2026 14:22:57</t>
        </is>
      </c>
      <c r="C154" s="172" t="inlineStr">
        <is>
          <t>25-02-2026 14:23:41</t>
        </is>
      </c>
      <c r="D154" s="173" t="inlineStr">
        <is>
          <t>0.15 Km</t>
        </is>
      </c>
      <c r="E154" s="181" t="n">
        <v>10</v>
      </c>
      <c r="F154" s="182" t="n">
        <v>13</v>
      </c>
      <c r="G154" s="172" t="inlineStr">
        <is>
          <t>No</t>
        </is>
      </c>
      <c r="H154" s="170">
        <f>IF(A154="","",IF(OR(NOT(ISNUMBER(C154)),C154=""),"No",IF(AND(HOUR(C154)&gt;=0,HOUR(C154)&lt;5),"Yes","No")))</f>
        <v/>
      </c>
      <c r="I154" s="183">
        <f>IF(OR(B154="",NOT(ISNUMBER(B154))),"",INT(B154))</f>
        <v/>
      </c>
    </row>
    <row r="155" ht="15" customHeight="1" s="122">
      <c r="A155" s="179" t="inlineStr">
        <is>
          <t>KAA 754A</t>
        </is>
      </c>
      <c r="B155" s="172" t="inlineStr">
        <is>
          <t>25-02-2026 14:24:56</t>
        </is>
      </c>
      <c r="C155" s="172" t="inlineStr">
        <is>
          <t>25-02-2026 15:20:11</t>
        </is>
      </c>
      <c r="D155" s="173" t="inlineStr">
        <is>
          <t>48.77 Km</t>
        </is>
      </c>
      <c r="E155" s="181" t="n">
        <v>52</v>
      </c>
      <c r="F155" s="182" t="n">
        <v>76</v>
      </c>
      <c r="G155" s="172" t="inlineStr">
        <is>
          <t>No</t>
        </is>
      </c>
      <c r="H155" s="170">
        <f>IF(A155="","",IF(OR(NOT(ISNUMBER(C155)),C155=""),"No",IF(AND(HOUR(C155)&gt;=0,HOUR(C155)&lt;5),"Yes","No")))</f>
        <v/>
      </c>
      <c r="I155" s="183">
        <f>IF(OR(B155="",NOT(ISNUMBER(B155))),"",INT(B155))</f>
        <v/>
      </c>
    </row>
    <row r="156" ht="15" customHeight="1" s="122">
      <c r="A156" s="179" t="inlineStr">
        <is>
          <t>KAA 754A</t>
        </is>
      </c>
      <c r="B156" s="172" t="inlineStr">
        <is>
          <t>25-02-2026 15:22:12</t>
        </is>
      </c>
      <c r="C156" s="172" t="inlineStr">
        <is>
          <t>25-02-2026 15:46:05</t>
        </is>
      </c>
      <c r="D156" s="173" t="inlineStr">
        <is>
          <t>12.94 Km</t>
        </is>
      </c>
      <c r="E156" s="181" t="n">
        <v>35</v>
      </c>
      <c r="F156" s="182" t="n">
        <v>63</v>
      </c>
      <c r="G156" s="172" t="inlineStr">
        <is>
          <t>No</t>
        </is>
      </c>
      <c r="H156" s="170">
        <f>IF(A156="","",IF(OR(NOT(ISNUMBER(C156)),C156=""),"No",IF(AND(HOUR(C156)&gt;=0,HOUR(C156)&lt;5),"Yes","No")))</f>
        <v/>
      </c>
      <c r="I156" s="183">
        <f>IF(OR(B156="",NOT(ISNUMBER(B156))),"",INT(B156))</f>
        <v/>
      </c>
    </row>
    <row r="157" ht="15" customHeight="1" s="122">
      <c r="A157" s="179" t="inlineStr">
        <is>
          <t>KAA 754A</t>
        </is>
      </c>
      <c r="B157" s="172" t="inlineStr">
        <is>
          <t>25-02-2026 15:58:16</t>
        </is>
      </c>
      <c r="C157" s="172" t="inlineStr">
        <is>
          <t>25-02-2026 16:07:37</t>
        </is>
      </c>
      <c r="D157" s="173" t="inlineStr">
        <is>
          <t>3.25 Km</t>
        </is>
      </c>
      <c r="E157" s="181" t="n">
        <v>21</v>
      </c>
      <c r="F157" s="182" t="n">
        <v>46</v>
      </c>
      <c r="G157" s="172" t="inlineStr">
        <is>
          <t>No</t>
        </is>
      </c>
      <c r="H157" s="170">
        <f>IF(A157="","",IF(OR(NOT(ISNUMBER(C157)),C157=""),"No",IF(AND(HOUR(C157)&gt;=0,HOUR(C157)&lt;5),"Yes","No")))</f>
        <v/>
      </c>
      <c r="I157" s="183">
        <f>IF(OR(B157="",NOT(ISNUMBER(B157))),"",INT(B157))</f>
        <v/>
      </c>
    </row>
    <row r="158" ht="15" customHeight="1" s="122">
      <c r="A158" s="179" t="inlineStr">
        <is>
          <t>KAA 754A</t>
        </is>
      </c>
      <c r="B158" s="172" t="inlineStr">
        <is>
          <t>25-02-2026 16:46:32</t>
        </is>
      </c>
      <c r="C158" s="172" t="inlineStr">
        <is>
          <t>25-02-2026 17:04:56</t>
        </is>
      </c>
      <c r="D158" s="173" t="inlineStr">
        <is>
          <t>7.65 Km</t>
        </is>
      </c>
      <c r="E158" s="181" t="n">
        <v>27</v>
      </c>
      <c r="F158" s="182" t="n">
        <v>51</v>
      </c>
      <c r="G158" s="172" t="inlineStr">
        <is>
          <t>No</t>
        </is>
      </c>
      <c r="H158" s="170">
        <f>IF(A158="","",IF(OR(NOT(ISNUMBER(C158)),C158=""),"No",IF(AND(HOUR(C158)&gt;=0,HOUR(C158)&lt;5),"Yes","No")))</f>
        <v/>
      </c>
      <c r="I158" s="183">
        <f>IF(OR(B158="",NOT(ISNUMBER(B158))),"",INT(B158))</f>
        <v/>
      </c>
    </row>
    <row r="159" ht="15" customHeight="1" s="122">
      <c r="A159" s="179" t="inlineStr">
        <is>
          <t>KAA 754A</t>
        </is>
      </c>
      <c r="B159" s="172" t="inlineStr">
        <is>
          <t>25-02-2026 17:10:28</t>
        </is>
      </c>
      <c r="C159" s="172" t="inlineStr">
        <is>
          <t>25-02-2026 17:37:21</t>
        </is>
      </c>
      <c r="D159" s="173" t="inlineStr">
        <is>
          <t>20.21 Km</t>
        </is>
      </c>
      <c r="E159" s="181" t="n">
        <v>59</v>
      </c>
      <c r="F159" s="182" t="n">
        <v>94</v>
      </c>
      <c r="G159" s="172" t="inlineStr">
        <is>
          <t>No</t>
        </is>
      </c>
      <c r="H159" s="170">
        <f>IF(A159="","",IF(OR(NOT(ISNUMBER(C159)),C159=""),"No",IF(AND(HOUR(C159)&gt;=0,HOUR(C159)&lt;5),"Yes","No")))</f>
        <v/>
      </c>
      <c r="I159" s="183">
        <f>IF(OR(B159="",NOT(ISNUMBER(B159))),"",INT(B159))</f>
        <v/>
      </c>
    </row>
    <row r="160" ht="15" customHeight="1" s="122">
      <c r="A160" s="179" t="inlineStr">
        <is>
          <t>KAA 754A</t>
        </is>
      </c>
      <c r="B160" s="172" t="inlineStr">
        <is>
          <t>25-02-2026 17:40:05</t>
        </is>
      </c>
      <c r="C160" s="172" t="inlineStr">
        <is>
          <t>25-02-2026 18:22:42</t>
        </is>
      </c>
      <c r="D160" s="173" t="inlineStr">
        <is>
          <t>9.2 Km</t>
        </is>
      </c>
      <c r="E160" s="181" t="n">
        <v>19</v>
      </c>
      <c r="F160" s="182" t="n">
        <v>57</v>
      </c>
      <c r="G160" s="172" t="inlineStr">
        <is>
          <t>No</t>
        </is>
      </c>
      <c r="H160" s="170">
        <f>IF(A160="","",IF(OR(NOT(ISNUMBER(C160)),C160=""),"No",IF(AND(HOUR(C160)&gt;=0,HOUR(C160)&lt;5),"Yes","No")))</f>
        <v/>
      </c>
      <c r="I160" s="183">
        <f>IF(OR(B160="",NOT(ISNUMBER(B160))),"",INT(B160))</f>
        <v/>
      </c>
    </row>
    <row r="161" ht="15" customHeight="1" s="122">
      <c r="A161" s="179" t="inlineStr">
        <is>
          <t>KAA 214B</t>
        </is>
      </c>
      <c r="B161" s="180" t="n">
        <v>46024.33399305555</v>
      </c>
      <c r="C161" s="180" t="n">
        <v>46024.36300925926</v>
      </c>
      <c r="D161" s="173" t="inlineStr">
        <is>
          <t>29.91 Km</t>
        </is>
      </c>
      <c r="E161" s="181" t="n">
        <v>42</v>
      </c>
      <c r="F161" s="182" t="n">
        <v>78</v>
      </c>
      <c r="G161" s="172" t="inlineStr">
        <is>
          <t>No</t>
        </is>
      </c>
      <c r="H161" s="170">
        <f>IF(A161="","",IF(OR(NOT(ISNUMBER(C161)),C161=""),"No",IF(AND(HOUR(C161)&gt;=0,HOUR(C161)&lt;5),"Yes","No")))</f>
        <v/>
      </c>
      <c r="I161" s="183">
        <f>IF(OR(B161="",NOT(ISNUMBER(B161))),"",INT(B161))</f>
        <v/>
      </c>
    </row>
    <row r="162" ht="15" customHeight="1" s="122">
      <c r="A162" s="179" t="inlineStr">
        <is>
          <t>KAA 214B</t>
        </is>
      </c>
      <c r="B162" s="180" t="n">
        <v>46024.59111111111</v>
      </c>
      <c r="C162" s="180" t="n">
        <v>46024.61123842592</v>
      </c>
      <c r="D162" s="173" t="inlineStr">
        <is>
          <t>11.15 Km</t>
        </is>
      </c>
      <c r="E162" s="181" t="n">
        <v>26</v>
      </c>
      <c r="F162" s="182" t="n">
        <v>64</v>
      </c>
      <c r="G162" s="172" t="inlineStr">
        <is>
          <t>No</t>
        </is>
      </c>
      <c r="H162" s="170">
        <f>IF(A162="","",IF(OR(NOT(ISNUMBER(C162)),C162=""),"No",IF(AND(HOUR(C162)&gt;=0,HOUR(C162)&lt;5),"Yes","No")))</f>
        <v/>
      </c>
      <c r="I162" s="183">
        <f>IF(OR(B162="",NOT(ISNUMBER(B162))),"",INT(B162))</f>
        <v/>
      </c>
    </row>
    <row r="163" ht="15" customHeight="1" s="122">
      <c r="A163" s="179" t="inlineStr">
        <is>
          <t>KAA 214B</t>
        </is>
      </c>
      <c r="B163" s="180" t="n">
        <v>46024.62016203703</v>
      </c>
      <c r="C163" s="180" t="n">
        <v>46024.64232638889</v>
      </c>
      <c r="D163" s="173" t="inlineStr">
        <is>
          <t>22.28 Km</t>
        </is>
      </c>
      <c r="E163" s="181" t="n">
        <v>42</v>
      </c>
      <c r="F163" s="182" t="n">
        <v>86</v>
      </c>
      <c r="G163" s="172" t="inlineStr">
        <is>
          <t>No</t>
        </is>
      </c>
      <c r="H163" s="170">
        <f>IF(A163="","",IF(OR(NOT(ISNUMBER(C163)),C163=""),"No",IF(AND(HOUR(C163)&gt;=0,HOUR(C163)&lt;5),"Yes","No")))</f>
        <v/>
      </c>
      <c r="I163" s="183">
        <f>IF(OR(B163="",NOT(ISNUMBER(B163))),"",INT(B163))</f>
        <v/>
      </c>
    </row>
    <row r="164" ht="15" customHeight="1" s="122">
      <c r="A164" s="179" t="inlineStr">
        <is>
          <t>KAA 214B</t>
        </is>
      </c>
      <c r="B164" s="180" t="n">
        <v>46024.78761574074</v>
      </c>
      <c r="C164" s="180" t="n">
        <v>46024.80165509259</v>
      </c>
      <c r="D164" s="173" t="inlineStr">
        <is>
          <t>5.67 Km</t>
        </is>
      </c>
      <c r="E164" s="181" t="n">
        <v>16</v>
      </c>
      <c r="F164" s="182" t="n">
        <v>61</v>
      </c>
      <c r="G164" s="172" t="inlineStr">
        <is>
          <t>No</t>
        </is>
      </c>
      <c r="H164" s="170">
        <f>IF(A164="","",IF(OR(NOT(ISNUMBER(C164)),C164=""),"No",IF(AND(HOUR(C164)&gt;=0,HOUR(C164)&lt;5),"Yes","No")))</f>
        <v/>
      </c>
      <c r="I164" s="183">
        <f>IF(OR(B164="",NOT(ISNUMBER(B164))),"",INT(B164))</f>
        <v/>
      </c>
    </row>
    <row r="165" ht="15" customHeight="1" s="122">
      <c r="A165" s="179" t="inlineStr">
        <is>
          <t>KAA 214B</t>
        </is>
      </c>
      <c r="B165" s="180" t="n">
        <v>46055.43196759259</v>
      </c>
      <c r="C165" s="180" t="n">
        <v>46055.46157407408</v>
      </c>
      <c r="D165" s="173" t="inlineStr">
        <is>
          <t>26.53 Km</t>
        </is>
      </c>
      <c r="E165" s="181" t="n">
        <v>39</v>
      </c>
      <c r="F165" s="182" t="n">
        <v>75</v>
      </c>
      <c r="G165" s="172" t="inlineStr">
        <is>
          <t>No</t>
        </is>
      </c>
      <c r="H165" s="170">
        <f>IF(A165="","",IF(OR(NOT(ISNUMBER(C165)),C165=""),"No",IF(AND(HOUR(C165)&gt;=0,HOUR(C165)&lt;5),"Yes","No")))</f>
        <v/>
      </c>
      <c r="I165" s="183">
        <f>IF(OR(B165="",NOT(ISNUMBER(B165))),"",INT(B165))</f>
        <v/>
      </c>
    </row>
    <row r="166" ht="15" customHeight="1" s="122">
      <c r="A166" s="179" t="inlineStr">
        <is>
          <t>KAA 214B</t>
        </is>
      </c>
      <c r="B166" s="180" t="n">
        <v>46055.48082175926</v>
      </c>
      <c r="C166" s="180" t="n">
        <v>46055.48315972222</v>
      </c>
      <c r="D166" s="173" t="inlineStr">
        <is>
          <t>0.69 Km</t>
        </is>
      </c>
      <c r="E166" s="181" t="n">
        <v>11</v>
      </c>
      <c r="F166" s="182" t="n">
        <v>33</v>
      </c>
      <c r="G166" s="172" t="inlineStr">
        <is>
          <t>No</t>
        </is>
      </c>
      <c r="H166" s="170">
        <f>IF(A166="","",IF(OR(NOT(ISNUMBER(C166)),C166=""),"No",IF(AND(HOUR(C166)&gt;=0,HOUR(C166)&lt;5),"Yes","No")))</f>
        <v/>
      </c>
      <c r="I166" s="183">
        <f>IF(OR(B166="",NOT(ISNUMBER(B166))),"",INT(B166))</f>
        <v/>
      </c>
    </row>
    <row r="167" ht="15" customHeight="1" s="122">
      <c r="A167" s="179" t="inlineStr">
        <is>
          <t>KAA 214B</t>
        </is>
      </c>
      <c r="B167" s="180" t="n">
        <v>46055.76275462963</v>
      </c>
      <c r="C167" s="180" t="n">
        <v>46055.79184027778</v>
      </c>
      <c r="D167" s="173" t="inlineStr">
        <is>
          <t>23.98 Km</t>
        </is>
      </c>
      <c r="E167" s="181" t="n">
        <v>35</v>
      </c>
      <c r="F167" s="182" t="n">
        <v>84</v>
      </c>
      <c r="G167" s="172" t="inlineStr">
        <is>
          <t>No</t>
        </is>
      </c>
      <c r="H167" s="170">
        <f>IF(A167="","",IF(OR(NOT(ISNUMBER(C167)),C167=""),"No",IF(AND(HOUR(C167)&gt;=0,HOUR(C167)&lt;5),"Yes","No")))</f>
        <v/>
      </c>
      <c r="I167" s="183">
        <f>IF(OR(B167="",NOT(ISNUMBER(B167))),"",INT(B167))</f>
        <v/>
      </c>
    </row>
    <row r="168" ht="15" customHeight="1" s="122">
      <c r="A168" s="179" t="inlineStr">
        <is>
          <t>KAA 214B</t>
        </is>
      </c>
      <c r="B168" s="180" t="n">
        <v>46083.4291087963</v>
      </c>
      <c r="C168" s="180" t="n">
        <v>46083.42983796296</v>
      </c>
      <c r="D168" s="173" t="inlineStr">
        <is>
          <t>0.02 Km</t>
        </is>
      </c>
      <c r="E168" s="181" t="n">
        <v>8</v>
      </c>
      <c r="F168" s="182" t="n">
        <v>8</v>
      </c>
      <c r="G168" s="172" t="inlineStr">
        <is>
          <t>No</t>
        </is>
      </c>
      <c r="H168" s="170">
        <f>IF(A168="","",IF(OR(NOT(ISNUMBER(C168)),C168=""),"No",IF(AND(HOUR(C168)&gt;=0,HOUR(C168)&lt;5),"Yes","No")))</f>
        <v/>
      </c>
      <c r="I168" s="183">
        <f>IF(OR(B168="",NOT(ISNUMBER(B168))),"",INT(B168))</f>
        <v/>
      </c>
    </row>
    <row r="169" ht="15" customHeight="1" s="122">
      <c r="A169" s="179" t="inlineStr">
        <is>
          <t>KAA 214B</t>
        </is>
      </c>
      <c r="B169" s="180" t="n">
        <v>46083.43743055555</v>
      </c>
      <c r="C169" s="180" t="n">
        <v>46083.48197916667</v>
      </c>
      <c r="D169" s="173" t="inlineStr">
        <is>
          <t>44.74 Km</t>
        </is>
      </c>
      <c r="E169" s="181" t="n">
        <v>43</v>
      </c>
      <c r="F169" s="182" t="n">
        <v>81</v>
      </c>
      <c r="G169" s="172" t="inlineStr">
        <is>
          <t>No</t>
        </is>
      </c>
      <c r="H169" s="170">
        <f>IF(A169="","",IF(OR(NOT(ISNUMBER(C169)),C169=""),"No",IF(AND(HOUR(C169)&gt;=0,HOUR(C169)&lt;5),"Yes","No")))</f>
        <v/>
      </c>
      <c r="I169" s="183">
        <f>IF(OR(B169="",NOT(ISNUMBER(B169))),"",INT(B169))</f>
        <v/>
      </c>
    </row>
    <row r="170" ht="15" customHeight="1" s="122">
      <c r="A170" s="179" t="inlineStr">
        <is>
          <t>KAA 214B</t>
        </is>
      </c>
      <c r="B170" s="180" t="n">
        <v>46083.70925925926</v>
      </c>
      <c r="C170" s="180" t="n">
        <v>46083.74642361111</v>
      </c>
      <c r="D170" s="173" t="inlineStr">
        <is>
          <t>37.4 Km</t>
        </is>
      </c>
      <c r="E170" s="181" t="n">
        <v>43</v>
      </c>
      <c r="F170" s="182" t="n">
        <v>79</v>
      </c>
      <c r="G170" s="172" t="inlineStr">
        <is>
          <t>No</t>
        </is>
      </c>
      <c r="H170" s="170">
        <f>IF(A170="","",IF(OR(NOT(ISNUMBER(C170)),C170=""),"No",IF(AND(HOUR(C170)&gt;=0,HOUR(C170)&lt;5),"Yes","No")))</f>
        <v/>
      </c>
      <c r="I170" s="183">
        <f>IF(OR(B170="",NOT(ISNUMBER(B170))),"",INT(B170))</f>
        <v/>
      </c>
    </row>
    <row r="171" ht="15" customHeight="1" s="122">
      <c r="A171" s="179" t="inlineStr">
        <is>
          <t>KAA 214B</t>
        </is>
      </c>
      <c r="B171" s="180" t="n">
        <v>46083.74787037037</v>
      </c>
      <c r="C171" s="180" t="n">
        <v>46083.74980324074</v>
      </c>
      <c r="D171" s="173" t="inlineStr">
        <is>
          <t>0.14 Km</t>
        </is>
      </c>
      <c r="E171" s="181" t="n">
        <v>6</v>
      </c>
      <c r="F171" s="182" t="n">
        <v>7</v>
      </c>
      <c r="G171" s="172" t="inlineStr">
        <is>
          <t>No</t>
        </is>
      </c>
      <c r="H171" s="170">
        <f>IF(A171="","",IF(OR(NOT(ISNUMBER(C171)),C171=""),"No",IF(AND(HOUR(C171)&gt;=0,HOUR(C171)&lt;5),"Yes","No")))</f>
        <v/>
      </c>
      <c r="I171" s="183">
        <f>IF(OR(B171="",NOT(ISNUMBER(B171))),"",INT(B171))</f>
        <v/>
      </c>
    </row>
    <row r="172" ht="15" customHeight="1" s="122">
      <c r="A172" s="179" t="inlineStr">
        <is>
          <t>KAA 214B</t>
        </is>
      </c>
      <c r="B172" s="180" t="n">
        <v>46083.75405092593</v>
      </c>
      <c r="C172" s="180" t="n">
        <v>46083.75631944444</v>
      </c>
      <c r="D172" s="173" t="inlineStr">
        <is>
          <t>0.79 Km</t>
        </is>
      </c>
      <c r="E172" s="181" t="n">
        <v>14</v>
      </c>
      <c r="F172" s="182" t="n">
        <v>41</v>
      </c>
      <c r="G172" s="172" t="inlineStr">
        <is>
          <t>No</t>
        </is>
      </c>
      <c r="H172" s="170">
        <f>IF(A172="","",IF(OR(NOT(ISNUMBER(C172)),C172=""),"No",IF(AND(HOUR(C172)&gt;=0,HOUR(C172)&lt;5),"Yes","No")))</f>
        <v/>
      </c>
      <c r="I172" s="183">
        <f>IF(OR(B172="",NOT(ISNUMBER(B172))),"",INT(B172))</f>
        <v/>
      </c>
    </row>
    <row r="173" ht="15" customHeight="1" s="122">
      <c r="A173" s="179" t="inlineStr">
        <is>
          <t>KAA 214B</t>
        </is>
      </c>
      <c r="B173" s="180" t="n">
        <v>46083.76952546297</v>
      </c>
      <c r="C173" s="180" t="n">
        <v>46083.77100694444</v>
      </c>
      <c r="D173" s="173" t="inlineStr">
        <is>
          <t>0.78 Km</t>
        </is>
      </c>
      <c r="E173" s="181" t="n">
        <v>17</v>
      </c>
      <c r="F173" s="182" t="n">
        <v>29</v>
      </c>
      <c r="G173" s="172" t="inlineStr">
        <is>
          <t>No</t>
        </is>
      </c>
      <c r="H173" s="170">
        <f>IF(A173="","",IF(OR(NOT(ISNUMBER(C173)),C173=""),"No",IF(AND(HOUR(C173)&gt;=0,HOUR(C173)&lt;5),"Yes","No")))</f>
        <v/>
      </c>
      <c r="I173" s="183">
        <f>IF(OR(B173="",NOT(ISNUMBER(B173))),"",INT(B173))</f>
        <v/>
      </c>
    </row>
    <row r="174" ht="15" customHeight="1" s="122">
      <c r="A174" s="179" t="inlineStr">
        <is>
          <t>KAA 214B</t>
        </is>
      </c>
      <c r="B174" s="180" t="n">
        <v>46083.77332175926</v>
      </c>
      <c r="C174" s="180" t="n">
        <v>46083.77833333334</v>
      </c>
      <c r="D174" s="173" t="inlineStr">
        <is>
          <t>1.36 Km</t>
        </is>
      </c>
      <c r="E174" s="181" t="n">
        <v>14</v>
      </c>
      <c r="F174" s="182" t="n">
        <v>33</v>
      </c>
      <c r="G174" s="172" t="inlineStr">
        <is>
          <t>No</t>
        </is>
      </c>
      <c r="H174" s="170">
        <f>IF(A174="","",IF(OR(NOT(ISNUMBER(C174)),C174=""),"No",IF(AND(HOUR(C174)&gt;=0,HOUR(C174)&lt;5),"Yes","No")))</f>
        <v/>
      </c>
      <c r="I174" s="183">
        <f>IF(OR(B174="",NOT(ISNUMBER(B174))),"",INT(B174))</f>
        <v/>
      </c>
    </row>
    <row r="175" ht="15" customHeight="1" s="122">
      <c r="A175" s="179" t="inlineStr">
        <is>
          <t>KAA 214B</t>
        </is>
      </c>
      <c r="B175" s="180" t="n">
        <v>46083.81283564815</v>
      </c>
      <c r="C175" s="180" t="n">
        <v>46083.8633912037</v>
      </c>
      <c r="D175" s="173" t="inlineStr">
        <is>
          <t>36.73 Km</t>
        </is>
      </c>
      <c r="E175" s="181" t="n">
        <v>35</v>
      </c>
      <c r="F175" s="182" t="n">
        <v>87</v>
      </c>
      <c r="G175" s="172" t="inlineStr">
        <is>
          <t>No</t>
        </is>
      </c>
      <c r="H175" s="170">
        <f>IF(A175="","",IF(OR(NOT(ISNUMBER(C175)),C175=""),"No",IF(AND(HOUR(C175)&gt;=0,HOUR(C175)&lt;5),"Yes","No")))</f>
        <v/>
      </c>
      <c r="I175" s="183">
        <f>IF(OR(B175="",NOT(ISNUMBER(B175))),"",INT(B175))</f>
        <v/>
      </c>
    </row>
    <row r="176" ht="15" customHeight="1" s="122">
      <c r="A176" s="179" t="inlineStr">
        <is>
          <t>KAA 214B</t>
        </is>
      </c>
      <c r="B176" s="180" t="n">
        <v>46083.86510416667</v>
      </c>
      <c r="C176" s="180" t="n">
        <v>46083.86935185185</v>
      </c>
      <c r="D176" s="173" t="inlineStr">
        <is>
          <t>1.99 Km</t>
        </is>
      </c>
      <c r="E176" s="181" t="n">
        <v>18</v>
      </c>
      <c r="F176" s="182" t="n">
        <v>40</v>
      </c>
      <c r="G176" s="172" t="inlineStr">
        <is>
          <t>No</t>
        </is>
      </c>
      <c r="H176" s="170">
        <f>IF(A176="","",IF(OR(NOT(ISNUMBER(C176)),C176=""),"No",IF(AND(HOUR(C176)&gt;=0,HOUR(C176)&lt;5),"Yes","No")))</f>
        <v/>
      </c>
      <c r="I176" s="183">
        <f>IF(OR(B176="",NOT(ISNUMBER(B176))),"",INT(B176))</f>
        <v/>
      </c>
    </row>
    <row r="177" ht="15" customHeight="1" s="122">
      <c r="A177" s="179" t="inlineStr">
        <is>
          <t>KAA 214B</t>
        </is>
      </c>
      <c r="B177" s="180" t="n">
        <v>46083.89943287037</v>
      </c>
      <c r="C177" s="180" t="n">
        <v>46083.92153935185</v>
      </c>
      <c r="D177" s="173" t="inlineStr">
        <is>
          <t>22.92 Km</t>
        </is>
      </c>
      <c r="E177" s="181" t="n">
        <v>41</v>
      </c>
      <c r="F177" s="182" t="n">
        <v>88</v>
      </c>
      <c r="G177" s="172" t="inlineStr">
        <is>
          <t>Yes</t>
        </is>
      </c>
      <c r="H177" s="170">
        <f>IF(A177="","",IF(OR(NOT(ISNUMBER(C177)),C177=""),"No",IF(AND(HOUR(C177)&gt;=0,HOUR(C177)&lt;5),"Yes","No")))</f>
        <v/>
      </c>
      <c r="I177" s="183">
        <f>IF(OR(B177="",NOT(ISNUMBER(B177))),"",INT(B177))</f>
        <v/>
      </c>
    </row>
    <row r="178" ht="15" customHeight="1" s="122">
      <c r="A178" s="179" t="inlineStr">
        <is>
          <t>KAA 214B</t>
        </is>
      </c>
      <c r="B178" s="180" t="n">
        <v>46114.45744212963</v>
      </c>
      <c r="C178" s="180" t="n">
        <v>46114.50685185185</v>
      </c>
      <c r="D178" s="173" t="inlineStr">
        <is>
          <t>44.87 Km</t>
        </is>
      </c>
      <c r="E178" s="181" t="n">
        <v>42</v>
      </c>
      <c r="F178" s="182" t="n">
        <v>77</v>
      </c>
      <c r="G178" s="172" t="inlineStr">
        <is>
          <t>No</t>
        </is>
      </c>
      <c r="H178" s="170">
        <f>IF(A178="","",IF(OR(NOT(ISNUMBER(C178)),C178=""),"No",IF(AND(HOUR(C178)&gt;=0,HOUR(C178)&lt;5),"Yes","No")))</f>
        <v/>
      </c>
      <c r="I178" s="183">
        <f>IF(OR(B178="",NOT(ISNUMBER(B178))),"",INT(B178))</f>
        <v/>
      </c>
    </row>
    <row r="179" ht="15" customHeight="1" s="122">
      <c r="A179" s="179" t="inlineStr">
        <is>
          <t>KAA 214B</t>
        </is>
      </c>
      <c r="B179" s="180" t="n">
        <v>46114.61456018518</v>
      </c>
      <c r="C179" s="180" t="n">
        <v>46114.62179398148</v>
      </c>
      <c r="D179" s="173" t="inlineStr">
        <is>
          <t>4.25 Km</t>
        </is>
      </c>
      <c r="E179" s="181" t="n">
        <v>25</v>
      </c>
      <c r="F179" s="182" t="n">
        <v>43</v>
      </c>
      <c r="G179" s="172" t="inlineStr">
        <is>
          <t>No</t>
        </is>
      </c>
      <c r="H179" s="170">
        <f>IF(A179="","",IF(OR(NOT(ISNUMBER(C179)),C179=""),"No",IF(AND(HOUR(C179)&gt;=0,HOUR(C179)&lt;5),"Yes","No")))</f>
        <v/>
      </c>
      <c r="I179" s="183">
        <f>IF(OR(B179="",NOT(ISNUMBER(B179))),"",INT(B179))</f>
        <v/>
      </c>
    </row>
    <row r="180" ht="15" customHeight="1" s="122">
      <c r="A180" s="179" t="inlineStr">
        <is>
          <t>KAA 214B</t>
        </is>
      </c>
      <c r="B180" s="180" t="n">
        <v>46114.62270833334</v>
      </c>
      <c r="C180" s="180" t="n">
        <v>46114.62390046296</v>
      </c>
      <c r="D180" s="173" t="inlineStr">
        <is>
          <t>0.11 Km</t>
        </is>
      </c>
      <c r="E180" s="181" t="n">
        <v>7</v>
      </c>
      <c r="F180" s="182" t="n">
        <v>11</v>
      </c>
      <c r="G180" s="172" t="inlineStr">
        <is>
          <t>No</t>
        </is>
      </c>
      <c r="H180" s="170">
        <f>IF(A180="","",IF(OR(NOT(ISNUMBER(C180)),C180=""),"No",IF(AND(HOUR(C180)&gt;=0,HOUR(C180)&lt;5),"Yes","No")))</f>
        <v/>
      </c>
      <c r="I180" s="183">
        <f>IF(OR(B180="",NOT(ISNUMBER(B180))),"",INT(B180))</f>
        <v/>
      </c>
    </row>
    <row r="181" ht="15" customHeight="1" s="122">
      <c r="A181" s="179" t="inlineStr">
        <is>
          <t>KAA 214B</t>
        </is>
      </c>
      <c r="B181" s="180" t="n">
        <v>46114.62482638889</v>
      </c>
      <c r="C181" s="180" t="n">
        <v>46114.62519675926</v>
      </c>
      <c r="D181" s="173" t="inlineStr">
        <is>
          <t>0.01 Km</t>
        </is>
      </c>
      <c r="E181" s="181" t="n">
        <v>6</v>
      </c>
      <c r="F181" s="182" t="n">
        <v>6</v>
      </c>
      <c r="G181" s="172" t="inlineStr">
        <is>
          <t>No</t>
        </is>
      </c>
      <c r="H181" s="170">
        <f>IF(A181="","",IF(OR(NOT(ISNUMBER(C181)),C181=""),"No",IF(AND(HOUR(C181)&gt;=0,HOUR(C181)&lt;5),"Yes","No")))</f>
        <v/>
      </c>
      <c r="I181" s="183">
        <f>IF(OR(B181="",NOT(ISNUMBER(B181))),"",INT(B181))</f>
        <v/>
      </c>
    </row>
    <row r="182" ht="15" customHeight="1" s="122">
      <c r="A182" s="179" t="inlineStr">
        <is>
          <t>KAA 214B</t>
        </is>
      </c>
      <c r="B182" s="180" t="n">
        <v>46114.64991898148</v>
      </c>
      <c r="C182" s="180" t="n">
        <v>46114.65997685185</v>
      </c>
      <c r="D182" s="173" t="inlineStr">
        <is>
          <t>3.63 Km</t>
        </is>
      </c>
      <c r="E182" s="181" t="n">
        <v>20</v>
      </c>
      <c r="F182" s="182" t="n">
        <v>41</v>
      </c>
      <c r="G182" s="172" t="inlineStr">
        <is>
          <t>No</t>
        </is>
      </c>
      <c r="H182" s="170">
        <f>IF(A182="","",IF(OR(NOT(ISNUMBER(C182)),C182=""),"No",IF(AND(HOUR(C182)&gt;=0,HOUR(C182)&lt;5),"Yes","No")))</f>
        <v/>
      </c>
      <c r="I182" s="183">
        <f>IF(OR(B182="",NOT(ISNUMBER(B182))),"",INT(B182))</f>
        <v/>
      </c>
    </row>
    <row r="183" ht="15" customHeight="1" s="122">
      <c r="A183" s="179" t="inlineStr">
        <is>
          <t>KAA 214B</t>
        </is>
      </c>
      <c r="B183" s="180" t="n">
        <v>46114.66731481482</v>
      </c>
      <c r="C183" s="180" t="n">
        <v>46114.67388888889</v>
      </c>
      <c r="D183" s="173" t="inlineStr">
        <is>
          <t>2.32 Km</t>
        </is>
      </c>
      <c r="E183" s="181" t="n">
        <v>16</v>
      </c>
      <c r="F183" s="182" t="n">
        <v>36</v>
      </c>
      <c r="G183" s="172" t="inlineStr">
        <is>
          <t>No</t>
        </is>
      </c>
      <c r="H183" s="170">
        <f>IF(A183="","",IF(OR(NOT(ISNUMBER(C183)),C183=""),"No",IF(AND(HOUR(C183)&gt;=0,HOUR(C183)&lt;5),"Yes","No")))</f>
        <v/>
      </c>
      <c r="I183" s="183">
        <f>IF(OR(B183="",NOT(ISNUMBER(B183))),"",INT(B183))</f>
        <v/>
      </c>
    </row>
    <row r="184" ht="15" customHeight="1" s="122">
      <c r="A184" s="179" t="inlineStr">
        <is>
          <t>KAA 214B</t>
        </is>
      </c>
      <c r="B184" s="180" t="n">
        <v>46114.68157407407</v>
      </c>
      <c r="C184" s="180" t="n">
        <v>46114.73515046296</v>
      </c>
      <c r="D184" s="173" t="inlineStr">
        <is>
          <t>47.56 Km</t>
        </is>
      </c>
      <c r="E184" s="181" t="n">
        <v>43</v>
      </c>
      <c r="F184" s="182" t="n">
        <v>80</v>
      </c>
      <c r="G184" s="172" t="inlineStr">
        <is>
          <t>No</t>
        </is>
      </c>
      <c r="H184" s="170">
        <f>IF(A184="","",IF(OR(NOT(ISNUMBER(C184)),C184=""),"No",IF(AND(HOUR(C184)&gt;=0,HOUR(C184)&lt;5),"Yes","No")))</f>
        <v/>
      </c>
      <c r="I184" s="183">
        <f>IF(OR(B184="",NOT(ISNUMBER(B184))),"",INT(B184))</f>
        <v/>
      </c>
    </row>
    <row r="185" ht="15" customHeight="1" s="122">
      <c r="A185" s="179" t="inlineStr">
        <is>
          <t>KAA 214B</t>
        </is>
      </c>
      <c r="B185" s="180" t="n">
        <v>46114.78936342592</v>
      </c>
      <c r="C185" s="180" t="n">
        <v>46114.80056712963</v>
      </c>
      <c r="D185" s="173" t="inlineStr">
        <is>
          <t>7.2 Km</t>
        </is>
      </c>
      <c r="E185" s="181" t="n">
        <v>28</v>
      </c>
      <c r="F185" s="182" t="n">
        <v>55</v>
      </c>
      <c r="G185" s="172" t="inlineStr">
        <is>
          <t>No</t>
        </is>
      </c>
      <c r="H185" s="170">
        <f>IF(A185="","",IF(OR(NOT(ISNUMBER(C185)),C185=""),"No",IF(AND(HOUR(C185)&gt;=0,HOUR(C185)&lt;5),"Yes","No")))</f>
        <v/>
      </c>
      <c r="I185" s="183">
        <f>IF(OR(B185="",NOT(ISNUMBER(B185))),"",INT(B185))</f>
        <v/>
      </c>
    </row>
    <row r="186" ht="15" customHeight="1" s="122">
      <c r="A186" s="179" t="inlineStr">
        <is>
          <t>KAA 214B</t>
        </is>
      </c>
      <c r="B186" s="180" t="n">
        <v>46144.49783564815</v>
      </c>
      <c r="C186" s="180" t="n">
        <v>46144.49940972222</v>
      </c>
      <c r="D186" s="173" t="inlineStr">
        <is>
          <t>0.34 Km</t>
        </is>
      </c>
      <c r="E186" s="181" t="n">
        <v>10</v>
      </c>
      <c r="F186" s="182" t="n">
        <v>13</v>
      </c>
      <c r="G186" s="172" t="inlineStr">
        <is>
          <t>No</t>
        </is>
      </c>
      <c r="H186" s="170">
        <f>IF(A186="","",IF(OR(NOT(ISNUMBER(C186)),C186=""),"No",IF(AND(HOUR(C186)&gt;=0,HOUR(C186)&lt;5),"Yes","No")))</f>
        <v/>
      </c>
      <c r="I186" s="183">
        <f>IF(OR(B186="",NOT(ISNUMBER(B186))),"",INT(B186))</f>
        <v/>
      </c>
    </row>
    <row r="187" ht="15" customHeight="1" s="122">
      <c r="A187" s="179" t="inlineStr">
        <is>
          <t>KAA 214B</t>
        </is>
      </c>
      <c r="B187" s="180" t="n">
        <v>46144.50108796296</v>
      </c>
      <c r="C187" s="180" t="n">
        <v>46144.53292824074</v>
      </c>
      <c r="D187" s="173" t="inlineStr">
        <is>
          <t>25.91 Km</t>
        </is>
      </c>
      <c r="E187" s="181" t="n">
        <v>37</v>
      </c>
      <c r="F187" s="182" t="n">
        <v>64</v>
      </c>
      <c r="G187" s="172" t="inlineStr">
        <is>
          <t>No</t>
        </is>
      </c>
      <c r="H187" s="170">
        <f>IF(A187="","",IF(OR(NOT(ISNUMBER(C187)),C187=""),"No",IF(AND(HOUR(C187)&gt;=0,HOUR(C187)&lt;5),"Yes","No")))</f>
        <v/>
      </c>
      <c r="I187" s="183">
        <f>IF(OR(B187="",NOT(ISNUMBER(B187))),"",INT(B187))</f>
        <v/>
      </c>
    </row>
    <row r="188" ht="15" customHeight="1" s="122">
      <c r="A188" s="179" t="inlineStr">
        <is>
          <t>KAA 214B</t>
        </is>
      </c>
      <c r="B188" s="180" t="n">
        <v>46144.7409375</v>
      </c>
      <c r="C188" s="180" t="n">
        <v>46144.74282407408</v>
      </c>
      <c r="D188" s="173" t="inlineStr">
        <is>
          <t>0.37 Km</t>
        </is>
      </c>
      <c r="E188" s="181" t="n">
        <v>10</v>
      </c>
      <c r="F188" s="182" t="n">
        <v>17</v>
      </c>
      <c r="G188" s="172" t="inlineStr">
        <is>
          <t>No</t>
        </is>
      </c>
      <c r="H188" s="170">
        <f>IF(A188="","",IF(OR(NOT(ISNUMBER(C188)),C188=""),"No",IF(AND(HOUR(C188)&gt;=0,HOUR(C188)&lt;5),"Yes","No")))</f>
        <v/>
      </c>
      <c r="I188" s="183">
        <f>IF(OR(B188="",NOT(ISNUMBER(B188))),"",INT(B188))</f>
        <v/>
      </c>
    </row>
    <row r="189" ht="15" customHeight="1" s="122">
      <c r="A189" s="179" t="inlineStr">
        <is>
          <t>KAA 214B</t>
        </is>
      </c>
      <c r="B189" s="180" t="n">
        <v>46144.77118055556</v>
      </c>
      <c r="C189" s="180" t="n">
        <v>46144.78519675926</v>
      </c>
      <c r="D189" s="173" t="inlineStr">
        <is>
          <t>3 Km</t>
        </is>
      </c>
      <c r="E189" s="181" t="n">
        <v>9</v>
      </c>
      <c r="F189" s="182" t="n">
        <v>25</v>
      </c>
      <c r="G189" s="172" t="inlineStr">
        <is>
          <t>No</t>
        </is>
      </c>
      <c r="H189" s="170">
        <f>IF(A189="","",IF(OR(NOT(ISNUMBER(C189)),C189=""),"No",IF(AND(HOUR(C189)&gt;=0,HOUR(C189)&lt;5),"Yes","No")))</f>
        <v/>
      </c>
      <c r="I189" s="183">
        <f>IF(OR(B189="",NOT(ISNUMBER(B189))),"",INT(B189))</f>
        <v/>
      </c>
    </row>
    <row r="190" ht="15" customHeight="1" s="122">
      <c r="A190" s="179" t="inlineStr">
        <is>
          <t>KAA 214B</t>
        </is>
      </c>
      <c r="B190" s="180" t="n">
        <v>46144.78672453704</v>
      </c>
      <c r="C190" s="180" t="n">
        <v>46144.78829861111</v>
      </c>
      <c r="D190" s="173" t="inlineStr">
        <is>
          <t>0.15 Km</t>
        </is>
      </c>
      <c r="E190" s="181" t="n">
        <v>6</v>
      </c>
      <c r="F190" s="182" t="n">
        <v>7</v>
      </c>
      <c r="G190" s="172" t="inlineStr">
        <is>
          <t>No</t>
        </is>
      </c>
      <c r="H190" s="170">
        <f>IF(A190="","",IF(OR(NOT(ISNUMBER(C190)),C190=""),"No",IF(AND(HOUR(C190)&gt;=0,HOUR(C190)&lt;5),"Yes","No")))</f>
        <v/>
      </c>
      <c r="I190" s="183">
        <f>IF(OR(B190="",NOT(ISNUMBER(B190))),"",INT(B190))</f>
        <v/>
      </c>
    </row>
    <row r="191" ht="15" customHeight="1" s="122">
      <c r="A191" s="179" t="inlineStr">
        <is>
          <t>KAA 214B</t>
        </is>
      </c>
      <c r="B191" s="180" t="n">
        <v>46144.79447916667</v>
      </c>
      <c r="C191" s="180" t="n">
        <v>46144.80459490741</v>
      </c>
      <c r="D191" s="173" t="inlineStr">
        <is>
          <t>4.63 Km</t>
        </is>
      </c>
      <c r="E191" s="181" t="n">
        <v>17</v>
      </c>
      <c r="F191" s="182" t="n">
        <v>47</v>
      </c>
      <c r="G191" s="172" t="inlineStr">
        <is>
          <t>No</t>
        </is>
      </c>
      <c r="H191" s="170">
        <f>IF(A191="","",IF(OR(NOT(ISNUMBER(C191)),C191=""),"No",IF(AND(HOUR(C191)&gt;=0,HOUR(C191)&lt;5),"Yes","No")))</f>
        <v/>
      </c>
      <c r="I191" s="183">
        <f>IF(OR(B191="",NOT(ISNUMBER(B191))),"",INT(B191))</f>
        <v/>
      </c>
    </row>
    <row r="192" ht="15" customHeight="1" s="122">
      <c r="A192" s="179" t="inlineStr">
        <is>
          <t>KAA 214B</t>
        </is>
      </c>
      <c r="B192" s="180" t="n">
        <v>46144.80880787037</v>
      </c>
      <c r="C192" s="180" t="n">
        <v>46144.82318287037</v>
      </c>
      <c r="D192" s="173" t="inlineStr">
        <is>
          <t>15.57 Km</t>
        </is>
      </c>
      <c r="E192" s="181" t="n">
        <v>44</v>
      </c>
      <c r="F192" s="182" t="n">
        <v>72</v>
      </c>
      <c r="G192" s="172" t="inlineStr">
        <is>
          <t>No</t>
        </is>
      </c>
      <c r="H192" s="170">
        <f>IF(A192="","",IF(OR(NOT(ISNUMBER(C192)),C192=""),"No",IF(AND(HOUR(C192)&gt;=0,HOUR(C192)&lt;5),"Yes","No")))</f>
        <v/>
      </c>
      <c r="I192" s="183">
        <f>IF(OR(B192="",NOT(ISNUMBER(B192))),"",INT(B192))</f>
        <v/>
      </c>
    </row>
    <row r="193" ht="15" customHeight="1" s="122">
      <c r="A193" s="179" t="inlineStr">
        <is>
          <t>KAA 214B</t>
        </is>
      </c>
      <c r="B193" s="180" t="n">
        <v>46144.83791666666</v>
      </c>
      <c r="C193" s="180" t="n">
        <v>46144.84616898148</v>
      </c>
      <c r="D193" s="173" t="inlineStr">
        <is>
          <t>2.92 Km</t>
        </is>
      </c>
      <c r="E193" s="181" t="n">
        <v>13</v>
      </c>
      <c r="F193" s="182" t="n">
        <v>50</v>
      </c>
      <c r="G193" s="172" t="inlineStr">
        <is>
          <t>No</t>
        </is>
      </c>
      <c r="H193" s="170">
        <f>IF(A193="","",IF(OR(NOT(ISNUMBER(C193)),C193=""),"No",IF(AND(HOUR(C193)&gt;=0,HOUR(C193)&lt;5),"Yes","No")))</f>
        <v/>
      </c>
      <c r="I193" s="183">
        <f>IF(OR(B193="",NOT(ISNUMBER(B193))),"",INT(B193))</f>
        <v/>
      </c>
    </row>
    <row r="194" ht="15" customHeight="1" s="122">
      <c r="A194" s="179" t="inlineStr">
        <is>
          <t>KAA 214B</t>
        </is>
      </c>
      <c r="B194" s="180" t="n">
        <v>46175.41810185185</v>
      </c>
      <c r="C194" s="180" t="n">
        <v>46175.45048611111</v>
      </c>
      <c r="D194" s="173" t="inlineStr">
        <is>
          <t>26.15 Km</t>
        </is>
      </c>
      <c r="E194" s="181" t="n">
        <v>36</v>
      </c>
      <c r="F194" s="182" t="n">
        <v>66</v>
      </c>
      <c r="G194" s="172" t="inlineStr">
        <is>
          <t>No</t>
        </is>
      </c>
      <c r="H194" s="170">
        <f>IF(A194="","",IF(OR(NOT(ISNUMBER(C194)),C194=""),"No",IF(AND(HOUR(C194)&gt;=0,HOUR(C194)&lt;5),"Yes","No")))</f>
        <v/>
      </c>
      <c r="I194" s="183">
        <f>IF(OR(B194="",NOT(ISNUMBER(B194))),"",INT(B194))</f>
        <v/>
      </c>
    </row>
    <row r="195" ht="15" customHeight="1" s="122">
      <c r="A195" s="179" t="inlineStr">
        <is>
          <t>KAA 214B</t>
        </is>
      </c>
      <c r="B195" s="180" t="n">
        <v>46175.52244212963</v>
      </c>
      <c r="C195" s="180" t="n">
        <v>46175.52486111111</v>
      </c>
      <c r="D195" s="173" t="inlineStr">
        <is>
          <t>0.49 Km</t>
        </is>
      </c>
      <c r="E195" s="181" t="n">
        <v>8</v>
      </c>
      <c r="F195" s="182" t="n">
        <v>17</v>
      </c>
      <c r="G195" s="172" t="inlineStr">
        <is>
          <t>No</t>
        </is>
      </c>
      <c r="H195" s="170">
        <f>IF(A195="","",IF(OR(NOT(ISNUMBER(C195)),C195=""),"No",IF(AND(HOUR(C195)&gt;=0,HOUR(C195)&lt;5),"Yes","No")))</f>
        <v/>
      </c>
      <c r="I195" s="183">
        <f>IF(OR(B195="",NOT(ISNUMBER(B195))),"",INT(B195))</f>
        <v/>
      </c>
    </row>
    <row r="196" ht="15" customHeight="1" s="122">
      <c r="A196" s="179" t="inlineStr">
        <is>
          <t>KAA 214B</t>
        </is>
      </c>
      <c r="B196" s="180" t="n">
        <v>46175.55883101852</v>
      </c>
      <c r="C196" s="180" t="n">
        <v>46175.55953703704</v>
      </c>
      <c r="D196" s="173" t="inlineStr">
        <is>
          <t>0.01 Km</t>
        </is>
      </c>
      <c r="E196" s="181" t="n">
        <v>7</v>
      </c>
      <c r="F196" s="182" t="n">
        <v>7</v>
      </c>
      <c r="G196" s="172" t="inlineStr">
        <is>
          <t>No</t>
        </is>
      </c>
      <c r="H196" s="170">
        <f>IF(A196="","",IF(OR(NOT(ISNUMBER(C196)),C196=""),"No",IF(AND(HOUR(C196)&gt;=0,HOUR(C196)&lt;5),"Yes","No")))</f>
        <v/>
      </c>
      <c r="I196" s="183">
        <f>IF(OR(B196="",NOT(ISNUMBER(B196))),"",INT(B196))</f>
        <v/>
      </c>
    </row>
    <row r="197" ht="15" customHeight="1" s="122">
      <c r="A197" s="179" t="inlineStr">
        <is>
          <t>KAA 214B</t>
        </is>
      </c>
      <c r="B197" s="180" t="n">
        <v>46175.56001157407</v>
      </c>
      <c r="C197" s="180" t="n">
        <v>46175.56457175926</v>
      </c>
      <c r="D197" s="173" t="inlineStr">
        <is>
          <t>0.9 Km</t>
        </is>
      </c>
      <c r="E197" s="181" t="n">
        <v>12</v>
      </c>
      <c r="F197" s="182" t="n">
        <v>41</v>
      </c>
      <c r="G197" s="172" t="inlineStr">
        <is>
          <t>No</t>
        </is>
      </c>
      <c r="H197" s="170">
        <f>IF(A197="","",IF(OR(NOT(ISNUMBER(C197)),C197=""),"No",IF(AND(HOUR(C197)&gt;=0,HOUR(C197)&lt;5),"Yes","No")))</f>
        <v/>
      </c>
      <c r="I197" s="183">
        <f>IF(OR(B197="",NOT(ISNUMBER(B197))),"",INT(B197))</f>
        <v/>
      </c>
    </row>
    <row r="198" ht="15" customHeight="1" s="122">
      <c r="A198" s="179" t="inlineStr">
        <is>
          <t>KAA 214B</t>
        </is>
      </c>
      <c r="B198" s="180" t="n">
        <v>46175.57077546296</v>
      </c>
      <c r="C198" s="180" t="n">
        <v>46175.57549768518</v>
      </c>
      <c r="D198" s="173" t="inlineStr">
        <is>
          <t>0.81 Km</t>
        </is>
      </c>
      <c r="E198" s="181" t="n">
        <v>12</v>
      </c>
      <c r="F198" s="182" t="n">
        <v>32</v>
      </c>
      <c r="G198" s="172" t="inlineStr">
        <is>
          <t>No</t>
        </is>
      </c>
      <c r="H198" s="170">
        <f>IF(A198="","",IF(OR(NOT(ISNUMBER(C198)),C198=""),"No",IF(AND(HOUR(C198)&gt;=0,HOUR(C198)&lt;5),"Yes","No")))</f>
        <v/>
      </c>
      <c r="I198" s="183">
        <f>IF(OR(B198="",NOT(ISNUMBER(B198))),"",INT(B198))</f>
        <v/>
      </c>
    </row>
    <row r="199" ht="15" customHeight="1" s="122">
      <c r="A199" s="179" t="inlineStr">
        <is>
          <t>KAA 214B</t>
        </is>
      </c>
      <c r="B199" s="180" t="n">
        <v>46175.57767361111</v>
      </c>
      <c r="C199" s="180" t="n">
        <v>46175.58074074074</v>
      </c>
      <c r="D199" s="173" t="inlineStr">
        <is>
          <t>0.62 Km</t>
        </is>
      </c>
      <c r="E199" s="181" t="n">
        <v>12</v>
      </c>
      <c r="F199" s="182" t="n">
        <v>28</v>
      </c>
      <c r="G199" s="172" t="inlineStr">
        <is>
          <t>No</t>
        </is>
      </c>
      <c r="H199" s="170">
        <f>IF(A199="","",IF(OR(NOT(ISNUMBER(C199)),C199=""),"No",IF(AND(HOUR(C199)&gt;=0,HOUR(C199)&lt;5),"Yes","No")))</f>
        <v/>
      </c>
      <c r="I199" s="183">
        <f>IF(OR(B199="",NOT(ISNUMBER(B199))),"",INT(B199))</f>
        <v/>
      </c>
    </row>
    <row r="200" ht="15" customHeight="1" s="122">
      <c r="A200" s="179" t="inlineStr">
        <is>
          <t>KAA 214B</t>
        </is>
      </c>
      <c r="B200" s="180" t="n">
        <v>46175.72430555556</v>
      </c>
      <c r="C200" s="180" t="n">
        <v>46175.74965277778</v>
      </c>
      <c r="D200" s="173" t="inlineStr">
        <is>
          <t>21.59 Km</t>
        </is>
      </c>
      <c r="E200" s="181" t="n">
        <v>39</v>
      </c>
      <c r="F200" s="182" t="n">
        <v>82</v>
      </c>
      <c r="G200" s="172" t="inlineStr">
        <is>
          <t>No</t>
        </is>
      </c>
      <c r="H200" s="170">
        <f>IF(A200="","",IF(OR(NOT(ISNUMBER(C200)),C200=""),"No",IF(AND(HOUR(C200)&gt;=0,HOUR(C200)&lt;5),"Yes","No")))</f>
        <v/>
      </c>
      <c r="I200" s="183">
        <f>IF(OR(B200="",NOT(ISNUMBER(B200))),"",INT(B200))</f>
        <v/>
      </c>
    </row>
    <row r="201" ht="15" customHeight="1" s="122">
      <c r="A201" s="179" t="inlineStr">
        <is>
          <t>KAA 214B</t>
        </is>
      </c>
      <c r="B201" s="180" t="n">
        <v>46175.751875</v>
      </c>
      <c r="C201" s="180" t="n">
        <v>46175.75869212963</v>
      </c>
      <c r="D201" s="173" t="inlineStr">
        <is>
          <t>3.16 Km</t>
        </is>
      </c>
      <c r="E201" s="181" t="n">
        <v>18</v>
      </c>
      <c r="F201" s="182" t="n">
        <v>71</v>
      </c>
      <c r="G201" s="172" t="inlineStr">
        <is>
          <t>No</t>
        </is>
      </c>
      <c r="H201" s="170">
        <f>IF(A201="","",IF(OR(NOT(ISNUMBER(C201)),C201=""),"No",IF(AND(HOUR(C201)&gt;=0,HOUR(C201)&lt;5),"Yes","No")))</f>
        <v/>
      </c>
      <c r="I201" s="183">
        <f>IF(OR(B201="",NOT(ISNUMBER(B201))),"",INT(B201))</f>
        <v/>
      </c>
    </row>
    <row r="202" ht="15" customHeight="1" s="122">
      <c r="A202" s="179" t="inlineStr">
        <is>
          <t>KAA 214B</t>
        </is>
      </c>
      <c r="B202" s="180" t="n">
        <v>46205.44028935185</v>
      </c>
      <c r="C202" s="180" t="n">
        <v>46205.46868055555</v>
      </c>
      <c r="D202" s="173" t="inlineStr">
        <is>
          <t>24.08 Km</t>
        </is>
      </c>
      <c r="E202" s="181" t="n">
        <v>35</v>
      </c>
      <c r="F202" s="182" t="n">
        <v>80</v>
      </c>
      <c r="G202" s="172" t="inlineStr">
        <is>
          <t>No</t>
        </is>
      </c>
      <c r="H202" s="170">
        <f>IF(A202="","",IF(OR(NOT(ISNUMBER(C202)),C202=""),"No",IF(AND(HOUR(C202)&gt;=0,HOUR(C202)&lt;5),"Yes","No")))</f>
        <v/>
      </c>
      <c r="I202" s="183">
        <f>IF(OR(B202="",NOT(ISNUMBER(B202))),"",INT(B202))</f>
        <v/>
      </c>
    </row>
    <row r="203" ht="15" customHeight="1" s="122">
      <c r="A203" s="179" t="inlineStr">
        <is>
          <t>KAA 214B</t>
        </is>
      </c>
      <c r="B203" s="180" t="n">
        <v>46205.47262731481</v>
      </c>
      <c r="C203" s="180" t="n">
        <v>46205.51287037037</v>
      </c>
      <c r="D203" s="173" t="inlineStr">
        <is>
          <t>42.42 Km</t>
        </is>
      </c>
      <c r="E203" s="181" t="n">
        <v>48</v>
      </c>
      <c r="F203" s="182" t="n">
        <v>83</v>
      </c>
      <c r="G203" s="172" t="inlineStr">
        <is>
          <t>No</t>
        </is>
      </c>
      <c r="H203" s="170">
        <f>IF(A203="","",IF(OR(NOT(ISNUMBER(C203)),C203=""),"No",IF(AND(HOUR(C203)&gt;=0,HOUR(C203)&lt;5),"Yes","No")))</f>
        <v/>
      </c>
      <c r="I203" s="183">
        <f>IF(OR(B203="",NOT(ISNUMBER(B203))),"",INT(B203))</f>
        <v/>
      </c>
    </row>
    <row r="204" ht="15" customHeight="1" s="122">
      <c r="A204" s="179" t="inlineStr">
        <is>
          <t>KAA 214B</t>
        </is>
      </c>
      <c r="B204" s="180" t="n">
        <v>46205.51908564815</v>
      </c>
      <c r="C204" s="180" t="n">
        <v>46205.52046296297</v>
      </c>
      <c r="D204" s="173" t="inlineStr">
        <is>
          <t>0.43 Km</t>
        </is>
      </c>
      <c r="E204" s="181" t="n">
        <v>13</v>
      </c>
      <c r="F204" s="182" t="n">
        <v>25</v>
      </c>
      <c r="G204" s="172" t="inlineStr">
        <is>
          <t>No</t>
        </is>
      </c>
      <c r="H204" s="170">
        <f>IF(A204="","",IF(OR(NOT(ISNUMBER(C204)),C204=""),"No",IF(AND(HOUR(C204)&gt;=0,HOUR(C204)&lt;5),"Yes","No")))</f>
        <v/>
      </c>
      <c r="I204" s="183">
        <f>IF(OR(B204="",NOT(ISNUMBER(B204))),"",INT(B204))</f>
        <v/>
      </c>
    </row>
    <row r="205" ht="15" customHeight="1" s="122">
      <c r="A205" s="179" t="inlineStr">
        <is>
          <t>KAA 214B</t>
        </is>
      </c>
      <c r="B205" s="180" t="n">
        <v>46205.52283564815</v>
      </c>
      <c r="C205" s="180" t="n">
        <v>46205.52416666667</v>
      </c>
      <c r="D205" s="173" t="inlineStr">
        <is>
          <t>0.47 Km</t>
        </is>
      </c>
      <c r="E205" s="181" t="n">
        <v>12</v>
      </c>
      <c r="F205" s="182" t="n">
        <v>28</v>
      </c>
      <c r="G205" s="172" t="inlineStr">
        <is>
          <t>No</t>
        </is>
      </c>
      <c r="H205" s="170">
        <f>IF(A205="","",IF(OR(NOT(ISNUMBER(C205)),C205=""),"No",IF(AND(HOUR(C205)&gt;=0,HOUR(C205)&lt;5),"Yes","No")))</f>
        <v/>
      </c>
      <c r="I205" s="183">
        <f>IF(OR(B205="",NOT(ISNUMBER(B205))),"",INT(B205))</f>
        <v/>
      </c>
    </row>
    <row r="206" ht="15" customHeight="1" s="122">
      <c r="A206" s="179" t="inlineStr">
        <is>
          <t>KAA 214B</t>
        </is>
      </c>
      <c r="B206" s="180" t="n">
        <v>46205.54197916666</v>
      </c>
      <c r="C206" s="180" t="n">
        <v>46205.58391203704</v>
      </c>
      <c r="D206" s="173" t="inlineStr">
        <is>
          <t>51.84 Km</t>
        </is>
      </c>
      <c r="E206" s="181" t="n">
        <v>52</v>
      </c>
      <c r="F206" s="182" t="n">
        <v>90</v>
      </c>
      <c r="G206" s="172" t="inlineStr">
        <is>
          <t>No</t>
        </is>
      </c>
      <c r="H206" s="170">
        <f>IF(A206="","",IF(OR(NOT(ISNUMBER(C206)),C206=""),"No",IF(AND(HOUR(C206)&gt;=0,HOUR(C206)&lt;5),"Yes","No")))</f>
        <v/>
      </c>
      <c r="I206" s="183">
        <f>IF(OR(B206="",NOT(ISNUMBER(B206))),"",INT(B206))</f>
        <v/>
      </c>
    </row>
    <row r="207" ht="15" customHeight="1" s="122">
      <c r="A207" s="179" t="inlineStr">
        <is>
          <t>KAA 214B</t>
        </is>
      </c>
      <c r="B207" s="180" t="n">
        <v>46205.66902777777</v>
      </c>
      <c r="C207" s="180" t="n">
        <v>46205.68267361111</v>
      </c>
      <c r="D207" s="173" t="inlineStr">
        <is>
          <t>8.74 Km</t>
        </is>
      </c>
      <c r="E207" s="181" t="n">
        <v>24</v>
      </c>
      <c r="F207" s="182" t="n">
        <v>41</v>
      </c>
      <c r="G207" s="172" t="inlineStr">
        <is>
          <t>No</t>
        </is>
      </c>
      <c r="H207" s="170">
        <f>IF(A207="","",IF(OR(NOT(ISNUMBER(C207)),C207=""),"No",IF(AND(HOUR(C207)&gt;=0,HOUR(C207)&lt;5),"Yes","No")))</f>
        <v/>
      </c>
      <c r="I207" s="183">
        <f>IF(OR(B207="",NOT(ISNUMBER(B207))),"",INT(B207))</f>
        <v/>
      </c>
    </row>
    <row r="208" ht="15" customHeight="1" s="122">
      <c r="A208" s="179" t="inlineStr">
        <is>
          <t>KAA 214B</t>
        </is>
      </c>
      <c r="B208" s="180" t="n">
        <v>46205.69248842593</v>
      </c>
      <c r="C208" s="180" t="n">
        <v>46205.70179398148</v>
      </c>
      <c r="D208" s="173" t="inlineStr">
        <is>
          <t>12.08 Km</t>
        </is>
      </c>
      <c r="E208" s="181" t="n">
        <v>55</v>
      </c>
      <c r="F208" s="182" t="n">
        <v>76</v>
      </c>
      <c r="G208" s="172" t="inlineStr">
        <is>
          <t>No</t>
        </is>
      </c>
      <c r="H208" s="170">
        <f>IF(A208="","",IF(OR(NOT(ISNUMBER(C208)),C208=""),"No",IF(AND(HOUR(C208)&gt;=0,HOUR(C208)&lt;5),"Yes","No")))</f>
        <v/>
      </c>
      <c r="I208" s="183">
        <f>IF(OR(B208="",NOT(ISNUMBER(B208))),"",INT(B208))</f>
        <v/>
      </c>
    </row>
    <row r="209" ht="15" customHeight="1" s="122">
      <c r="A209" s="179" t="inlineStr">
        <is>
          <t>KAA 214B</t>
        </is>
      </c>
      <c r="B209" s="180" t="n">
        <v>46205.70337962963</v>
      </c>
      <c r="C209" s="180" t="n">
        <v>46205.72824074074</v>
      </c>
      <c r="D209" s="173" t="inlineStr">
        <is>
          <t>28.53 Km</t>
        </is>
      </c>
      <c r="E209" s="181" t="n">
        <v>50</v>
      </c>
      <c r="F209" s="182" t="n">
        <v>78</v>
      </c>
      <c r="G209" s="172" t="inlineStr">
        <is>
          <t>No</t>
        </is>
      </c>
      <c r="H209" s="170">
        <f>IF(A209="","",IF(OR(NOT(ISNUMBER(C209)),C209=""),"No",IF(AND(HOUR(C209)&gt;=0,HOUR(C209)&lt;5),"Yes","No")))</f>
        <v/>
      </c>
      <c r="I209" s="183">
        <f>IF(OR(B209="",NOT(ISNUMBER(B209))),"",INT(B209))</f>
        <v/>
      </c>
    </row>
    <row r="210" ht="15" customHeight="1" s="122">
      <c r="A210" s="179" t="inlineStr">
        <is>
          <t>KAA 214B</t>
        </is>
      </c>
      <c r="B210" s="180" t="n">
        <v>46205.74212962963</v>
      </c>
      <c r="C210" s="180" t="n">
        <v>46205.74652777778</v>
      </c>
      <c r="D210" s="173" t="inlineStr">
        <is>
          <t>1.04 Km</t>
        </is>
      </c>
      <c r="E210" s="181" t="n">
        <v>11</v>
      </c>
      <c r="F210" s="182" t="n">
        <v>20</v>
      </c>
      <c r="G210" s="172" t="inlineStr">
        <is>
          <t>No</t>
        </is>
      </c>
      <c r="H210" s="170">
        <f>IF(A210="","",IF(OR(NOT(ISNUMBER(C210)),C210=""),"No",IF(AND(HOUR(C210)&gt;=0,HOUR(C210)&lt;5),"Yes","No")))</f>
        <v/>
      </c>
      <c r="I210" s="183">
        <f>IF(OR(B210="",NOT(ISNUMBER(B210))),"",INT(B210))</f>
        <v/>
      </c>
    </row>
    <row r="211" ht="15" customHeight="1" s="122">
      <c r="A211" s="179" t="inlineStr">
        <is>
          <t>KAA 214B</t>
        </is>
      </c>
      <c r="B211" s="180" t="n">
        <v>46205.85506944444</v>
      </c>
      <c r="C211" s="180" t="n">
        <v>46205.85577546297</v>
      </c>
      <c r="D211" s="173" t="inlineStr">
        <is>
          <t>0.01 Km</t>
        </is>
      </c>
      <c r="E211" s="181" t="n">
        <v>8</v>
      </c>
      <c r="F211" s="182" t="n">
        <v>8</v>
      </c>
      <c r="G211" s="172" t="inlineStr">
        <is>
          <t>No</t>
        </is>
      </c>
      <c r="H211" s="170">
        <f>IF(A211="","",IF(OR(NOT(ISNUMBER(C211)),C211=""),"No",IF(AND(HOUR(C211)&gt;=0,HOUR(C211)&lt;5),"Yes","No")))</f>
        <v/>
      </c>
      <c r="I211" s="183">
        <f>IF(OR(B211="",NOT(ISNUMBER(B211))),"",INT(B211))</f>
        <v/>
      </c>
    </row>
    <row r="212" ht="15" customHeight="1" s="122">
      <c r="A212" s="179" t="inlineStr">
        <is>
          <t>KAA 214B</t>
        </is>
      </c>
      <c r="B212" s="180" t="n">
        <v>46205.85579861111</v>
      </c>
      <c r="C212" s="180" t="n">
        <v>46205.87431712963</v>
      </c>
      <c r="D212" s="173" t="inlineStr">
        <is>
          <t>15.96 Km</t>
        </is>
      </c>
      <c r="E212" s="181" t="n">
        <v>40</v>
      </c>
      <c r="F212" s="182" t="n">
        <v>70</v>
      </c>
      <c r="G212" s="172" t="inlineStr">
        <is>
          <t>No</t>
        </is>
      </c>
      <c r="H212" s="170">
        <f>IF(A212="","",IF(OR(NOT(ISNUMBER(C212)),C212=""),"No",IF(AND(HOUR(C212)&gt;=0,HOUR(C212)&lt;5),"Yes","No")))</f>
        <v/>
      </c>
      <c r="I212" s="183">
        <f>IF(OR(B212="",NOT(ISNUMBER(B212))),"",INT(B212))</f>
        <v/>
      </c>
    </row>
    <row r="213" ht="15" customHeight="1" s="122">
      <c r="A213" s="179" t="inlineStr">
        <is>
          <t>KAA 214B</t>
        </is>
      </c>
      <c r="B213" s="180" t="n">
        <v>46205.87594907408</v>
      </c>
      <c r="C213" s="180" t="n">
        <v>46205.92344907407</v>
      </c>
      <c r="D213" s="173" t="inlineStr">
        <is>
          <t>50.62 Km</t>
        </is>
      </c>
      <c r="E213" s="181" t="n">
        <v>50</v>
      </c>
      <c r="F213" s="182" t="n">
        <v>93</v>
      </c>
      <c r="G213" s="172" t="inlineStr">
        <is>
          <t>Yes</t>
        </is>
      </c>
      <c r="H213" s="170">
        <f>IF(A213="","",IF(OR(NOT(ISNUMBER(C213)),C213=""),"No",IF(AND(HOUR(C213)&gt;=0,HOUR(C213)&lt;5),"Yes","No")))</f>
        <v/>
      </c>
      <c r="I213" s="183">
        <f>IF(OR(B213="",NOT(ISNUMBER(B213))),"",INT(B213))</f>
        <v/>
      </c>
    </row>
    <row r="214" ht="15" customHeight="1" s="122">
      <c r="A214" s="179" t="inlineStr">
        <is>
          <t>KAA 214B</t>
        </is>
      </c>
      <c r="B214" s="180" t="n">
        <v>46236.3431712963</v>
      </c>
      <c r="C214" s="180" t="n">
        <v>46236.37145833333</v>
      </c>
      <c r="D214" s="173" t="inlineStr">
        <is>
          <t>29.91 Km</t>
        </is>
      </c>
      <c r="E214" s="181" t="n">
        <v>43</v>
      </c>
      <c r="F214" s="182" t="n">
        <v>82</v>
      </c>
      <c r="G214" s="172" t="inlineStr">
        <is>
          <t>No</t>
        </is>
      </c>
      <c r="H214" s="170">
        <f>IF(A214="","",IF(OR(NOT(ISNUMBER(C214)),C214=""),"No",IF(AND(HOUR(C214)&gt;=0,HOUR(C214)&lt;5),"Yes","No")))</f>
        <v/>
      </c>
      <c r="I214" s="183">
        <f>IF(OR(B214="",NOT(ISNUMBER(B214))),"",INT(B214))</f>
        <v/>
      </c>
    </row>
    <row r="215" ht="15" customHeight="1" s="122">
      <c r="A215" s="179" t="inlineStr">
        <is>
          <t>KAA 214B</t>
        </is>
      </c>
      <c r="B215" s="180" t="n">
        <v>46236.55670138889</v>
      </c>
      <c r="C215" s="180" t="n">
        <v>46236.58848379629</v>
      </c>
      <c r="D215" s="173" t="inlineStr">
        <is>
          <t>28.99 Km</t>
        </is>
      </c>
      <c r="E215" s="181" t="n">
        <v>39</v>
      </c>
      <c r="F215" s="182" t="n">
        <v>90</v>
      </c>
      <c r="G215" s="172" t="inlineStr">
        <is>
          <t>No</t>
        </is>
      </c>
      <c r="H215" s="170">
        <f>IF(A215="","",IF(OR(NOT(ISNUMBER(C215)),C215=""),"No",IF(AND(HOUR(C215)&gt;=0,HOUR(C215)&lt;5),"Yes","No")))</f>
        <v/>
      </c>
      <c r="I215" s="183">
        <f>IF(OR(B215="",NOT(ISNUMBER(B215))),"",INT(B215))</f>
        <v/>
      </c>
    </row>
    <row r="216" ht="15" customHeight="1" s="122">
      <c r="A216" s="179" t="inlineStr">
        <is>
          <t>KAA 214B</t>
        </is>
      </c>
      <c r="B216" s="180" t="n">
        <v>46267.46188657408</v>
      </c>
      <c r="C216" s="180" t="n">
        <v>46267.47054398148</v>
      </c>
      <c r="D216" s="173" t="inlineStr">
        <is>
          <t>3.27 Km</t>
        </is>
      </c>
      <c r="E216" s="181" t="n">
        <v>15</v>
      </c>
      <c r="F216" s="182" t="n">
        <v>30</v>
      </c>
      <c r="G216" s="172" t="inlineStr">
        <is>
          <t>No</t>
        </is>
      </c>
      <c r="H216" s="170">
        <f>IF(A216="","",IF(OR(NOT(ISNUMBER(C216)),C216=""),"No",IF(AND(HOUR(C216)&gt;=0,HOUR(C216)&lt;5),"Yes","No")))</f>
        <v/>
      </c>
      <c r="I216" s="183">
        <f>IF(OR(B216="",NOT(ISNUMBER(B216))),"",INT(B216))</f>
        <v/>
      </c>
    </row>
    <row r="217" ht="15" customHeight="1" s="122">
      <c r="A217" s="179" t="inlineStr">
        <is>
          <t>KAA 214B</t>
        </is>
      </c>
      <c r="B217" s="180" t="n">
        <v>46267.47393518518</v>
      </c>
      <c r="C217" s="180" t="n">
        <v>46267.4969212963</v>
      </c>
      <c r="D217" s="173" t="inlineStr">
        <is>
          <t>23.54 Km</t>
        </is>
      </c>
      <c r="E217" s="181" t="n">
        <v>46</v>
      </c>
      <c r="F217" s="182" t="n">
        <v>72</v>
      </c>
      <c r="G217" s="172" t="inlineStr">
        <is>
          <t>No</t>
        </is>
      </c>
      <c r="H217" s="170">
        <f>IF(A217="","",IF(OR(NOT(ISNUMBER(C217)),C217=""),"No",IF(AND(HOUR(C217)&gt;=0,HOUR(C217)&lt;5),"Yes","No")))</f>
        <v/>
      </c>
      <c r="I217" s="183">
        <f>IF(OR(B217="",NOT(ISNUMBER(B217))),"",INT(B217))</f>
        <v/>
      </c>
    </row>
    <row r="218" ht="15" customHeight="1" s="122">
      <c r="A218" s="179" t="inlineStr">
        <is>
          <t>KAA 214B</t>
        </is>
      </c>
      <c r="B218" s="180" t="n">
        <v>46267.67190972222</v>
      </c>
      <c r="C218" s="180" t="n">
        <v>46267.67350694445</v>
      </c>
      <c r="D218" s="173" t="inlineStr">
        <is>
          <t>0.26 Km</t>
        </is>
      </c>
      <c r="E218" s="181" t="n">
        <v>10</v>
      </c>
      <c r="F218" s="182" t="n">
        <v>20</v>
      </c>
      <c r="G218" s="172" t="inlineStr">
        <is>
          <t>No</t>
        </is>
      </c>
      <c r="H218" s="170">
        <f>IF(A218="","",IF(OR(NOT(ISNUMBER(C218)),C218=""),"No",IF(AND(HOUR(C218)&gt;=0,HOUR(C218)&lt;5),"Yes","No")))</f>
        <v/>
      </c>
      <c r="I218" s="183">
        <f>IF(OR(B218="",NOT(ISNUMBER(B218))),"",INT(B218))</f>
        <v/>
      </c>
    </row>
    <row r="219" ht="15" customHeight="1" s="122">
      <c r="A219" s="179" t="inlineStr">
        <is>
          <t>KAA 214B</t>
        </is>
      </c>
      <c r="B219" s="180" t="n">
        <v>46267.67972222222</v>
      </c>
      <c r="C219" s="180" t="n">
        <v>46267.69684027778</v>
      </c>
      <c r="D219" s="173" t="inlineStr">
        <is>
          <t>19.44 Km</t>
        </is>
      </c>
      <c r="E219" s="181" t="n">
        <v>49</v>
      </c>
      <c r="F219" s="182" t="n">
        <v>78</v>
      </c>
      <c r="G219" s="172" t="inlineStr">
        <is>
          <t>No</t>
        </is>
      </c>
      <c r="H219" s="170">
        <f>IF(A219="","",IF(OR(NOT(ISNUMBER(C219)),C219=""),"No",IF(AND(HOUR(C219)&gt;=0,HOUR(C219)&lt;5),"Yes","No")))</f>
        <v/>
      </c>
      <c r="I219" s="183">
        <f>IF(OR(B219="",NOT(ISNUMBER(B219))),"",INT(B219))</f>
        <v/>
      </c>
    </row>
    <row r="220" ht="15" customHeight="1" s="122">
      <c r="A220" s="179" t="inlineStr">
        <is>
          <t>KAA 214B</t>
        </is>
      </c>
      <c r="B220" s="180" t="n">
        <v>46267.69961805556</v>
      </c>
      <c r="C220" s="180" t="n">
        <v>46267.70975694444</v>
      </c>
      <c r="D220" s="173" t="inlineStr">
        <is>
          <t>6.53 Km</t>
        </is>
      </c>
      <c r="E220" s="181" t="n">
        <v>33</v>
      </c>
      <c r="F220" s="182" t="n">
        <v>69</v>
      </c>
      <c r="G220" s="172" t="inlineStr">
        <is>
          <t>No</t>
        </is>
      </c>
      <c r="H220" s="170">
        <f>IF(A220="","",IF(OR(NOT(ISNUMBER(C220)),C220=""),"No",IF(AND(HOUR(C220)&gt;=0,HOUR(C220)&lt;5),"Yes","No")))</f>
        <v/>
      </c>
      <c r="I220" s="183">
        <f>IF(OR(B220="",NOT(ISNUMBER(B220))),"",INT(B220))</f>
        <v/>
      </c>
    </row>
    <row r="221" ht="15" customHeight="1" s="122">
      <c r="A221" s="179" t="inlineStr">
        <is>
          <t>KAA 214B</t>
        </is>
      </c>
      <c r="B221" s="180" t="n">
        <v>46267.71445601852</v>
      </c>
      <c r="C221" s="180" t="n">
        <v>46267.71476851852</v>
      </c>
      <c r="D221" s="173" t="inlineStr">
        <is>
          <t>0.01 Km</t>
        </is>
      </c>
      <c r="E221" s="181" t="n">
        <v>6</v>
      </c>
      <c r="F221" s="182" t="n">
        <v>6</v>
      </c>
      <c r="G221" s="172" t="inlineStr">
        <is>
          <t>No</t>
        </is>
      </c>
      <c r="H221" s="170">
        <f>IF(A221="","",IF(OR(NOT(ISNUMBER(C221)),C221=""),"No",IF(AND(HOUR(C221)&gt;=0,HOUR(C221)&lt;5),"Yes","No")))</f>
        <v/>
      </c>
      <c r="I221" s="183">
        <f>IF(OR(B221="",NOT(ISNUMBER(B221))),"",INT(B221))</f>
        <v/>
      </c>
    </row>
    <row r="222" ht="15" customHeight="1" s="122">
      <c r="A222" s="179" t="inlineStr">
        <is>
          <t>KAA 214B</t>
        </is>
      </c>
      <c r="B222" s="180" t="n">
        <v>46267.71678240741</v>
      </c>
      <c r="C222" s="180" t="n">
        <v>46267.71714120371</v>
      </c>
      <c r="D222" s="173" t="inlineStr">
        <is>
          <t>0.05 Km</t>
        </is>
      </c>
      <c r="E222" s="181" t="n">
        <v>9</v>
      </c>
      <c r="F222" s="182" t="n">
        <v>11</v>
      </c>
      <c r="G222" s="172" t="inlineStr">
        <is>
          <t>No</t>
        </is>
      </c>
      <c r="H222" s="170">
        <f>IF(A222="","",IF(OR(NOT(ISNUMBER(C222)),C222=""),"No",IF(AND(HOUR(C222)&gt;=0,HOUR(C222)&lt;5),"Yes","No")))</f>
        <v/>
      </c>
      <c r="I222" s="183">
        <f>IF(OR(B222="",NOT(ISNUMBER(B222))),"",INT(B222))</f>
        <v/>
      </c>
    </row>
    <row r="223" ht="15" customHeight="1" s="122">
      <c r="A223" s="179" t="inlineStr">
        <is>
          <t>KAA 214B</t>
        </is>
      </c>
      <c r="B223" s="180" t="n">
        <v>46267.71784722222</v>
      </c>
      <c r="C223" s="180" t="n">
        <v>46267.72396990741</v>
      </c>
      <c r="D223" s="173" t="inlineStr">
        <is>
          <t>2.8 Km</t>
        </is>
      </c>
      <c r="E223" s="181" t="n">
        <v>17</v>
      </c>
      <c r="F223" s="182" t="n">
        <v>58</v>
      </c>
      <c r="G223" s="172" t="inlineStr">
        <is>
          <t>No</t>
        </is>
      </c>
      <c r="H223" s="170">
        <f>IF(A223="","",IF(OR(NOT(ISNUMBER(C223)),C223=""),"No",IF(AND(HOUR(C223)&gt;=0,HOUR(C223)&lt;5),"Yes","No")))</f>
        <v/>
      </c>
      <c r="I223" s="183">
        <f>IF(OR(B223="",NOT(ISNUMBER(B223))),"",INT(B223))</f>
        <v/>
      </c>
    </row>
    <row r="224" ht="15" customHeight="1" s="122">
      <c r="A224" s="179" t="inlineStr">
        <is>
          <t>KAA 214B</t>
        </is>
      </c>
      <c r="B224" s="180" t="n">
        <v>46267.72619212963</v>
      </c>
      <c r="C224" s="180" t="n">
        <v>46267.72621527778</v>
      </c>
      <c r="D224" s="173" t="inlineStr">
        <is>
          <t>0.01 Km</t>
        </is>
      </c>
      <c r="E224" s="181" t="n">
        <v>6</v>
      </c>
      <c r="F224" s="182" t="n">
        <v>6</v>
      </c>
      <c r="G224" s="172" t="inlineStr">
        <is>
          <t>No</t>
        </is>
      </c>
      <c r="H224" s="170">
        <f>IF(A224="","",IF(OR(NOT(ISNUMBER(C224)),C224=""),"No",IF(AND(HOUR(C224)&gt;=0,HOUR(C224)&lt;5),"Yes","No")))</f>
        <v/>
      </c>
      <c r="I224" s="183">
        <f>IF(OR(B224="",NOT(ISNUMBER(B224))),"",INT(B224))</f>
        <v/>
      </c>
    </row>
    <row r="225" ht="15" customHeight="1" s="122">
      <c r="A225" s="179" t="inlineStr">
        <is>
          <t>KAA 214B</t>
        </is>
      </c>
      <c r="B225" s="180" t="n">
        <v>46297.41336805555</v>
      </c>
      <c r="C225" s="180" t="n">
        <v>46297.44135416667</v>
      </c>
      <c r="D225" s="173" t="inlineStr">
        <is>
          <t>24.86 Km</t>
        </is>
      </c>
      <c r="E225" s="181" t="n">
        <v>40</v>
      </c>
      <c r="F225" s="182" t="n">
        <v>71</v>
      </c>
      <c r="G225" s="172" t="inlineStr">
        <is>
          <t>No</t>
        </is>
      </c>
      <c r="H225" s="170">
        <f>IF(A225="","",IF(OR(NOT(ISNUMBER(C225)),C225=""),"No",IF(AND(HOUR(C225)&gt;=0,HOUR(C225)&lt;5),"Yes","No")))</f>
        <v/>
      </c>
      <c r="I225" s="183">
        <f>IF(OR(B225="",NOT(ISNUMBER(B225))),"",INT(B225))</f>
        <v/>
      </c>
    </row>
    <row r="226" ht="15" customHeight="1" s="122">
      <c r="A226" s="179" t="inlineStr">
        <is>
          <t>KAA 214B</t>
        </is>
      </c>
      <c r="B226" s="180" t="n">
        <v>46297.44703703704</v>
      </c>
      <c r="C226" s="180" t="n">
        <v>46297.449375</v>
      </c>
      <c r="D226" s="173" t="inlineStr">
        <is>
          <t>0.65 Km</t>
        </is>
      </c>
      <c r="E226" s="181" t="n">
        <v>11</v>
      </c>
      <c r="F226" s="182" t="n">
        <v>31</v>
      </c>
      <c r="G226" s="172" t="inlineStr">
        <is>
          <t>No</t>
        </is>
      </c>
      <c r="H226" s="170">
        <f>IF(A226="","",IF(OR(NOT(ISNUMBER(C226)),C226=""),"No",IF(AND(HOUR(C226)&gt;=0,HOUR(C226)&lt;5),"Yes","No")))</f>
        <v/>
      </c>
      <c r="I226" s="183">
        <f>IF(OR(B226="",NOT(ISNUMBER(B226))),"",INT(B226))</f>
        <v/>
      </c>
    </row>
    <row r="227" ht="15" customHeight="1" s="122">
      <c r="A227" s="179" t="inlineStr">
        <is>
          <t>KAA 214B</t>
        </is>
      </c>
      <c r="B227" s="180" t="n">
        <v>46297.48671296296</v>
      </c>
      <c r="C227" s="180" t="n">
        <v>46297.49</v>
      </c>
      <c r="D227" s="173" t="inlineStr">
        <is>
          <t>1.01 Km</t>
        </is>
      </c>
      <c r="E227" s="181" t="n">
        <v>10</v>
      </c>
      <c r="F227" s="182" t="n">
        <v>20</v>
      </c>
      <c r="G227" s="172" t="inlineStr">
        <is>
          <t>No</t>
        </is>
      </c>
      <c r="H227" s="170">
        <f>IF(A227="","",IF(OR(NOT(ISNUMBER(C227)),C227=""),"No",IF(AND(HOUR(C227)&gt;=0,HOUR(C227)&lt;5),"Yes","No")))</f>
        <v/>
      </c>
      <c r="I227" s="183">
        <f>IF(OR(B227="",NOT(ISNUMBER(B227))),"",INT(B227))</f>
        <v/>
      </c>
    </row>
    <row r="228" ht="15" customHeight="1" s="122">
      <c r="A228" s="179" t="inlineStr">
        <is>
          <t>KAA 214B</t>
        </is>
      </c>
      <c r="B228" s="180" t="n">
        <v>46297.61953703704</v>
      </c>
      <c r="C228" s="180" t="n">
        <v>46297.62165509259</v>
      </c>
      <c r="D228" s="173" t="inlineStr">
        <is>
          <t>0.36 Km</t>
        </is>
      </c>
      <c r="E228" s="181" t="n">
        <v>9</v>
      </c>
      <c r="F228" s="182" t="n">
        <v>17</v>
      </c>
      <c r="G228" s="172" t="inlineStr">
        <is>
          <t>No</t>
        </is>
      </c>
      <c r="H228" s="170">
        <f>IF(A228="","",IF(OR(NOT(ISNUMBER(C228)),C228=""),"No",IF(AND(HOUR(C228)&gt;=0,HOUR(C228)&lt;5),"Yes","No")))</f>
        <v/>
      </c>
      <c r="I228" s="183">
        <f>IF(OR(B228="",NOT(ISNUMBER(B228))),"",INT(B228))</f>
        <v/>
      </c>
    </row>
    <row r="229" ht="15" customHeight="1" s="122">
      <c r="A229" s="179" t="inlineStr">
        <is>
          <t>KAA 214B</t>
        </is>
      </c>
      <c r="B229" s="180" t="n">
        <v>46297.62543981482</v>
      </c>
      <c r="C229" s="180" t="n">
        <v>46297.62829861111</v>
      </c>
      <c r="D229" s="173" t="inlineStr">
        <is>
          <t>0.18 Km</t>
        </is>
      </c>
      <c r="E229" s="181" t="n">
        <v>6</v>
      </c>
      <c r="F229" s="182" t="n">
        <v>7</v>
      </c>
      <c r="G229" s="172" t="inlineStr">
        <is>
          <t>No</t>
        </is>
      </c>
      <c r="H229" s="170">
        <f>IF(A229="","",IF(OR(NOT(ISNUMBER(C229)),C229=""),"No",IF(AND(HOUR(C229)&gt;=0,HOUR(C229)&lt;5),"Yes","No")))</f>
        <v/>
      </c>
      <c r="I229" s="183">
        <f>IF(OR(B229="",NOT(ISNUMBER(B229))),"",INT(B229))</f>
        <v/>
      </c>
    </row>
    <row r="230" ht="15" customHeight="1" s="122">
      <c r="A230" s="179" t="inlineStr">
        <is>
          <t>KAA 214B</t>
        </is>
      </c>
      <c r="B230" s="180" t="n">
        <v>46297.65239583333</v>
      </c>
      <c r="C230" s="180" t="n">
        <v>46297.66688657407</v>
      </c>
      <c r="D230" s="173" t="inlineStr">
        <is>
          <t>6.27 Km</t>
        </is>
      </c>
      <c r="E230" s="181" t="n">
        <v>19</v>
      </c>
      <c r="F230" s="182" t="n">
        <v>50</v>
      </c>
      <c r="G230" s="172" t="inlineStr">
        <is>
          <t>No</t>
        </is>
      </c>
      <c r="H230" s="170">
        <f>IF(A230="","",IF(OR(NOT(ISNUMBER(C230)),C230=""),"No",IF(AND(HOUR(C230)&gt;=0,HOUR(C230)&lt;5),"Yes","No")))</f>
        <v/>
      </c>
      <c r="I230" s="183">
        <f>IF(OR(B230="",NOT(ISNUMBER(B230))),"",INT(B230))</f>
        <v/>
      </c>
    </row>
    <row r="231" ht="15" customHeight="1" s="122">
      <c r="A231" s="179" t="inlineStr">
        <is>
          <t>KAA 214B</t>
        </is>
      </c>
      <c r="B231" s="180" t="n">
        <v>46297.67907407408</v>
      </c>
      <c r="C231" s="180" t="n">
        <v>46297.69423611111</v>
      </c>
      <c r="D231" s="173" t="inlineStr">
        <is>
          <t>6.39 Km</t>
        </is>
      </c>
      <c r="E231" s="181" t="n">
        <v>19</v>
      </c>
      <c r="F231" s="182" t="n">
        <v>53</v>
      </c>
      <c r="G231" s="172" t="inlineStr">
        <is>
          <t>No</t>
        </is>
      </c>
      <c r="H231" s="170">
        <f>IF(A231="","",IF(OR(NOT(ISNUMBER(C231)),C231=""),"No",IF(AND(HOUR(C231)&gt;=0,HOUR(C231)&lt;5),"Yes","No")))</f>
        <v/>
      </c>
      <c r="I231" s="183">
        <f>IF(OR(B231="",NOT(ISNUMBER(B231))),"",INT(B231))</f>
        <v/>
      </c>
    </row>
    <row r="232" ht="15" customHeight="1" s="122">
      <c r="A232" s="179" t="inlineStr">
        <is>
          <t>KAA 214B</t>
        </is>
      </c>
      <c r="B232" s="180" t="n">
        <v>46297.73101851852</v>
      </c>
      <c r="C232" s="180" t="n">
        <v>46297.73230324074</v>
      </c>
      <c r="D232" s="173" t="inlineStr">
        <is>
          <t>0.02 Km</t>
        </is>
      </c>
      <c r="E232" s="181" t="n">
        <v>6</v>
      </c>
      <c r="F232" s="182" t="n">
        <v>6</v>
      </c>
      <c r="G232" s="172" t="inlineStr">
        <is>
          <t>No</t>
        </is>
      </c>
      <c r="H232" s="170">
        <f>IF(A232="","",IF(OR(NOT(ISNUMBER(C232)),C232=""),"No",IF(AND(HOUR(C232)&gt;=0,HOUR(C232)&lt;5),"Yes","No")))</f>
        <v/>
      </c>
      <c r="I232" s="183">
        <f>IF(OR(B232="",NOT(ISNUMBER(B232))),"",INT(B232))</f>
        <v/>
      </c>
    </row>
    <row r="233" ht="15" customHeight="1" s="122">
      <c r="A233" s="179" t="inlineStr">
        <is>
          <t>KAA 214B</t>
        </is>
      </c>
      <c r="B233" s="180" t="n">
        <v>46297.73600694445</v>
      </c>
      <c r="C233" s="180" t="n">
        <v>46297.73700231482</v>
      </c>
      <c r="D233" s="173" t="inlineStr">
        <is>
          <t>0.2 Km</t>
        </is>
      </c>
      <c r="E233" s="181" t="n">
        <v>9</v>
      </c>
      <c r="F233" s="182" t="n">
        <v>17</v>
      </c>
      <c r="G233" s="172" t="inlineStr">
        <is>
          <t>No</t>
        </is>
      </c>
      <c r="H233" s="170">
        <f>IF(A233="","",IF(OR(NOT(ISNUMBER(C233)),C233=""),"No",IF(AND(HOUR(C233)&gt;=0,HOUR(C233)&lt;5),"Yes","No")))</f>
        <v/>
      </c>
      <c r="I233" s="183">
        <f>IF(OR(B233="",NOT(ISNUMBER(B233))),"",INT(B233))</f>
        <v/>
      </c>
    </row>
    <row r="234" ht="15" customHeight="1" s="122">
      <c r="A234" s="179" t="inlineStr">
        <is>
          <t>KAA 214B</t>
        </is>
      </c>
      <c r="B234" s="180" t="n">
        <v>46297.74829861111</v>
      </c>
      <c r="C234" s="180" t="n">
        <v>46297.75157407407</v>
      </c>
      <c r="D234" s="173" t="inlineStr">
        <is>
          <t>0.48 Km</t>
        </is>
      </c>
      <c r="E234" s="181" t="n">
        <v>8</v>
      </c>
      <c r="F234" s="182" t="n">
        <v>13</v>
      </c>
      <c r="G234" s="172" t="inlineStr">
        <is>
          <t>No</t>
        </is>
      </c>
      <c r="H234" s="170">
        <f>IF(A234="","",IF(OR(NOT(ISNUMBER(C234)),C234=""),"No",IF(AND(HOUR(C234)&gt;=0,HOUR(C234)&lt;5),"Yes","No")))</f>
        <v/>
      </c>
      <c r="I234" s="183">
        <f>IF(OR(B234="",NOT(ISNUMBER(B234))),"",INT(B234))</f>
        <v/>
      </c>
    </row>
    <row r="235" ht="15" customHeight="1" s="122">
      <c r="A235" s="179" t="inlineStr">
        <is>
          <t>KAA 214B</t>
        </is>
      </c>
      <c r="B235" s="180" t="n">
        <v>46297.76649305555</v>
      </c>
      <c r="C235" s="180" t="n">
        <v>46297.77185185185</v>
      </c>
      <c r="D235" s="173" t="inlineStr">
        <is>
          <t>1.27 Km</t>
        </is>
      </c>
      <c r="E235" s="181" t="n">
        <v>9</v>
      </c>
      <c r="F235" s="182" t="n">
        <v>27</v>
      </c>
      <c r="G235" s="172" t="inlineStr">
        <is>
          <t>No</t>
        </is>
      </c>
      <c r="H235" s="170">
        <f>IF(A235="","",IF(OR(NOT(ISNUMBER(C235)),C235=""),"No",IF(AND(HOUR(C235)&gt;=0,HOUR(C235)&lt;5),"Yes","No")))</f>
        <v/>
      </c>
      <c r="I235" s="183">
        <f>IF(OR(B235="",NOT(ISNUMBER(B235))),"",INT(B235))</f>
        <v/>
      </c>
    </row>
    <row r="236" ht="15" customHeight="1" s="122">
      <c r="A236" s="179" t="inlineStr">
        <is>
          <t>KAA 214B</t>
        </is>
      </c>
      <c r="B236" s="180" t="n">
        <v>46297.78947916667</v>
      </c>
      <c r="C236" s="180" t="n">
        <v>46297.80225694444</v>
      </c>
      <c r="D236" s="173" t="inlineStr">
        <is>
          <t>5.95 Km</t>
        </is>
      </c>
      <c r="E236" s="181" t="n">
        <v>21</v>
      </c>
      <c r="F236" s="182" t="n">
        <v>49</v>
      </c>
      <c r="G236" s="172" t="inlineStr">
        <is>
          <t>No</t>
        </is>
      </c>
      <c r="H236" s="170">
        <f>IF(A236="","",IF(OR(NOT(ISNUMBER(C236)),C236=""),"No",IF(AND(HOUR(C236)&gt;=0,HOUR(C236)&lt;5),"Yes","No")))</f>
        <v/>
      </c>
      <c r="I236" s="183">
        <f>IF(OR(B236="",NOT(ISNUMBER(B236))),"",INT(B236))</f>
        <v/>
      </c>
    </row>
    <row r="237" ht="15" customHeight="1" s="122">
      <c r="A237" s="179" t="inlineStr">
        <is>
          <t>KAA 214B</t>
        </is>
      </c>
      <c r="B237" s="180" t="n">
        <v>46297.87680555556</v>
      </c>
      <c r="C237" s="180" t="n">
        <v>46297.90092592593</v>
      </c>
      <c r="D237" s="173" t="inlineStr">
        <is>
          <t>13.91 Km</t>
        </is>
      </c>
      <c r="E237" s="181" t="n">
        <v>28</v>
      </c>
      <c r="F237" s="182" t="n">
        <v>67</v>
      </c>
      <c r="G237" s="172" t="inlineStr">
        <is>
          <t>No</t>
        </is>
      </c>
      <c r="H237" s="170">
        <f>IF(A237="","",IF(OR(NOT(ISNUMBER(C237)),C237=""),"No",IF(AND(HOUR(C237)&gt;=0,HOUR(C237)&lt;5),"Yes","No")))</f>
        <v/>
      </c>
      <c r="I237" s="183">
        <f>IF(OR(B237="",NOT(ISNUMBER(B237))),"",INT(B237))</f>
        <v/>
      </c>
    </row>
    <row r="238" ht="15" customHeight="1" s="122">
      <c r="A238" s="179" t="inlineStr">
        <is>
          <t>KAA 214B</t>
        </is>
      </c>
      <c r="B238" s="180" t="n">
        <v>46297.90353009259</v>
      </c>
      <c r="C238" s="180" t="n">
        <v>46297.92112268518</v>
      </c>
      <c r="D238" s="173" t="inlineStr">
        <is>
          <t>15.15 Km</t>
        </is>
      </c>
      <c r="E238" s="181" t="n">
        <v>34</v>
      </c>
      <c r="F238" s="182" t="n">
        <v>74</v>
      </c>
      <c r="G238" s="172" t="inlineStr">
        <is>
          <t>Yes</t>
        </is>
      </c>
      <c r="H238" s="170">
        <f>IF(A238="","",IF(OR(NOT(ISNUMBER(C238)),C238=""),"No",IF(AND(HOUR(C238)&gt;=0,HOUR(C238)&lt;5),"Yes","No")))</f>
        <v/>
      </c>
      <c r="I238" s="183">
        <f>IF(OR(B238="",NOT(ISNUMBER(B238))),"",INT(B238))</f>
        <v/>
      </c>
    </row>
    <row r="239" ht="15" customHeight="1" s="122">
      <c r="A239" s="179" t="inlineStr">
        <is>
          <t>KAA 214B</t>
        </is>
      </c>
      <c r="B239" s="180" t="n">
        <v>46328.46430555556</v>
      </c>
      <c r="C239" s="180" t="n">
        <v>46328.47224537037</v>
      </c>
      <c r="D239" s="173" t="inlineStr">
        <is>
          <t>3.26 Km</t>
        </is>
      </c>
      <c r="E239" s="181" t="n">
        <v>16</v>
      </c>
      <c r="F239" s="182" t="n">
        <v>27</v>
      </c>
      <c r="G239" s="172" t="inlineStr">
        <is>
          <t>No</t>
        </is>
      </c>
      <c r="H239" s="170">
        <f>IF(A239="","",IF(OR(NOT(ISNUMBER(C239)),C239=""),"No",IF(AND(HOUR(C239)&gt;=0,HOUR(C239)&lt;5),"Yes","No")))</f>
        <v/>
      </c>
      <c r="I239" s="183">
        <f>IF(OR(B239="",NOT(ISNUMBER(B239))),"",INT(B239))</f>
        <v/>
      </c>
    </row>
    <row r="240" ht="15" customHeight="1" s="122">
      <c r="A240" s="179" t="inlineStr">
        <is>
          <t>KAA 214B</t>
        </is>
      </c>
      <c r="B240" s="180" t="n">
        <v>46328.47368055556</v>
      </c>
      <c r="C240" s="180" t="n">
        <v>46328.48370370371</v>
      </c>
      <c r="D240" s="173" t="inlineStr">
        <is>
          <t>8.93 Km</t>
        </is>
      </c>
      <c r="E240" s="181" t="n">
        <v>39</v>
      </c>
      <c r="F240" s="182" t="n">
        <v>63</v>
      </c>
      <c r="G240" s="172" t="inlineStr">
        <is>
          <t>No</t>
        </is>
      </c>
      <c r="H240" s="170">
        <f>IF(A240="","",IF(OR(NOT(ISNUMBER(C240)),C240=""),"No",IF(AND(HOUR(C240)&gt;=0,HOUR(C240)&lt;5),"Yes","No")))</f>
        <v/>
      </c>
      <c r="I240" s="183">
        <f>IF(OR(B240="",NOT(ISNUMBER(B240))),"",INT(B240))</f>
        <v/>
      </c>
    </row>
    <row r="241" ht="15" customHeight="1" s="122">
      <c r="A241" s="179" t="inlineStr">
        <is>
          <t>KAA 214B</t>
        </is>
      </c>
      <c r="B241" s="180" t="n">
        <v>46328.485625</v>
      </c>
      <c r="C241" s="180" t="n">
        <v>46328.5032175926</v>
      </c>
      <c r="D241" s="173" t="inlineStr">
        <is>
          <t>20.36 Km</t>
        </is>
      </c>
      <c r="E241" s="181" t="n">
        <v>49</v>
      </c>
      <c r="F241" s="182" t="n">
        <v>72</v>
      </c>
      <c r="G241" s="172" t="inlineStr">
        <is>
          <t>No</t>
        </is>
      </c>
      <c r="H241" s="170">
        <f>IF(A241="","",IF(OR(NOT(ISNUMBER(C241)),C241=""),"No",IF(AND(HOUR(C241)&gt;=0,HOUR(C241)&lt;5),"Yes","No")))</f>
        <v/>
      </c>
      <c r="I241" s="183">
        <f>IF(OR(B241="",NOT(ISNUMBER(B241))),"",INT(B241))</f>
        <v/>
      </c>
    </row>
    <row r="242" ht="15" customHeight="1" s="122">
      <c r="A242" s="179" t="inlineStr">
        <is>
          <t>KAA 214B</t>
        </is>
      </c>
      <c r="B242" s="180" t="n">
        <v>46328.51909722222</v>
      </c>
      <c r="C242" s="180" t="n">
        <v>46328.52400462963</v>
      </c>
      <c r="D242" s="173" t="inlineStr">
        <is>
          <t>3.06 Km</t>
        </is>
      </c>
      <c r="E242" s="181" t="n">
        <v>22</v>
      </c>
      <c r="F242" s="182" t="n">
        <v>44</v>
      </c>
      <c r="G242" s="172" t="inlineStr">
        <is>
          <t>No</t>
        </is>
      </c>
      <c r="H242" s="170">
        <f>IF(A242="","",IF(OR(NOT(ISNUMBER(C242)),C242=""),"No",IF(AND(HOUR(C242)&gt;=0,HOUR(C242)&lt;5),"Yes","No")))</f>
        <v/>
      </c>
      <c r="I242" s="183">
        <f>IF(OR(B242="",NOT(ISNUMBER(B242))),"",INT(B242))</f>
        <v/>
      </c>
    </row>
    <row r="243" ht="15" customHeight="1" s="122">
      <c r="A243" s="179" t="inlineStr">
        <is>
          <t>KAA 214B</t>
        </is>
      </c>
      <c r="B243" s="180" t="n">
        <v>46328.70379629629</v>
      </c>
      <c r="C243" s="180" t="n">
        <v>46328.70601851852</v>
      </c>
      <c r="D243" s="173" t="inlineStr">
        <is>
          <t>0.39 Km</t>
        </is>
      </c>
      <c r="E243" s="181" t="n">
        <v>8</v>
      </c>
      <c r="F243" s="182" t="n">
        <v>15</v>
      </c>
      <c r="G243" s="172" t="inlineStr">
        <is>
          <t>No</t>
        </is>
      </c>
      <c r="H243" s="170">
        <f>IF(A243="","",IF(OR(NOT(ISNUMBER(C243)),C243=""),"No",IF(AND(HOUR(C243)&gt;=0,HOUR(C243)&lt;5),"Yes","No")))</f>
        <v/>
      </c>
      <c r="I243" s="183">
        <f>IF(OR(B243="",NOT(ISNUMBER(B243))),"",INT(B243))</f>
        <v/>
      </c>
    </row>
    <row r="244" ht="15" customHeight="1" s="122">
      <c r="A244" s="179" t="inlineStr">
        <is>
          <t>KAA 214B</t>
        </is>
      </c>
      <c r="B244" s="180" t="n">
        <v>46328.76603009259</v>
      </c>
      <c r="C244" s="180" t="n">
        <v>46328.79501157408</v>
      </c>
      <c r="D244" s="173" t="inlineStr">
        <is>
          <t>24.53 Km</t>
        </is>
      </c>
      <c r="E244" s="181" t="n">
        <v>40</v>
      </c>
      <c r="F244" s="182" t="n">
        <v>78</v>
      </c>
      <c r="G244" s="172" t="inlineStr">
        <is>
          <t>No</t>
        </is>
      </c>
      <c r="H244" s="170">
        <f>IF(A244="","",IF(OR(NOT(ISNUMBER(C244)),C244=""),"No",IF(AND(HOUR(C244)&gt;=0,HOUR(C244)&lt;5),"Yes","No")))</f>
        <v/>
      </c>
      <c r="I244" s="183">
        <f>IF(OR(B244="",NOT(ISNUMBER(B244))),"",INT(B244))</f>
        <v/>
      </c>
    </row>
    <row r="245" ht="15" customHeight="1" s="122">
      <c r="A245" s="179" t="inlineStr">
        <is>
          <t>KAA 214B</t>
        </is>
      </c>
      <c r="B245" s="180" t="n">
        <v>46328.79841435186</v>
      </c>
      <c r="C245" s="180" t="n">
        <v>46328.80516203704</v>
      </c>
      <c r="D245" s="173" t="inlineStr">
        <is>
          <t>2.05 Km</t>
        </is>
      </c>
      <c r="E245" s="181" t="n">
        <v>14</v>
      </c>
      <c r="F245" s="182" t="n">
        <v>27</v>
      </c>
      <c r="G245" s="172" t="inlineStr">
        <is>
          <t>No</t>
        </is>
      </c>
      <c r="H245" s="170">
        <f>IF(A245="","",IF(OR(NOT(ISNUMBER(C245)),C245=""),"No",IF(AND(HOUR(C245)&gt;=0,HOUR(C245)&lt;5),"Yes","No")))</f>
        <v/>
      </c>
      <c r="I245" s="183">
        <f>IF(OR(B245="",NOT(ISNUMBER(B245))),"",INT(B245))</f>
        <v/>
      </c>
    </row>
    <row r="246" ht="15" customHeight="1" s="122">
      <c r="A246" s="179" t="inlineStr">
        <is>
          <t>KAA 214B</t>
        </is>
      </c>
      <c r="B246" s="180" t="n">
        <v>46358.35241898148</v>
      </c>
      <c r="C246" s="180" t="n">
        <v>46358.3797337963</v>
      </c>
      <c r="D246" s="173" t="inlineStr">
        <is>
          <t>26.92 Km</t>
        </is>
      </c>
      <c r="E246" s="181" t="n">
        <v>47</v>
      </c>
      <c r="F246" s="182" t="n">
        <v>81</v>
      </c>
      <c r="G246" s="172" t="inlineStr">
        <is>
          <t>No</t>
        </is>
      </c>
      <c r="H246" s="170">
        <f>IF(A246="","",IF(OR(NOT(ISNUMBER(C246)),C246=""),"No",IF(AND(HOUR(C246)&gt;=0,HOUR(C246)&lt;5),"Yes","No")))</f>
        <v/>
      </c>
      <c r="I246" s="183">
        <f>IF(OR(B246="",NOT(ISNUMBER(B246))),"",INT(B246))</f>
        <v/>
      </c>
    </row>
    <row r="247" ht="15" customHeight="1" s="122">
      <c r="A247" s="179" t="inlineStr">
        <is>
          <t>KAA 214B</t>
        </is>
      </c>
      <c r="B247" s="180" t="n">
        <v>46358.42569444444</v>
      </c>
      <c r="C247" s="180" t="n">
        <v>46358.42857638889</v>
      </c>
      <c r="D247" s="173" t="inlineStr">
        <is>
          <t>0.85 Km</t>
        </is>
      </c>
      <c r="E247" s="181" t="n">
        <v>16</v>
      </c>
      <c r="F247" s="182" t="n">
        <v>33</v>
      </c>
      <c r="G247" s="172" t="inlineStr">
        <is>
          <t>No</t>
        </is>
      </c>
      <c r="H247" s="170">
        <f>IF(A247="","",IF(OR(NOT(ISNUMBER(C247)),C247=""),"No",IF(AND(HOUR(C247)&gt;=0,HOUR(C247)&lt;5),"Yes","No")))</f>
        <v/>
      </c>
      <c r="I247" s="183">
        <f>IF(OR(B247="",NOT(ISNUMBER(B247))),"",INT(B247))</f>
        <v/>
      </c>
    </row>
    <row r="248" ht="15" customHeight="1" s="122">
      <c r="A248" s="179" t="inlineStr">
        <is>
          <t>KAA 214B</t>
        </is>
      </c>
      <c r="B248" s="180" t="n">
        <v>46358.43018518519</v>
      </c>
      <c r="C248" s="180" t="n">
        <v>46358.43381944444</v>
      </c>
      <c r="D248" s="173" t="inlineStr">
        <is>
          <t>1.44 Km</t>
        </is>
      </c>
      <c r="E248" s="181" t="n">
        <v>14</v>
      </c>
      <c r="F248" s="182" t="n">
        <v>34</v>
      </c>
      <c r="G248" s="172" t="inlineStr">
        <is>
          <t>No</t>
        </is>
      </c>
      <c r="H248" s="170">
        <f>IF(A248="","",IF(OR(NOT(ISNUMBER(C248)),C248=""),"No",IF(AND(HOUR(C248)&gt;=0,HOUR(C248)&lt;5),"Yes","No")))</f>
        <v/>
      </c>
      <c r="I248" s="183">
        <f>IF(OR(B248="",NOT(ISNUMBER(B248))),"",INT(B248))</f>
        <v/>
      </c>
    </row>
    <row r="249" ht="15" customHeight="1" s="122">
      <c r="A249" s="179" t="inlineStr">
        <is>
          <t>KAA 214B</t>
        </is>
      </c>
      <c r="B249" s="180" t="n">
        <v>46358.4950925926</v>
      </c>
      <c r="C249" s="180" t="n">
        <v>46358.52858796297</v>
      </c>
      <c r="D249" s="173" t="inlineStr">
        <is>
          <t>34.16 Km</t>
        </is>
      </c>
      <c r="E249" s="181" t="n">
        <v>41</v>
      </c>
      <c r="F249" s="182" t="n">
        <v>68</v>
      </c>
      <c r="G249" s="172" t="inlineStr">
        <is>
          <t>No</t>
        </is>
      </c>
      <c r="H249" s="170">
        <f>IF(A249="","",IF(OR(NOT(ISNUMBER(C249)),C249=""),"No",IF(AND(HOUR(C249)&gt;=0,HOUR(C249)&lt;5),"Yes","No")))</f>
        <v/>
      </c>
      <c r="I249" s="183">
        <f>IF(OR(B249="",NOT(ISNUMBER(B249))),"",INT(B249))</f>
        <v/>
      </c>
    </row>
    <row r="250" ht="15" customHeight="1" s="122">
      <c r="A250" s="179" t="inlineStr">
        <is>
          <t>KAA 214B</t>
        </is>
      </c>
      <c r="B250" s="180" t="n">
        <v>46358.630625</v>
      </c>
      <c r="C250" s="180" t="n">
        <v>46358.65832175926</v>
      </c>
      <c r="D250" s="173" t="inlineStr">
        <is>
          <t>32.42 Km</t>
        </is>
      </c>
      <c r="E250" s="181" t="n">
        <v>48</v>
      </c>
      <c r="F250" s="182" t="n">
        <v>82</v>
      </c>
      <c r="G250" s="172" t="inlineStr">
        <is>
          <t>No</t>
        </is>
      </c>
      <c r="H250" s="170">
        <f>IF(A250="","",IF(OR(NOT(ISNUMBER(C250)),C250=""),"No",IF(AND(HOUR(C250)&gt;=0,HOUR(C250)&lt;5),"Yes","No")))</f>
        <v/>
      </c>
      <c r="I250" s="183">
        <f>IF(OR(B250="",NOT(ISNUMBER(B250))),"",INT(B250))</f>
        <v/>
      </c>
    </row>
    <row r="251" ht="15" customHeight="1" s="122">
      <c r="A251" s="179" t="inlineStr">
        <is>
          <t>KAA 214B</t>
        </is>
      </c>
      <c r="B251" s="180" t="n">
        <v>46358.68739583333</v>
      </c>
      <c r="C251" s="180" t="n">
        <v>46358.69004629629</v>
      </c>
      <c r="D251" s="173" t="inlineStr">
        <is>
          <t>0.51 Km</t>
        </is>
      </c>
      <c r="E251" s="181" t="n">
        <v>10</v>
      </c>
      <c r="F251" s="182" t="n">
        <v>16</v>
      </c>
      <c r="G251" s="172" t="inlineStr">
        <is>
          <t>No</t>
        </is>
      </c>
      <c r="H251" s="170">
        <f>IF(A251="","",IF(OR(NOT(ISNUMBER(C251)),C251=""),"No",IF(AND(HOUR(C251)&gt;=0,HOUR(C251)&lt;5),"Yes","No")))</f>
        <v/>
      </c>
      <c r="I251" s="183">
        <f>IF(OR(B251="",NOT(ISNUMBER(B251))),"",INT(B251))</f>
        <v/>
      </c>
    </row>
    <row r="252" ht="15" customHeight="1" s="122">
      <c r="A252" s="179" t="inlineStr">
        <is>
          <t>KAA 214B</t>
        </is>
      </c>
      <c r="B252" s="180" t="n">
        <v>46358.70358796296</v>
      </c>
      <c r="C252" s="180" t="n">
        <v>46358.72255787037</v>
      </c>
      <c r="D252" s="173" t="inlineStr">
        <is>
          <t>19.53 Km</t>
        </is>
      </c>
      <c r="E252" s="181" t="n">
        <v>48</v>
      </c>
      <c r="F252" s="182" t="n">
        <v>74</v>
      </c>
      <c r="G252" s="172" t="inlineStr">
        <is>
          <t>No</t>
        </is>
      </c>
      <c r="H252" s="170">
        <f>IF(A252="","",IF(OR(NOT(ISNUMBER(C252)),C252=""),"No",IF(AND(HOUR(C252)&gt;=0,HOUR(C252)&lt;5),"Yes","No")))</f>
        <v/>
      </c>
      <c r="I252" s="183">
        <f>IF(OR(B252="",NOT(ISNUMBER(B252))),"",INT(B252))</f>
        <v/>
      </c>
    </row>
    <row r="253" ht="15" customHeight="1" s="122">
      <c r="A253" s="179" t="inlineStr">
        <is>
          <t>KAA 214B</t>
        </is>
      </c>
      <c r="B253" s="180" t="n">
        <v>46358.78413194444</v>
      </c>
      <c r="C253" s="180" t="n">
        <v>46358.78460648148</v>
      </c>
      <c r="D253" s="173" t="inlineStr">
        <is>
          <t>0.07 Km</t>
        </is>
      </c>
      <c r="E253" s="181" t="n">
        <v>8</v>
      </c>
      <c r="F253" s="182" t="n">
        <v>13</v>
      </c>
      <c r="G253" s="172" t="inlineStr">
        <is>
          <t>No</t>
        </is>
      </c>
      <c r="H253" s="170">
        <f>IF(A253="","",IF(OR(NOT(ISNUMBER(C253)),C253=""),"No",IF(AND(HOUR(C253)&gt;=0,HOUR(C253)&lt;5),"Yes","No")))</f>
        <v/>
      </c>
      <c r="I253" s="183">
        <f>IF(OR(B253="",NOT(ISNUMBER(B253))),"",INT(B253))</f>
        <v/>
      </c>
    </row>
    <row r="254" ht="15" customHeight="1" s="122">
      <c r="A254" s="179" t="inlineStr">
        <is>
          <t>KAA 214B</t>
        </is>
      </c>
      <c r="B254" s="180" t="n">
        <v>46358.78829861111</v>
      </c>
      <c r="C254" s="180" t="n">
        <v>46358.80046296296</v>
      </c>
      <c r="D254" s="173" t="inlineStr">
        <is>
          <t>7.2 Km</t>
        </is>
      </c>
      <c r="E254" s="181" t="n">
        <v>25</v>
      </c>
      <c r="F254" s="182" t="n">
        <v>57</v>
      </c>
      <c r="G254" s="172" t="inlineStr">
        <is>
          <t>No</t>
        </is>
      </c>
      <c r="H254" s="170">
        <f>IF(A254="","",IF(OR(NOT(ISNUMBER(C254)),C254=""),"No",IF(AND(HOUR(C254)&gt;=0,HOUR(C254)&lt;5),"Yes","No")))</f>
        <v/>
      </c>
      <c r="I254" s="183">
        <f>IF(OR(B254="",NOT(ISNUMBER(B254))),"",INT(B254))</f>
        <v/>
      </c>
    </row>
    <row r="255" ht="15" customHeight="1" s="122">
      <c r="A255" s="179" t="inlineStr">
        <is>
          <t>KAA 214B</t>
        </is>
      </c>
      <c r="B255" s="172" t="inlineStr">
        <is>
          <t>13-02-2026 10:53:38</t>
        </is>
      </c>
      <c r="C255" s="172" t="inlineStr">
        <is>
          <t>13-02-2026 11:10:16</t>
        </is>
      </c>
      <c r="D255" s="173" t="inlineStr">
        <is>
          <t>5.6 Km</t>
        </is>
      </c>
      <c r="E255" s="181" t="n">
        <v>24</v>
      </c>
      <c r="F255" s="182" t="n">
        <v>61</v>
      </c>
      <c r="G255" s="172" t="inlineStr">
        <is>
          <t>No</t>
        </is>
      </c>
      <c r="H255" s="170">
        <f>IF(A255="","",IF(OR(NOT(ISNUMBER(C255)),C255=""),"No",IF(AND(HOUR(C255)&gt;=0,HOUR(C255)&lt;5),"Yes","No")))</f>
        <v/>
      </c>
      <c r="I255" s="183">
        <f>IF(OR(B255="",NOT(ISNUMBER(B255))),"",INT(B255))</f>
        <v/>
      </c>
    </row>
    <row r="256" ht="15" customHeight="1" s="122">
      <c r="A256" s="179" t="inlineStr">
        <is>
          <t>KAA 214B</t>
        </is>
      </c>
      <c r="B256" s="172" t="inlineStr">
        <is>
          <t>13-02-2026 11:17:10</t>
        </is>
      </c>
      <c r="C256" s="172" t="inlineStr">
        <is>
          <t>13-02-2026 11:50:12</t>
        </is>
      </c>
      <c r="D256" s="173" t="inlineStr">
        <is>
          <t>21.32 Km</t>
        </is>
      </c>
      <c r="E256" s="181" t="n">
        <v>41</v>
      </c>
      <c r="F256" s="182" t="n">
        <v>66</v>
      </c>
      <c r="G256" s="172" t="inlineStr">
        <is>
          <t>No</t>
        </is>
      </c>
      <c r="H256" s="170">
        <f>IF(A256="","",IF(OR(NOT(ISNUMBER(C256)),C256=""),"No",IF(AND(HOUR(C256)&gt;=0,HOUR(C256)&lt;5),"Yes","No")))</f>
        <v/>
      </c>
      <c r="I256" s="183">
        <f>IF(OR(B256="",NOT(ISNUMBER(B256))),"",INT(B256))</f>
        <v/>
      </c>
    </row>
    <row r="257" ht="15" customHeight="1" s="122">
      <c r="A257" s="179" t="inlineStr">
        <is>
          <t>KAA 214B</t>
        </is>
      </c>
      <c r="B257" s="172" t="inlineStr">
        <is>
          <t>13-02-2026 14:20:54</t>
        </is>
      </c>
      <c r="C257" s="172" t="inlineStr">
        <is>
          <t>13-02-2026 15:29:11</t>
        </is>
      </c>
      <c r="D257" s="173" t="inlineStr">
        <is>
          <t>69.98 Km</t>
        </is>
      </c>
      <c r="E257" s="181" t="n">
        <v>63</v>
      </c>
      <c r="F257" s="182" t="n">
        <v>86</v>
      </c>
      <c r="G257" s="172" t="inlineStr">
        <is>
          <t>No</t>
        </is>
      </c>
      <c r="H257" s="170">
        <f>IF(A257="","",IF(OR(NOT(ISNUMBER(C257)),C257=""),"No",IF(AND(HOUR(C257)&gt;=0,HOUR(C257)&lt;5),"Yes","No")))</f>
        <v/>
      </c>
      <c r="I257" s="183">
        <f>IF(OR(B257="",NOT(ISNUMBER(B257))),"",INT(B257))</f>
        <v/>
      </c>
    </row>
    <row r="258" ht="15" customHeight="1" s="122">
      <c r="A258" s="179" t="inlineStr">
        <is>
          <t>KAA 214B</t>
        </is>
      </c>
      <c r="B258" s="172" t="inlineStr">
        <is>
          <t>13-02-2026 15:57:43</t>
        </is>
      </c>
      <c r="C258" s="172" t="inlineStr">
        <is>
          <t>13-02-2026 17:47:13</t>
        </is>
      </c>
      <c r="D258" s="173" t="inlineStr">
        <is>
          <t>95.74 Km</t>
        </is>
      </c>
      <c r="E258" s="181" t="n">
        <v>55</v>
      </c>
      <c r="F258" s="182" t="n">
        <v>85</v>
      </c>
      <c r="G258" s="172" t="inlineStr">
        <is>
          <t>No</t>
        </is>
      </c>
      <c r="H258" s="170">
        <f>IF(A258="","",IF(OR(NOT(ISNUMBER(C258)),C258=""),"No",IF(AND(HOUR(C258)&gt;=0,HOUR(C258)&lt;5),"Yes","No")))</f>
        <v/>
      </c>
      <c r="I258" s="183">
        <f>IF(OR(B258="",NOT(ISNUMBER(B258))),"",INT(B258))</f>
        <v/>
      </c>
    </row>
    <row r="259" ht="15" customHeight="1" s="122">
      <c r="A259" s="179" t="inlineStr">
        <is>
          <t>KAA 214B</t>
        </is>
      </c>
      <c r="B259" s="172" t="inlineStr">
        <is>
          <t>13-02-2026 17:59:27</t>
        </is>
      </c>
      <c r="C259" s="172" t="inlineStr">
        <is>
          <t>13-02-2026 18:02:56</t>
        </is>
      </c>
      <c r="D259" s="173" t="inlineStr">
        <is>
          <t>0.58 Km</t>
        </is>
      </c>
      <c r="E259" s="181" t="n">
        <v>11</v>
      </c>
      <c r="F259" s="182" t="n">
        <v>27</v>
      </c>
      <c r="G259" s="172" t="inlineStr">
        <is>
          <t>No</t>
        </is>
      </c>
      <c r="H259" s="170">
        <f>IF(A259="","",IF(OR(NOT(ISNUMBER(C259)),C259=""),"No",IF(AND(HOUR(C259)&gt;=0,HOUR(C259)&lt;5),"Yes","No")))</f>
        <v/>
      </c>
      <c r="I259" s="183">
        <f>IF(OR(B259="",NOT(ISNUMBER(B259))),"",INT(B259))</f>
        <v/>
      </c>
    </row>
    <row r="260" ht="15" customHeight="1" s="122">
      <c r="A260" s="179" t="inlineStr">
        <is>
          <t>KAA 214B</t>
        </is>
      </c>
      <c r="B260" s="172" t="inlineStr">
        <is>
          <t>13-02-2026 18:05:23</t>
        </is>
      </c>
      <c r="C260" s="172" t="inlineStr">
        <is>
          <t>13-02-2026 18:11:29</t>
        </is>
      </c>
      <c r="D260" s="173" t="inlineStr">
        <is>
          <t>1.4 Km</t>
        </is>
      </c>
      <c r="E260" s="181" t="n">
        <v>14</v>
      </c>
      <c r="F260" s="182" t="n">
        <v>28</v>
      </c>
      <c r="G260" s="172" t="inlineStr">
        <is>
          <t>No</t>
        </is>
      </c>
      <c r="H260" s="170">
        <f>IF(A260="","",IF(OR(NOT(ISNUMBER(C260)),C260=""),"No",IF(AND(HOUR(C260)&gt;=0,HOUR(C260)&lt;5),"Yes","No")))</f>
        <v/>
      </c>
      <c r="I260" s="183">
        <f>IF(OR(B260="",NOT(ISNUMBER(B260))),"",INT(B260))</f>
        <v/>
      </c>
    </row>
    <row r="261" ht="15" customHeight="1" s="122">
      <c r="A261" s="179" t="inlineStr">
        <is>
          <t>KAA 214B</t>
        </is>
      </c>
      <c r="B261" s="172" t="inlineStr">
        <is>
          <t>13-02-2026 18:13:00</t>
        </is>
      </c>
      <c r="C261" s="172" t="inlineStr">
        <is>
          <t>13-02-2026 18:25:29</t>
        </is>
      </c>
      <c r="D261" s="173" t="inlineStr">
        <is>
          <t>4.74 Km</t>
        </is>
      </c>
      <c r="E261" s="181" t="n">
        <v>26</v>
      </c>
      <c r="F261" s="182" t="n">
        <v>70</v>
      </c>
      <c r="G261" s="172" t="inlineStr">
        <is>
          <t>No</t>
        </is>
      </c>
      <c r="H261" s="170">
        <f>IF(A261="","",IF(OR(NOT(ISNUMBER(C261)),C261=""),"No",IF(AND(HOUR(C261)&gt;=0,HOUR(C261)&lt;5),"Yes","No")))</f>
        <v/>
      </c>
      <c r="I261" s="183">
        <f>IF(OR(B261="",NOT(ISNUMBER(B261))),"",INT(B261))</f>
        <v/>
      </c>
    </row>
    <row r="262" ht="15" customHeight="1" s="122">
      <c r="A262" s="179" t="inlineStr">
        <is>
          <t>KAA 214B</t>
        </is>
      </c>
      <c r="B262" s="172" t="inlineStr">
        <is>
          <t>13-02-2026 21:55:32</t>
        </is>
      </c>
      <c r="C262" s="172" t="inlineStr">
        <is>
          <t>13-02-2026 21:58:24</t>
        </is>
      </c>
      <c r="D262" s="173" t="inlineStr">
        <is>
          <t>0.2 Km</t>
        </is>
      </c>
      <c r="E262" s="181" t="n">
        <v>7</v>
      </c>
      <c r="F262" s="182" t="n">
        <v>7</v>
      </c>
      <c r="G262" s="172" t="inlineStr">
        <is>
          <t>No</t>
        </is>
      </c>
      <c r="H262" s="170">
        <f>IF(A262="","",IF(OR(NOT(ISNUMBER(C262)),C262=""),"No",IF(AND(HOUR(C262)&gt;=0,HOUR(C262)&lt;5),"Yes","No")))</f>
        <v/>
      </c>
      <c r="I262" s="183">
        <f>IF(OR(B262="",NOT(ISNUMBER(B262))),"",INT(B262))</f>
        <v/>
      </c>
    </row>
    <row r="263" ht="15" customHeight="1" s="122">
      <c r="A263" s="179" t="inlineStr">
        <is>
          <t>KAA 214B</t>
        </is>
      </c>
      <c r="B263" s="172" t="inlineStr">
        <is>
          <t>13-02-2026 22:02:01</t>
        </is>
      </c>
      <c r="C263" s="172" t="inlineStr">
        <is>
          <t>13-02-2026 22:50:23</t>
        </is>
      </c>
      <c r="D263" s="173" t="inlineStr">
        <is>
          <t>32.47 Km</t>
        </is>
      </c>
      <c r="E263" s="181" t="n">
        <v>42</v>
      </c>
      <c r="F263" s="182" t="n">
        <v>88</v>
      </c>
      <c r="G263" s="172" t="inlineStr">
        <is>
          <t>Yes</t>
        </is>
      </c>
      <c r="H263" s="170">
        <f>IF(A263="","",IF(OR(NOT(ISNUMBER(C263)),C263=""),"No",IF(AND(HOUR(C263)&gt;=0,HOUR(C263)&lt;5),"Yes","No")))</f>
        <v/>
      </c>
      <c r="I263" s="183">
        <f>IF(OR(B263="",NOT(ISNUMBER(B263))),"",INT(B263))</f>
        <v/>
      </c>
    </row>
    <row r="264" ht="15" customHeight="1" s="122">
      <c r="A264" s="179" t="inlineStr">
        <is>
          <t>KAA 214B</t>
        </is>
      </c>
      <c r="B264" s="172" t="inlineStr">
        <is>
          <t>14-02-2026 01:54:20</t>
        </is>
      </c>
      <c r="C264" s="172" t="inlineStr">
        <is>
          <t>14-02-2026 02:36:03</t>
        </is>
      </c>
      <c r="D264" s="173" t="inlineStr">
        <is>
          <t>31.57 Km</t>
        </is>
      </c>
      <c r="E264" s="181" t="n">
        <v>48</v>
      </c>
      <c r="F264" s="182" t="n">
        <v>79</v>
      </c>
      <c r="G264" s="172" t="inlineStr">
        <is>
          <t>No</t>
        </is>
      </c>
      <c r="H264" s="170">
        <f>IF(A264="","",IF(OR(NOT(ISNUMBER(C264)),C264=""),"No",IF(AND(HOUR(C264)&gt;=0,HOUR(C264)&lt;5),"Yes","No")))</f>
        <v/>
      </c>
      <c r="I264" s="183">
        <f>IF(OR(B264="",NOT(ISNUMBER(B264))),"",INT(B264))</f>
        <v/>
      </c>
    </row>
    <row r="265" ht="15" customHeight="1" s="122">
      <c r="A265" s="179" t="inlineStr">
        <is>
          <t>KAA 214B</t>
        </is>
      </c>
      <c r="B265" s="172" t="inlineStr">
        <is>
          <t>14-02-2026 10:50:49</t>
        </is>
      </c>
      <c r="C265" s="172" t="inlineStr">
        <is>
          <t>14-02-2026 11:35:17</t>
        </is>
      </c>
      <c r="D265" s="173" t="inlineStr">
        <is>
          <t>26.53 Km</t>
        </is>
      </c>
      <c r="E265" s="181" t="n">
        <v>39</v>
      </c>
      <c r="F265" s="182" t="n">
        <v>76</v>
      </c>
      <c r="G265" s="172" t="inlineStr">
        <is>
          <t>No</t>
        </is>
      </c>
      <c r="H265" s="170">
        <f>IF(A265="","",IF(OR(NOT(ISNUMBER(C265)),C265=""),"No",IF(AND(HOUR(C265)&gt;=0,HOUR(C265)&lt;5),"Yes","No")))</f>
        <v/>
      </c>
      <c r="I265" s="183">
        <f>IF(OR(B265="",NOT(ISNUMBER(B265))),"",INT(B265))</f>
        <v/>
      </c>
    </row>
    <row r="266" ht="15" customHeight="1" s="122">
      <c r="A266" s="179" t="inlineStr">
        <is>
          <t>KAA 214B</t>
        </is>
      </c>
      <c r="B266" s="172" t="inlineStr">
        <is>
          <t>14-02-2026 11:45:49</t>
        </is>
      </c>
      <c r="C266" s="172" t="inlineStr">
        <is>
          <t>14-02-2026 11:52:00</t>
        </is>
      </c>
      <c r="D266" s="173" t="inlineStr">
        <is>
          <t>0.95 Km</t>
        </is>
      </c>
      <c r="E266" s="181" t="n">
        <v>11</v>
      </c>
      <c r="F266" s="182" t="n">
        <v>27</v>
      </c>
      <c r="G266" s="172" t="inlineStr">
        <is>
          <t>No</t>
        </is>
      </c>
      <c r="H266" s="170">
        <f>IF(A266="","",IF(OR(NOT(ISNUMBER(C266)),C266=""),"No",IF(AND(HOUR(C266)&gt;=0,HOUR(C266)&lt;5),"Yes","No")))</f>
        <v/>
      </c>
      <c r="I266" s="183">
        <f>IF(OR(B266="",NOT(ISNUMBER(B266))),"",INT(B266))</f>
        <v/>
      </c>
    </row>
    <row r="267" ht="15" customHeight="1" s="122">
      <c r="A267" s="179" t="inlineStr">
        <is>
          <t>KAA 214B</t>
        </is>
      </c>
      <c r="B267" s="172" t="inlineStr">
        <is>
          <t>14-02-2026 11:53:51</t>
        </is>
      </c>
      <c r="C267" s="172" t="inlineStr">
        <is>
          <t>14-02-2026 12:09:45</t>
        </is>
      </c>
      <c r="D267" s="173" t="inlineStr">
        <is>
          <t>7.39 Km</t>
        </is>
      </c>
      <c r="E267" s="181" t="n">
        <v>34</v>
      </c>
      <c r="F267" s="182" t="n">
        <v>77</v>
      </c>
      <c r="G267" s="172" t="inlineStr">
        <is>
          <t>No</t>
        </is>
      </c>
      <c r="H267" s="170">
        <f>IF(A267="","",IF(OR(NOT(ISNUMBER(C267)),C267=""),"No",IF(AND(HOUR(C267)&gt;=0,HOUR(C267)&lt;5),"Yes","No")))</f>
        <v/>
      </c>
      <c r="I267" s="183">
        <f>IF(OR(B267="",NOT(ISNUMBER(B267))),"",INT(B267))</f>
        <v/>
      </c>
    </row>
    <row r="268" ht="15" customHeight="1" s="122">
      <c r="A268" s="179" t="inlineStr">
        <is>
          <t>KAA 214B</t>
        </is>
      </c>
      <c r="B268" s="172" t="inlineStr">
        <is>
          <t>14-02-2026 12:12:29</t>
        </is>
      </c>
      <c r="C268" s="172" t="inlineStr">
        <is>
          <t>14-02-2026 12:51:58</t>
        </is>
      </c>
      <c r="D268" s="173" t="inlineStr">
        <is>
          <t>15.06 Km</t>
        </is>
      </c>
      <c r="E268" s="181" t="n">
        <v>24</v>
      </c>
      <c r="F268" s="182" t="n">
        <v>63</v>
      </c>
      <c r="G268" s="172" t="inlineStr">
        <is>
          <t>No</t>
        </is>
      </c>
      <c r="H268" s="170">
        <f>IF(A268="","",IF(OR(NOT(ISNUMBER(C268)),C268=""),"No",IF(AND(HOUR(C268)&gt;=0,HOUR(C268)&lt;5),"Yes","No")))</f>
        <v/>
      </c>
      <c r="I268" s="183">
        <f>IF(OR(B268="",NOT(ISNUMBER(B268))),"",INT(B268))</f>
        <v/>
      </c>
    </row>
    <row r="269" ht="15" customHeight="1" s="122">
      <c r="A269" s="179" t="inlineStr">
        <is>
          <t>KAA 214B</t>
        </is>
      </c>
      <c r="B269" s="172" t="inlineStr">
        <is>
          <t>14-02-2026 15:18:27</t>
        </is>
      </c>
      <c r="C269" s="172" t="inlineStr">
        <is>
          <t>14-02-2026 15:41:55</t>
        </is>
      </c>
      <c r="D269" s="173" t="inlineStr">
        <is>
          <t>7.82 Km</t>
        </is>
      </c>
      <c r="E269" s="181" t="n">
        <v>21</v>
      </c>
      <c r="F269" s="182" t="n">
        <v>46</v>
      </c>
      <c r="G269" s="172" t="inlineStr">
        <is>
          <t>No</t>
        </is>
      </c>
      <c r="H269" s="170">
        <f>IF(A269="","",IF(OR(NOT(ISNUMBER(C269)),C269=""),"No",IF(AND(HOUR(C269)&gt;=0,HOUR(C269)&lt;5),"Yes","No")))</f>
        <v/>
      </c>
      <c r="I269" s="183">
        <f>IF(OR(B269="",NOT(ISNUMBER(B269))),"",INT(B269))</f>
        <v/>
      </c>
    </row>
    <row r="270" ht="15" customHeight="1" s="122">
      <c r="A270" s="179" t="inlineStr">
        <is>
          <t>KAA 214B</t>
        </is>
      </c>
      <c r="B270" s="172" t="inlineStr">
        <is>
          <t>14-02-2026 15:42:26</t>
        </is>
      </c>
      <c r="C270" s="172" t="inlineStr">
        <is>
          <t>14-02-2026 16:18:06</t>
        </is>
      </c>
      <c r="D270" s="173" t="inlineStr">
        <is>
          <t>11.54 Km</t>
        </is>
      </c>
      <c r="E270" s="181" t="n">
        <v>28</v>
      </c>
      <c r="F270" s="182" t="n">
        <v>75</v>
      </c>
      <c r="G270" s="172" t="inlineStr">
        <is>
          <t>No</t>
        </is>
      </c>
      <c r="H270" s="170">
        <f>IF(A270="","",IF(OR(NOT(ISNUMBER(C270)),C270=""),"No",IF(AND(HOUR(C270)&gt;=0,HOUR(C270)&lt;5),"Yes","No")))</f>
        <v/>
      </c>
      <c r="I270" s="183">
        <f>IF(OR(B270="",NOT(ISNUMBER(B270))),"",INT(B270))</f>
        <v/>
      </c>
    </row>
    <row r="271" ht="15" customHeight="1" s="122">
      <c r="A271" s="179" t="inlineStr">
        <is>
          <t>KAA 214B</t>
        </is>
      </c>
      <c r="B271" s="172" t="inlineStr">
        <is>
          <t>14-02-2026 16:24:27</t>
        </is>
      </c>
      <c r="C271" s="172" t="inlineStr">
        <is>
          <t>14-02-2026 16:58:02</t>
        </is>
      </c>
      <c r="D271" s="173" t="inlineStr">
        <is>
          <t>21.12 Km</t>
        </is>
      </c>
      <c r="E271" s="181" t="n">
        <v>41</v>
      </c>
      <c r="F271" s="182" t="n">
        <v>83</v>
      </c>
      <c r="G271" s="172" t="inlineStr">
        <is>
          <t>No</t>
        </is>
      </c>
      <c r="H271" s="170">
        <f>IF(A271="","",IF(OR(NOT(ISNUMBER(C271)),C271=""),"No",IF(AND(HOUR(C271)&gt;=0,HOUR(C271)&lt;5),"Yes","No")))</f>
        <v/>
      </c>
      <c r="I271" s="183">
        <f>IF(OR(B271="",NOT(ISNUMBER(B271))),"",INT(B271))</f>
        <v/>
      </c>
    </row>
    <row r="272" ht="15" customHeight="1" s="122">
      <c r="A272" s="179" t="inlineStr">
        <is>
          <t>KAA 214B</t>
        </is>
      </c>
      <c r="B272" s="172" t="inlineStr">
        <is>
          <t>14-02-2026 17:03:02</t>
        </is>
      </c>
      <c r="C272" s="172" t="inlineStr">
        <is>
          <t>14-02-2026 17:14:15</t>
        </is>
      </c>
      <c r="D272" s="173" t="inlineStr">
        <is>
          <t>5.51 Km</t>
        </is>
      </c>
      <c r="E272" s="181" t="n">
        <v>30</v>
      </c>
      <c r="F272" s="182" t="n">
        <v>75</v>
      </c>
      <c r="G272" s="172" t="inlineStr">
        <is>
          <t>No</t>
        </is>
      </c>
      <c r="H272" s="170">
        <f>IF(A272="","",IF(OR(NOT(ISNUMBER(C272)),C272=""),"No",IF(AND(HOUR(C272)&gt;=0,HOUR(C272)&lt;5),"Yes","No")))</f>
        <v/>
      </c>
      <c r="I272" s="183">
        <f>IF(OR(B272="",NOT(ISNUMBER(B272))),"",INT(B272))</f>
        <v/>
      </c>
    </row>
    <row r="273" ht="15" customHeight="1" s="122">
      <c r="A273" s="179" t="inlineStr">
        <is>
          <t>KAA 214B</t>
        </is>
      </c>
      <c r="B273" s="172" t="inlineStr">
        <is>
          <t>15-02-2026 07:54:05</t>
        </is>
      </c>
      <c r="C273" s="172" t="inlineStr">
        <is>
          <t>15-02-2026 08:41:14</t>
        </is>
      </c>
      <c r="D273" s="173" t="inlineStr">
        <is>
          <t>32.48 Km</t>
        </is>
      </c>
      <c r="E273" s="181" t="n">
        <v>43</v>
      </c>
      <c r="F273" s="182" t="n">
        <v>74</v>
      </c>
      <c r="G273" s="172" t="inlineStr">
        <is>
          <t>No</t>
        </is>
      </c>
      <c r="H273" s="170">
        <f>IF(A273="","",IF(OR(NOT(ISNUMBER(C273)),C273=""),"No",IF(AND(HOUR(C273)&gt;=0,HOUR(C273)&lt;5),"Yes","No")))</f>
        <v/>
      </c>
      <c r="I273" s="183">
        <f>IF(OR(B273="",NOT(ISNUMBER(B273))),"",INT(B273))</f>
        <v/>
      </c>
    </row>
    <row r="274" ht="15" customHeight="1" s="122">
      <c r="A274" s="179" t="inlineStr">
        <is>
          <t>KAA 214B</t>
        </is>
      </c>
      <c r="B274" s="172" t="inlineStr">
        <is>
          <t>15-02-2026 14:28:16</t>
        </is>
      </c>
      <c r="C274" s="172" t="inlineStr">
        <is>
          <t>15-02-2026 14:51:05</t>
        </is>
      </c>
      <c r="D274" s="173" t="inlineStr">
        <is>
          <t>7 Km</t>
        </is>
      </c>
      <c r="E274" s="181" t="n">
        <v>19</v>
      </c>
      <c r="F274" s="182" t="n">
        <v>63</v>
      </c>
      <c r="G274" s="172" t="inlineStr">
        <is>
          <t>No</t>
        </is>
      </c>
      <c r="H274" s="170">
        <f>IF(A274="","",IF(OR(NOT(ISNUMBER(C274)),C274=""),"No",IF(AND(HOUR(C274)&gt;=0,HOUR(C274)&lt;5),"Yes","No")))</f>
        <v/>
      </c>
      <c r="I274" s="183">
        <f>IF(OR(B274="",NOT(ISNUMBER(B274))),"",INT(B274))</f>
        <v/>
      </c>
    </row>
    <row r="275" ht="15" customHeight="1" s="122">
      <c r="A275" s="179" t="inlineStr">
        <is>
          <t>KAA 214B</t>
        </is>
      </c>
      <c r="B275" s="172" t="inlineStr">
        <is>
          <t>15-02-2026 14:51:47</t>
        </is>
      </c>
      <c r="C275" s="172" t="inlineStr">
        <is>
          <t>15-02-2026 15:38:27</t>
        </is>
      </c>
      <c r="D275" s="173" t="inlineStr">
        <is>
          <t>27.53 Km</t>
        </is>
      </c>
      <c r="E275" s="181" t="n">
        <v>36</v>
      </c>
      <c r="F275" s="182" t="n">
        <v>85</v>
      </c>
      <c r="G275" s="172" t="inlineStr">
        <is>
          <t>No</t>
        </is>
      </c>
      <c r="H275" s="170">
        <f>IF(A275="","",IF(OR(NOT(ISNUMBER(C275)),C275=""),"No",IF(AND(HOUR(C275)&gt;=0,HOUR(C275)&lt;5),"Yes","No")))</f>
        <v/>
      </c>
      <c r="I275" s="183">
        <f>IF(OR(B275="",NOT(ISNUMBER(B275))),"",INT(B275))</f>
        <v/>
      </c>
    </row>
    <row r="276" ht="15" customHeight="1" s="122">
      <c r="A276" s="179" t="inlineStr">
        <is>
          <t>KAA 214B</t>
        </is>
      </c>
      <c r="B276" s="172" t="inlineStr">
        <is>
          <t>16-02-2026 07:39:30</t>
        </is>
      </c>
      <c r="C276" s="172" t="inlineStr">
        <is>
          <t>16-02-2026 08:45:41</t>
        </is>
      </c>
      <c r="D276" s="173" t="inlineStr">
        <is>
          <t>43.15 Km</t>
        </is>
      </c>
      <c r="E276" s="181" t="n">
        <v>39</v>
      </c>
      <c r="F276" s="182" t="n">
        <v>78</v>
      </c>
      <c r="G276" s="172" t="inlineStr">
        <is>
          <t>No</t>
        </is>
      </c>
      <c r="H276" s="170">
        <f>IF(A276="","",IF(OR(NOT(ISNUMBER(C276)),C276=""),"No",IF(AND(HOUR(C276)&gt;=0,HOUR(C276)&lt;5),"Yes","No")))</f>
        <v/>
      </c>
      <c r="I276" s="183">
        <f>IF(OR(B276="",NOT(ISNUMBER(B276))),"",INT(B276))</f>
        <v/>
      </c>
    </row>
    <row r="277" ht="15" customHeight="1" s="122">
      <c r="A277" s="179" t="inlineStr">
        <is>
          <t>KAA 214B</t>
        </is>
      </c>
      <c r="B277" s="172" t="inlineStr">
        <is>
          <t>16-02-2026 09:35:41</t>
        </is>
      </c>
      <c r="C277" s="172" t="inlineStr">
        <is>
          <t>16-02-2026 09:40:57</t>
        </is>
      </c>
      <c r="D277" s="173" t="inlineStr">
        <is>
          <t>0.64 Km</t>
        </is>
      </c>
      <c r="E277" s="181" t="n">
        <v>9</v>
      </c>
      <c r="F277" s="182" t="n">
        <v>21</v>
      </c>
      <c r="G277" s="172" t="inlineStr">
        <is>
          <t>No</t>
        </is>
      </c>
      <c r="H277" s="170">
        <f>IF(A277="","",IF(OR(NOT(ISNUMBER(C277)),C277=""),"No",IF(AND(HOUR(C277)&gt;=0,HOUR(C277)&lt;5),"Yes","No")))</f>
        <v/>
      </c>
      <c r="I277" s="183">
        <f>IF(OR(B277="",NOT(ISNUMBER(B277))),"",INT(B277))</f>
        <v/>
      </c>
    </row>
    <row r="278" ht="15" customHeight="1" s="122">
      <c r="A278" s="179" t="inlineStr">
        <is>
          <t>KAA 214B</t>
        </is>
      </c>
      <c r="B278" s="172" t="inlineStr">
        <is>
          <t>16-02-2026 10:39:31</t>
        </is>
      </c>
      <c r="C278" s="172" t="inlineStr">
        <is>
          <t>16-02-2026 10:53:47</t>
        </is>
      </c>
      <c r="D278" s="173" t="inlineStr">
        <is>
          <t>2.76 Km</t>
        </is>
      </c>
      <c r="E278" s="181" t="n">
        <v>13</v>
      </c>
      <c r="F278" s="182" t="n">
        <v>48</v>
      </c>
      <c r="G278" s="172" t="inlineStr">
        <is>
          <t>No</t>
        </is>
      </c>
      <c r="H278" s="170">
        <f>IF(A278="","",IF(OR(NOT(ISNUMBER(C278)),C278=""),"No",IF(AND(HOUR(C278)&gt;=0,HOUR(C278)&lt;5),"Yes","No")))</f>
        <v/>
      </c>
      <c r="I278" s="183">
        <f>IF(OR(B278="",NOT(ISNUMBER(B278))),"",INT(B278))</f>
        <v/>
      </c>
    </row>
    <row r="279" ht="15" customHeight="1" s="122">
      <c r="A279" s="179" t="inlineStr">
        <is>
          <t>KAA 214B</t>
        </is>
      </c>
      <c r="B279" s="172" t="inlineStr">
        <is>
          <t>16-02-2026 11:34:05</t>
        </is>
      </c>
      <c r="C279" s="172" t="inlineStr">
        <is>
          <t>16-02-2026 11:35:09</t>
        </is>
      </c>
      <c r="D279" s="173" t="inlineStr">
        <is>
          <t>0.03 Km</t>
        </is>
      </c>
      <c r="E279" s="181" t="n">
        <v>7</v>
      </c>
      <c r="F279" s="182" t="n">
        <v>7</v>
      </c>
      <c r="G279" s="172" t="inlineStr">
        <is>
          <t>No</t>
        </is>
      </c>
      <c r="H279" s="170">
        <f>IF(A279="","",IF(OR(NOT(ISNUMBER(C279)),C279=""),"No",IF(AND(HOUR(C279)&gt;=0,HOUR(C279)&lt;5),"Yes","No")))</f>
        <v/>
      </c>
      <c r="I279" s="183">
        <f>IF(OR(B279="",NOT(ISNUMBER(B279))),"",INT(B279))</f>
        <v/>
      </c>
    </row>
    <row r="280" ht="15" customHeight="1" s="122">
      <c r="A280" s="179" t="inlineStr">
        <is>
          <t>KAA 214B</t>
        </is>
      </c>
      <c r="B280" s="172" t="inlineStr">
        <is>
          <t>16-02-2026 11:47:12</t>
        </is>
      </c>
      <c r="C280" s="172" t="inlineStr">
        <is>
          <t>16-02-2026 11:55:44</t>
        </is>
      </c>
      <c r="D280" s="173" t="inlineStr">
        <is>
          <t>2.04 Km</t>
        </is>
      </c>
      <c r="E280" s="181" t="n">
        <v>12</v>
      </c>
      <c r="F280" s="182" t="n">
        <v>40</v>
      </c>
      <c r="G280" s="172" t="inlineStr">
        <is>
          <t>No</t>
        </is>
      </c>
      <c r="H280" s="170">
        <f>IF(A280="","",IF(OR(NOT(ISNUMBER(C280)),C280=""),"No",IF(AND(HOUR(C280)&gt;=0,HOUR(C280)&lt;5),"Yes","No")))</f>
        <v/>
      </c>
      <c r="I280" s="183">
        <f>IF(OR(B280="",NOT(ISNUMBER(B280))),"",INT(B280))</f>
        <v/>
      </c>
    </row>
    <row r="281" ht="15" customHeight="1" s="122">
      <c r="A281" s="179" t="inlineStr">
        <is>
          <t>KAA 214B</t>
        </is>
      </c>
      <c r="B281" s="172" t="inlineStr">
        <is>
          <t>16-02-2026 13:37:32</t>
        </is>
      </c>
      <c r="C281" s="172" t="inlineStr">
        <is>
          <t>16-02-2026 13:40:18</t>
        </is>
      </c>
      <c r="D281" s="173" t="inlineStr">
        <is>
          <t>0.32 Km</t>
        </is>
      </c>
      <c r="E281" s="181" t="n">
        <v>11</v>
      </c>
      <c r="F281" s="182" t="n">
        <v>20</v>
      </c>
      <c r="G281" s="172" t="inlineStr">
        <is>
          <t>No</t>
        </is>
      </c>
      <c r="H281" s="170">
        <f>IF(A281="","",IF(OR(NOT(ISNUMBER(C281)),C281=""),"No",IF(AND(HOUR(C281)&gt;=0,HOUR(C281)&lt;5),"Yes","No")))</f>
        <v/>
      </c>
      <c r="I281" s="183">
        <f>IF(OR(B281="",NOT(ISNUMBER(B281))),"",INT(B281))</f>
        <v/>
      </c>
    </row>
    <row r="282" ht="15" customHeight="1" s="122">
      <c r="A282" s="179" t="inlineStr">
        <is>
          <t>KAA 214B</t>
        </is>
      </c>
      <c r="B282" s="172" t="inlineStr">
        <is>
          <t>16-02-2026 13:50:09</t>
        </is>
      </c>
      <c r="C282" s="172" t="inlineStr">
        <is>
          <t>16-02-2026 14:20:29</t>
        </is>
      </c>
      <c r="D282" s="173" t="inlineStr">
        <is>
          <t>14.4 Km</t>
        </is>
      </c>
      <c r="E282" s="181" t="n">
        <v>31</v>
      </c>
      <c r="F282" s="182" t="n">
        <v>61</v>
      </c>
      <c r="G282" s="172" t="inlineStr">
        <is>
          <t>No</t>
        </is>
      </c>
      <c r="H282" s="170">
        <f>IF(A282="","",IF(OR(NOT(ISNUMBER(C282)),C282=""),"No",IF(AND(HOUR(C282)&gt;=0,HOUR(C282)&lt;5),"Yes","No")))</f>
        <v/>
      </c>
      <c r="I282" s="183">
        <f>IF(OR(B282="",NOT(ISNUMBER(B282))),"",INT(B282))</f>
        <v/>
      </c>
    </row>
    <row r="283" ht="15" customHeight="1" s="122">
      <c r="A283" s="179" t="inlineStr">
        <is>
          <t>KAA 214B</t>
        </is>
      </c>
      <c r="B283" s="172" t="inlineStr">
        <is>
          <t>16-02-2026 14:25:22</t>
        </is>
      </c>
      <c r="C283" s="172" t="inlineStr">
        <is>
          <t>16-02-2026 15:06:02</t>
        </is>
      </c>
      <c r="D283" s="173" t="inlineStr">
        <is>
          <t>38.01 Km</t>
        </is>
      </c>
      <c r="E283" s="181" t="n">
        <v>55</v>
      </c>
      <c r="F283" s="182" t="n">
        <v>83</v>
      </c>
      <c r="G283" s="172" t="inlineStr">
        <is>
          <t>No</t>
        </is>
      </c>
      <c r="H283" s="170">
        <f>IF(A283="","",IF(OR(NOT(ISNUMBER(C283)),C283=""),"No",IF(AND(HOUR(C283)&gt;=0,HOUR(C283)&lt;5),"Yes","No")))</f>
        <v/>
      </c>
      <c r="I283" s="183">
        <f>IF(OR(B283="",NOT(ISNUMBER(B283))),"",INT(B283))</f>
        <v/>
      </c>
    </row>
    <row r="284" ht="15" customHeight="1" s="122">
      <c r="A284" s="179" t="inlineStr">
        <is>
          <t>KAA 214B</t>
        </is>
      </c>
      <c r="B284" s="172" t="inlineStr">
        <is>
          <t>16-02-2026 15:09:39</t>
        </is>
      </c>
      <c r="C284" s="172" t="inlineStr">
        <is>
          <t>16-02-2026 15:13:38</t>
        </is>
      </c>
      <c r="D284" s="173" t="inlineStr">
        <is>
          <t>0.36 Km</t>
        </is>
      </c>
      <c r="E284" s="181" t="n">
        <v>8</v>
      </c>
      <c r="F284" s="182" t="n">
        <v>13</v>
      </c>
      <c r="G284" s="172" t="inlineStr">
        <is>
          <t>No</t>
        </is>
      </c>
      <c r="H284" s="170">
        <f>IF(A284="","",IF(OR(NOT(ISNUMBER(C284)),C284=""),"No",IF(AND(HOUR(C284)&gt;=0,HOUR(C284)&lt;5),"Yes","No")))</f>
        <v/>
      </c>
      <c r="I284" s="183">
        <f>IF(OR(B284="",NOT(ISNUMBER(B284))),"",INT(B284))</f>
        <v/>
      </c>
    </row>
    <row r="285" ht="15" customHeight="1" s="122">
      <c r="A285" s="179" t="inlineStr">
        <is>
          <t>KAA 214B</t>
        </is>
      </c>
      <c r="B285" s="172" t="inlineStr">
        <is>
          <t>16-02-2026 15:44:41</t>
        </is>
      </c>
      <c r="C285" s="172" t="inlineStr">
        <is>
          <t>16-02-2026 15:48:15</t>
        </is>
      </c>
      <c r="D285" s="173" t="inlineStr">
        <is>
          <t>0.06 Km</t>
        </is>
      </c>
      <c r="E285" s="181" t="n">
        <v>7</v>
      </c>
      <c r="F285" s="182" t="n">
        <v>9</v>
      </c>
      <c r="G285" s="172" t="inlineStr">
        <is>
          <t>No</t>
        </is>
      </c>
      <c r="H285" s="170">
        <f>IF(A285="","",IF(OR(NOT(ISNUMBER(C285)),C285=""),"No",IF(AND(HOUR(C285)&gt;=0,HOUR(C285)&lt;5),"Yes","No")))</f>
        <v/>
      </c>
      <c r="I285" s="183">
        <f>IF(OR(B285="",NOT(ISNUMBER(B285))),"",INT(B285))</f>
        <v/>
      </c>
    </row>
    <row r="286" ht="15" customHeight="1" s="122">
      <c r="A286" s="179" t="inlineStr">
        <is>
          <t>KAA 214B</t>
        </is>
      </c>
      <c r="B286" s="172" t="inlineStr">
        <is>
          <t>16-02-2026 15:54:53</t>
        </is>
      </c>
      <c r="C286" s="172" t="inlineStr">
        <is>
          <t>16-02-2026 15:55:27</t>
        </is>
      </c>
      <c r="D286" s="173" t="inlineStr">
        <is>
          <t>0.07 Km</t>
        </is>
      </c>
      <c r="E286" s="181" t="n">
        <v>7</v>
      </c>
      <c r="F286" s="182" t="n">
        <v>11</v>
      </c>
      <c r="G286" s="172" t="inlineStr">
        <is>
          <t>No</t>
        </is>
      </c>
      <c r="H286" s="170">
        <f>IF(A286="","",IF(OR(NOT(ISNUMBER(C286)),C286=""),"No",IF(AND(HOUR(C286)&gt;=0,HOUR(C286)&lt;5),"Yes","No")))</f>
        <v/>
      </c>
      <c r="I286" s="183">
        <f>IF(OR(B286="",NOT(ISNUMBER(B286))),"",INT(B286))</f>
        <v/>
      </c>
    </row>
    <row r="287" ht="15" customHeight="1" s="122">
      <c r="A287" s="179" t="inlineStr">
        <is>
          <t>KAA 214B</t>
        </is>
      </c>
      <c r="B287" s="172" t="inlineStr">
        <is>
          <t>16-02-2026 16:31:16</t>
        </is>
      </c>
      <c r="C287" s="172" t="inlineStr">
        <is>
          <t>16-02-2026 16:32:31</t>
        </is>
      </c>
      <c r="D287" s="173" t="inlineStr">
        <is>
          <t>0.06 Km</t>
        </is>
      </c>
      <c r="E287" s="181" t="n">
        <v>7</v>
      </c>
      <c r="F287" s="182" t="n">
        <v>9</v>
      </c>
      <c r="G287" s="172" t="inlineStr">
        <is>
          <t>No</t>
        </is>
      </c>
      <c r="H287" s="170">
        <f>IF(A287="","",IF(OR(NOT(ISNUMBER(C287)),C287=""),"No",IF(AND(HOUR(C287)&gt;=0,HOUR(C287)&lt;5),"Yes","No")))</f>
        <v/>
      </c>
      <c r="I287" s="183">
        <f>IF(OR(B287="",NOT(ISNUMBER(B287))),"",INT(B287))</f>
        <v/>
      </c>
    </row>
    <row r="288" ht="15" customHeight="1" s="122">
      <c r="A288" s="179" t="inlineStr">
        <is>
          <t>KAA 214B</t>
        </is>
      </c>
      <c r="B288" s="172" t="inlineStr">
        <is>
          <t>16-02-2026 16:41:06</t>
        </is>
      </c>
      <c r="C288" s="172" t="inlineStr">
        <is>
          <t>16-02-2026 16:42:19</t>
        </is>
      </c>
      <c r="D288" s="173" t="inlineStr">
        <is>
          <t>0.04 Km</t>
        </is>
      </c>
      <c r="E288" s="181" t="n">
        <v>7</v>
      </c>
      <c r="F288" s="182" t="n">
        <v>8</v>
      </c>
      <c r="G288" s="172" t="inlineStr">
        <is>
          <t>No</t>
        </is>
      </c>
      <c r="H288" s="170">
        <f>IF(A288="","",IF(OR(NOT(ISNUMBER(C288)),C288=""),"No",IF(AND(HOUR(C288)&gt;=0,HOUR(C288)&lt;5),"Yes","No")))</f>
        <v/>
      </c>
      <c r="I288" s="183">
        <f>IF(OR(B288="",NOT(ISNUMBER(B288))),"",INT(B288))</f>
        <v/>
      </c>
    </row>
    <row r="289" ht="15" customHeight="1" s="122">
      <c r="A289" s="179" t="inlineStr">
        <is>
          <t>KAA 214B</t>
        </is>
      </c>
      <c r="B289" s="172" t="inlineStr">
        <is>
          <t>16-02-2026 17:17:48</t>
        </is>
      </c>
      <c r="C289" s="172" t="inlineStr">
        <is>
          <t>16-02-2026 17:19:08</t>
        </is>
      </c>
      <c r="D289" s="173" t="inlineStr">
        <is>
          <t>0.04 Km</t>
        </is>
      </c>
      <c r="E289" s="181" t="n">
        <v>6</v>
      </c>
      <c r="F289" s="182" t="n">
        <v>7</v>
      </c>
      <c r="G289" s="172" t="inlineStr">
        <is>
          <t>No</t>
        </is>
      </c>
      <c r="H289" s="170">
        <f>IF(A289="","",IF(OR(NOT(ISNUMBER(C289)),C289=""),"No",IF(AND(HOUR(C289)&gt;=0,HOUR(C289)&lt;5),"Yes","No")))</f>
        <v/>
      </c>
      <c r="I289" s="183">
        <f>IF(OR(B289="",NOT(ISNUMBER(B289))),"",INT(B289))</f>
        <v/>
      </c>
    </row>
    <row r="290" ht="15" customHeight="1" s="122">
      <c r="A290" s="179" t="inlineStr">
        <is>
          <t>KAA 214B</t>
        </is>
      </c>
      <c r="B290" s="172" t="inlineStr">
        <is>
          <t>16-02-2026 17:25:21</t>
        </is>
      </c>
      <c r="C290" s="172" t="inlineStr">
        <is>
          <t>16-02-2026 17:30:44</t>
        </is>
      </c>
      <c r="D290" s="173" t="inlineStr">
        <is>
          <t>0.9 Km</t>
        </is>
      </c>
      <c r="E290" s="181" t="n">
        <v>10</v>
      </c>
      <c r="F290" s="182" t="n">
        <v>22</v>
      </c>
      <c r="G290" s="172" t="inlineStr">
        <is>
          <t>No</t>
        </is>
      </c>
      <c r="H290" s="170">
        <f>IF(A290="","",IF(OR(NOT(ISNUMBER(C290)),C290=""),"No",IF(AND(HOUR(C290)&gt;=0,HOUR(C290)&lt;5),"Yes","No")))</f>
        <v/>
      </c>
      <c r="I290" s="183">
        <f>IF(OR(B290="",NOT(ISNUMBER(B290))),"",INT(B290))</f>
        <v/>
      </c>
    </row>
    <row r="291" ht="15" customHeight="1" s="122">
      <c r="A291" s="179" t="inlineStr">
        <is>
          <t>KAA 214B</t>
        </is>
      </c>
      <c r="B291" s="172" t="inlineStr">
        <is>
          <t>16-02-2026 17:33:58</t>
        </is>
      </c>
      <c r="C291" s="172" t="inlineStr">
        <is>
          <t>16-02-2026 18:52:47</t>
        </is>
      </c>
      <c r="D291" s="173" t="inlineStr">
        <is>
          <t>56.32 Km</t>
        </is>
      </c>
      <c r="E291" s="181" t="n">
        <v>45</v>
      </c>
      <c r="F291" s="182" t="n">
        <v>86</v>
      </c>
      <c r="G291" s="172" t="inlineStr">
        <is>
          <t>No</t>
        </is>
      </c>
      <c r="H291" s="170">
        <f>IF(A291="","",IF(OR(NOT(ISNUMBER(C291)),C291=""),"No",IF(AND(HOUR(C291)&gt;=0,HOUR(C291)&lt;5),"Yes","No")))</f>
        <v/>
      </c>
      <c r="I291" s="183">
        <f>IF(OR(B291="",NOT(ISNUMBER(B291))),"",INT(B291))</f>
        <v/>
      </c>
    </row>
    <row r="292" ht="15" customHeight="1" s="122">
      <c r="A292" s="179" t="inlineStr">
        <is>
          <t>KAA 214B</t>
        </is>
      </c>
      <c r="B292" s="172" t="inlineStr">
        <is>
          <t>16-02-2026 18:55:38</t>
        </is>
      </c>
      <c r="C292" s="172" t="inlineStr">
        <is>
          <t>16-02-2026 19:40:32</t>
        </is>
      </c>
      <c r="D292" s="173" t="inlineStr">
        <is>
          <t>32.71 Km</t>
        </is>
      </c>
      <c r="E292" s="181" t="n">
        <v>43</v>
      </c>
      <c r="F292" s="182" t="n">
        <v>80</v>
      </c>
      <c r="G292" s="172" t="inlineStr">
        <is>
          <t>No</t>
        </is>
      </c>
      <c r="H292" s="170">
        <f>IF(A292="","",IF(OR(NOT(ISNUMBER(C292)),C292=""),"No",IF(AND(HOUR(C292)&gt;=0,HOUR(C292)&lt;5),"Yes","No")))</f>
        <v/>
      </c>
      <c r="I292" s="183">
        <f>IF(OR(B292="",NOT(ISNUMBER(B292))),"",INT(B292))</f>
        <v/>
      </c>
    </row>
    <row r="293" ht="15" customHeight="1" s="122">
      <c r="A293" s="179" t="inlineStr">
        <is>
          <t>KAA 214B</t>
        </is>
      </c>
      <c r="B293" s="172" t="inlineStr">
        <is>
          <t>16-02-2026 19:56:01</t>
        </is>
      </c>
      <c r="C293" s="172" t="inlineStr">
        <is>
          <t>16-02-2026 20:10:34</t>
        </is>
      </c>
      <c r="D293" s="173" t="inlineStr">
        <is>
          <t>5.49 Km</t>
        </is>
      </c>
      <c r="E293" s="181" t="n">
        <v>23</v>
      </c>
      <c r="F293" s="182" t="n">
        <v>69</v>
      </c>
      <c r="G293" s="172" t="inlineStr">
        <is>
          <t>No</t>
        </is>
      </c>
      <c r="H293" s="170">
        <f>IF(A293="","",IF(OR(NOT(ISNUMBER(C293)),C293=""),"No",IF(AND(HOUR(C293)&gt;=0,HOUR(C293)&lt;5),"Yes","No")))</f>
        <v/>
      </c>
      <c r="I293" s="183">
        <f>IF(OR(B293="",NOT(ISNUMBER(B293))),"",INT(B293))</f>
        <v/>
      </c>
    </row>
    <row r="294" ht="15" customHeight="1" s="122">
      <c r="A294" s="179" t="inlineStr">
        <is>
          <t>KAA 214B</t>
        </is>
      </c>
      <c r="B294" s="172" t="inlineStr">
        <is>
          <t>17-02-2026 07:40:17</t>
        </is>
      </c>
      <c r="C294" s="172" t="inlineStr">
        <is>
          <t>17-02-2026 07:56:47</t>
        </is>
      </c>
      <c r="D294" s="173" t="inlineStr">
        <is>
          <t>5.74 Km</t>
        </is>
      </c>
      <c r="E294" s="181" t="n">
        <v>23</v>
      </c>
      <c r="F294" s="182" t="n">
        <v>77</v>
      </c>
      <c r="G294" s="172" t="inlineStr">
        <is>
          <t>No</t>
        </is>
      </c>
      <c r="H294" s="170">
        <f>IF(A294="","",IF(OR(NOT(ISNUMBER(C294)),C294=""),"No",IF(AND(HOUR(C294)&gt;=0,HOUR(C294)&lt;5),"Yes","No")))</f>
        <v/>
      </c>
      <c r="I294" s="183">
        <f>IF(OR(B294="",NOT(ISNUMBER(B294))),"",INT(B294))</f>
        <v/>
      </c>
    </row>
    <row r="295" ht="15" customHeight="1" s="122">
      <c r="A295" s="179" t="inlineStr">
        <is>
          <t>KAA 214B</t>
        </is>
      </c>
      <c r="B295" s="172" t="inlineStr">
        <is>
          <t>17-02-2026 07:56:50</t>
        </is>
      </c>
      <c r="C295" s="172" t="inlineStr">
        <is>
          <t>17-02-2026 08:30:39</t>
        </is>
      </c>
      <c r="D295" s="173" t="inlineStr">
        <is>
          <t>25.92 Km</t>
        </is>
      </c>
      <c r="E295" s="181" t="n">
        <v>50</v>
      </c>
      <c r="F295" s="182" t="n">
        <v>81</v>
      </c>
      <c r="G295" s="172" t="inlineStr">
        <is>
          <t>No</t>
        </is>
      </c>
      <c r="H295" s="170">
        <f>IF(A295="","",IF(OR(NOT(ISNUMBER(C295)),C295=""),"No",IF(AND(HOUR(C295)&gt;=0,HOUR(C295)&lt;5),"Yes","No")))</f>
        <v/>
      </c>
      <c r="I295" s="183">
        <f>IF(OR(B295="",NOT(ISNUMBER(B295))),"",INT(B295))</f>
        <v/>
      </c>
    </row>
    <row r="296" ht="15" customHeight="1" s="122">
      <c r="A296" s="179" t="inlineStr">
        <is>
          <t>KAA 214B</t>
        </is>
      </c>
      <c r="B296" s="172" t="inlineStr">
        <is>
          <t>17-02-2026 10:43:54</t>
        </is>
      </c>
      <c r="C296" s="172" t="inlineStr">
        <is>
          <t>17-02-2026 10:46:33</t>
        </is>
      </c>
      <c r="D296" s="173" t="inlineStr">
        <is>
          <t>0.24 Km</t>
        </is>
      </c>
      <c r="E296" s="181" t="n">
        <v>14</v>
      </c>
      <c r="F296" s="182" t="n">
        <v>20</v>
      </c>
      <c r="G296" s="172" t="inlineStr">
        <is>
          <t>No</t>
        </is>
      </c>
      <c r="H296" s="170">
        <f>IF(A296="","",IF(OR(NOT(ISNUMBER(C296)),C296=""),"No",IF(AND(HOUR(C296)&gt;=0,HOUR(C296)&lt;5),"Yes","No")))</f>
        <v/>
      </c>
      <c r="I296" s="183">
        <f>IF(OR(B296="",NOT(ISNUMBER(B296))),"",INT(B296))</f>
        <v/>
      </c>
    </row>
    <row r="297" ht="15" customHeight="1" s="122">
      <c r="A297" s="179" t="inlineStr">
        <is>
          <t>KAA 214B</t>
        </is>
      </c>
      <c r="B297" s="172" t="inlineStr">
        <is>
          <t>17-02-2026 11:06:12</t>
        </is>
      </c>
      <c r="C297" s="172" t="inlineStr">
        <is>
          <t>17-02-2026 11:23:34</t>
        </is>
      </c>
      <c r="D297" s="173" t="inlineStr">
        <is>
          <t>5.19 Km</t>
        </is>
      </c>
      <c r="E297" s="181" t="n">
        <v>18</v>
      </c>
      <c r="F297" s="182" t="n">
        <v>42</v>
      </c>
      <c r="G297" s="172" t="inlineStr">
        <is>
          <t>No</t>
        </is>
      </c>
      <c r="H297" s="170">
        <f>IF(A297="","",IF(OR(NOT(ISNUMBER(C297)),C297=""),"No",IF(AND(HOUR(C297)&gt;=0,HOUR(C297)&lt;5),"Yes","No")))</f>
        <v/>
      </c>
      <c r="I297" s="183">
        <f>IF(OR(B297="",NOT(ISNUMBER(B297))),"",INT(B297))</f>
        <v/>
      </c>
    </row>
    <row r="298" ht="15" customHeight="1" s="122">
      <c r="A298" s="179" t="inlineStr">
        <is>
          <t>KAA 214B</t>
        </is>
      </c>
      <c r="B298" s="172" t="inlineStr">
        <is>
          <t>17-02-2026 12:23:01</t>
        </is>
      </c>
      <c r="C298" s="172" t="inlineStr">
        <is>
          <t>17-02-2026 12:24:02</t>
        </is>
      </c>
      <c r="D298" s="173" t="inlineStr">
        <is>
          <t>0.01 Km</t>
        </is>
      </c>
      <c r="E298" s="181" t="n">
        <v>6</v>
      </c>
      <c r="F298" s="182" t="n">
        <v>6</v>
      </c>
      <c r="G298" s="172" t="inlineStr">
        <is>
          <t>No</t>
        </is>
      </c>
      <c r="H298" s="170">
        <f>IF(A298="","",IF(OR(NOT(ISNUMBER(C298)),C298=""),"No",IF(AND(HOUR(C298)&gt;=0,HOUR(C298)&lt;5),"Yes","No")))</f>
        <v/>
      </c>
      <c r="I298" s="183">
        <f>IF(OR(B298="",NOT(ISNUMBER(B298))),"",INT(B298))</f>
        <v/>
      </c>
    </row>
    <row r="299" ht="15" customHeight="1" s="122">
      <c r="A299" s="179" t="inlineStr">
        <is>
          <t>KAA 214B</t>
        </is>
      </c>
      <c r="B299" s="172" t="inlineStr">
        <is>
          <t>17-02-2026 12:24:18</t>
        </is>
      </c>
      <c r="C299" s="172" t="inlineStr">
        <is>
          <t>17-02-2026 13:14:34</t>
        </is>
      </c>
      <c r="D299" s="173" t="inlineStr">
        <is>
          <t>17.38 Km</t>
        </is>
      </c>
      <c r="E299" s="181" t="n">
        <v>20</v>
      </c>
      <c r="F299" s="182" t="n">
        <v>49</v>
      </c>
      <c r="G299" s="172" t="inlineStr">
        <is>
          <t>No</t>
        </is>
      </c>
      <c r="H299" s="170">
        <f>IF(A299="","",IF(OR(NOT(ISNUMBER(C299)),C299=""),"No",IF(AND(HOUR(C299)&gt;=0,HOUR(C299)&lt;5),"Yes","No")))</f>
        <v/>
      </c>
      <c r="I299" s="183">
        <f>IF(OR(B299="",NOT(ISNUMBER(B299))),"",INT(B299))</f>
        <v/>
      </c>
    </row>
    <row r="300" ht="15" customHeight="1" s="122">
      <c r="A300" s="179" t="inlineStr">
        <is>
          <t>KAA 214B</t>
        </is>
      </c>
      <c r="B300" s="172" t="inlineStr">
        <is>
          <t>17-02-2026 14:05:48</t>
        </is>
      </c>
      <c r="C300" s="172" t="inlineStr">
        <is>
          <t>17-02-2026 14:30:02</t>
        </is>
      </c>
      <c r="D300" s="173" t="inlineStr">
        <is>
          <t>8.45 Km</t>
        </is>
      </c>
      <c r="E300" s="181" t="n">
        <v>19</v>
      </c>
      <c r="F300" s="182" t="n">
        <v>37</v>
      </c>
      <c r="G300" s="172" t="inlineStr">
        <is>
          <t>No</t>
        </is>
      </c>
      <c r="H300" s="170">
        <f>IF(A300="","",IF(OR(NOT(ISNUMBER(C300)),C300=""),"No",IF(AND(HOUR(C300)&gt;=0,HOUR(C300)&lt;5),"Yes","No")))</f>
        <v/>
      </c>
      <c r="I300" s="183">
        <f>IF(OR(B300="",NOT(ISNUMBER(B300))),"",INT(B300))</f>
        <v/>
      </c>
    </row>
    <row r="301" ht="15" customHeight="1" s="122">
      <c r="A301" s="179" t="inlineStr">
        <is>
          <t>KAA 214B</t>
        </is>
      </c>
      <c r="B301" s="172" t="inlineStr">
        <is>
          <t>17-02-2026 15:20:16</t>
        </is>
      </c>
      <c r="C301" s="172" t="inlineStr">
        <is>
          <t>17-02-2026 15:22:14</t>
        </is>
      </c>
      <c r="D301" s="173" t="inlineStr">
        <is>
          <t>0.25 Km</t>
        </is>
      </c>
      <c r="E301" s="181" t="n">
        <v>10</v>
      </c>
      <c r="F301" s="182" t="n">
        <v>19</v>
      </c>
      <c r="G301" s="172" t="inlineStr">
        <is>
          <t>No</t>
        </is>
      </c>
      <c r="H301" s="170">
        <f>IF(A301="","",IF(OR(NOT(ISNUMBER(C301)),C301=""),"No",IF(AND(HOUR(C301)&gt;=0,HOUR(C301)&lt;5),"Yes","No")))</f>
        <v/>
      </c>
      <c r="I301" s="183">
        <f>IF(OR(B301="",NOT(ISNUMBER(B301))),"",INT(B301))</f>
        <v/>
      </c>
    </row>
    <row r="302" ht="15" customHeight="1" s="122">
      <c r="A302" s="179" t="inlineStr">
        <is>
          <t>KAA 214B</t>
        </is>
      </c>
      <c r="B302" s="172" t="inlineStr">
        <is>
          <t>17-02-2026 16:39:43</t>
        </is>
      </c>
      <c r="C302" s="172" t="inlineStr">
        <is>
          <t>17-02-2026 17:03:33</t>
        </is>
      </c>
      <c r="D302" s="173" t="inlineStr">
        <is>
          <t>19.56 Km</t>
        </is>
      </c>
      <c r="E302" s="181" t="n">
        <v>51</v>
      </c>
      <c r="F302" s="182" t="n">
        <v>78</v>
      </c>
      <c r="G302" s="172" t="inlineStr">
        <is>
          <t>No</t>
        </is>
      </c>
      <c r="H302" s="170">
        <f>IF(A302="","",IF(OR(NOT(ISNUMBER(C302)),C302=""),"No",IF(AND(HOUR(C302)&gt;=0,HOUR(C302)&lt;5),"Yes","No")))</f>
        <v/>
      </c>
      <c r="I302" s="183">
        <f>IF(OR(B302="",NOT(ISNUMBER(B302))),"",INT(B302))</f>
        <v/>
      </c>
    </row>
    <row r="303" ht="15" customHeight="1" s="122">
      <c r="A303" s="179" t="inlineStr">
        <is>
          <t>KAA 214B</t>
        </is>
      </c>
      <c r="B303" s="172" t="inlineStr">
        <is>
          <t>17-02-2026 17:11:04</t>
        </is>
      </c>
      <c r="C303" s="172" t="inlineStr">
        <is>
          <t>17-02-2026 17:26:49</t>
        </is>
      </c>
      <c r="D303" s="173" t="inlineStr">
        <is>
          <t>6.79 Km</t>
        </is>
      </c>
      <c r="E303" s="181" t="n">
        <v>30</v>
      </c>
      <c r="F303" s="182" t="n">
        <v>71</v>
      </c>
      <c r="G303" s="172" t="inlineStr">
        <is>
          <t>No</t>
        </is>
      </c>
      <c r="H303" s="170">
        <f>IF(A303="","",IF(OR(NOT(ISNUMBER(C303)),C303=""),"No",IF(AND(HOUR(C303)&gt;=0,HOUR(C303)&lt;5),"Yes","No")))</f>
        <v/>
      </c>
      <c r="I303" s="183">
        <f>IF(OR(B303="",NOT(ISNUMBER(B303))),"",INT(B303))</f>
        <v/>
      </c>
    </row>
    <row r="304" ht="15" customHeight="1" s="122">
      <c r="A304" s="179" t="inlineStr">
        <is>
          <t>KAA 214B</t>
        </is>
      </c>
      <c r="B304" s="172" t="inlineStr">
        <is>
          <t>17-02-2026 17:30:33</t>
        </is>
      </c>
      <c r="C304" s="172" t="inlineStr">
        <is>
          <t>17-02-2026 17:32:42</t>
        </is>
      </c>
      <c r="D304" s="173" t="inlineStr">
        <is>
          <t>0.38 Km</t>
        </is>
      </c>
      <c r="E304" s="181" t="n">
        <v>10</v>
      </c>
      <c r="F304" s="182" t="n">
        <v>14</v>
      </c>
      <c r="G304" s="172" t="inlineStr">
        <is>
          <t>No</t>
        </is>
      </c>
      <c r="H304" s="170">
        <f>IF(A304="","",IF(OR(NOT(ISNUMBER(C304)),C304=""),"No",IF(AND(HOUR(C304)&gt;=0,HOUR(C304)&lt;5),"Yes","No")))</f>
        <v/>
      </c>
      <c r="I304" s="183">
        <f>IF(OR(B304="",NOT(ISNUMBER(B304))),"",INT(B304))</f>
        <v/>
      </c>
    </row>
    <row r="305" ht="15" customHeight="1" s="122">
      <c r="A305" s="179" t="inlineStr">
        <is>
          <t>KAA 214B</t>
        </is>
      </c>
      <c r="B305" s="172" t="inlineStr">
        <is>
          <t>17-02-2026 17:44:15</t>
        </is>
      </c>
      <c r="C305" s="172" t="inlineStr">
        <is>
          <t>17-02-2026 17:57:41</t>
        </is>
      </c>
      <c r="D305" s="173" t="inlineStr">
        <is>
          <t>4.68 Km</t>
        </is>
      </c>
      <c r="E305" s="181" t="n">
        <v>24</v>
      </c>
      <c r="F305" s="182" t="n">
        <v>64</v>
      </c>
      <c r="G305" s="172" t="inlineStr">
        <is>
          <t>No</t>
        </is>
      </c>
      <c r="H305" s="170">
        <f>IF(A305="","",IF(OR(NOT(ISNUMBER(C305)),C305=""),"No",IF(AND(HOUR(C305)&gt;=0,HOUR(C305)&lt;5),"Yes","No")))</f>
        <v/>
      </c>
      <c r="I305" s="183">
        <f>IF(OR(B305="",NOT(ISNUMBER(B305))),"",INT(B305))</f>
        <v/>
      </c>
    </row>
    <row r="306" ht="15" customHeight="1" s="122">
      <c r="A306" s="179" t="inlineStr">
        <is>
          <t>KAA 214B</t>
        </is>
      </c>
      <c r="B306" s="172" t="inlineStr">
        <is>
          <t>17-02-2026 18:27:07</t>
        </is>
      </c>
      <c r="C306" s="172" t="inlineStr">
        <is>
          <t>17-02-2026 18:41:06</t>
        </is>
      </c>
      <c r="D306" s="173" t="inlineStr">
        <is>
          <t>11.76 Km</t>
        </is>
      </c>
      <c r="E306" s="181" t="n">
        <v>52</v>
      </c>
      <c r="F306" s="182" t="n">
        <v>80</v>
      </c>
      <c r="G306" s="172" t="inlineStr">
        <is>
          <t>No</t>
        </is>
      </c>
      <c r="H306" s="170">
        <f>IF(A306="","",IF(OR(NOT(ISNUMBER(C306)),C306=""),"No",IF(AND(HOUR(C306)&gt;=0,HOUR(C306)&lt;5),"Yes","No")))</f>
        <v/>
      </c>
      <c r="I306" s="183">
        <f>IF(OR(B306="",NOT(ISNUMBER(B306))),"",INT(B306))</f>
        <v/>
      </c>
    </row>
    <row r="307" ht="15" customHeight="1" s="122">
      <c r="A307" s="179" t="inlineStr">
        <is>
          <t>KAA 214B</t>
        </is>
      </c>
      <c r="B307" s="172" t="inlineStr">
        <is>
          <t>17-02-2026 18:42:14</t>
        </is>
      </c>
      <c r="C307" s="172" t="inlineStr">
        <is>
          <t>17-02-2026 19:16:39</t>
        </is>
      </c>
      <c r="D307" s="173" t="inlineStr">
        <is>
          <t>16.01 Km</t>
        </is>
      </c>
      <c r="E307" s="181" t="n">
        <v>28</v>
      </c>
      <c r="F307" s="182" t="n">
        <v>70</v>
      </c>
      <c r="G307" s="172" t="inlineStr">
        <is>
          <t>No</t>
        </is>
      </c>
      <c r="H307" s="170">
        <f>IF(A307="","",IF(OR(NOT(ISNUMBER(C307)),C307=""),"No",IF(AND(HOUR(C307)&gt;=0,HOUR(C307)&lt;5),"Yes","No")))</f>
        <v/>
      </c>
      <c r="I307" s="183">
        <f>IF(OR(B307="",NOT(ISNUMBER(B307))),"",INT(B307))</f>
        <v/>
      </c>
    </row>
    <row r="308" ht="15" customHeight="1" s="122">
      <c r="A308" s="179" t="inlineStr">
        <is>
          <t>KAA 214B</t>
        </is>
      </c>
      <c r="B308" s="172" t="inlineStr">
        <is>
          <t>17-02-2026 20:32:10</t>
        </is>
      </c>
      <c r="C308" s="172" t="inlineStr">
        <is>
          <t>17-02-2026 21:30:32</t>
        </is>
      </c>
      <c r="D308" s="173" t="inlineStr">
        <is>
          <t>31.58 Km</t>
        </is>
      </c>
      <c r="E308" s="181" t="n">
        <v>37</v>
      </c>
      <c r="F308" s="182" t="n">
        <v>83</v>
      </c>
      <c r="G308" s="172" t="inlineStr">
        <is>
          <t>No</t>
        </is>
      </c>
      <c r="H308" s="170">
        <f>IF(A308="","",IF(OR(NOT(ISNUMBER(C308)),C308=""),"No",IF(AND(HOUR(C308)&gt;=0,HOUR(C308)&lt;5),"Yes","No")))</f>
        <v/>
      </c>
      <c r="I308" s="183">
        <f>IF(OR(B308="",NOT(ISNUMBER(B308))),"",INT(B308))</f>
        <v/>
      </c>
    </row>
    <row r="309" ht="15" customHeight="1" s="122">
      <c r="A309" s="179" t="inlineStr">
        <is>
          <t>KAA 214B</t>
        </is>
      </c>
      <c r="B309" s="172" t="inlineStr">
        <is>
          <t>18-02-2026 08:04:49</t>
        </is>
      </c>
      <c r="C309" s="172" t="inlineStr">
        <is>
          <t>18-02-2026 08:20:09</t>
        </is>
      </c>
      <c r="D309" s="173" t="inlineStr">
        <is>
          <t>5.73 Km</t>
        </is>
      </c>
      <c r="E309" s="181" t="n">
        <v>21</v>
      </c>
      <c r="F309" s="182" t="n">
        <v>64</v>
      </c>
      <c r="G309" s="172" t="inlineStr">
        <is>
          <t>No</t>
        </is>
      </c>
      <c r="H309" s="170">
        <f>IF(A309="","",IF(OR(NOT(ISNUMBER(C309)),C309=""),"No",IF(AND(HOUR(C309)&gt;=0,HOUR(C309)&lt;5),"Yes","No")))</f>
        <v/>
      </c>
      <c r="I309" s="183">
        <f>IF(OR(B309="",NOT(ISNUMBER(B309))),"",INT(B309))</f>
        <v/>
      </c>
    </row>
    <row r="310" ht="15" customHeight="1" s="122">
      <c r="A310" s="179" t="inlineStr">
        <is>
          <t>KAA 214B</t>
        </is>
      </c>
      <c r="B310" s="172" t="inlineStr">
        <is>
          <t>18-02-2026 08:20:43</t>
        </is>
      </c>
      <c r="C310" s="172" t="inlineStr">
        <is>
          <t>18-02-2026 08:54:22</t>
        </is>
      </c>
      <c r="D310" s="173" t="inlineStr">
        <is>
          <t>21.63 Km</t>
        </is>
      </c>
      <c r="E310" s="181" t="n">
        <v>40</v>
      </c>
      <c r="F310" s="182" t="n">
        <v>76</v>
      </c>
      <c r="G310" s="172" t="inlineStr">
        <is>
          <t>No</t>
        </is>
      </c>
      <c r="H310" s="170">
        <f>IF(A310="","",IF(OR(NOT(ISNUMBER(C310)),C310=""),"No",IF(AND(HOUR(C310)&gt;=0,HOUR(C310)&lt;5),"Yes","No")))</f>
        <v/>
      </c>
      <c r="I310" s="183">
        <f>IF(OR(B310="",NOT(ISNUMBER(B310))),"",INT(B310))</f>
        <v/>
      </c>
    </row>
    <row r="311" ht="15" customHeight="1" s="122">
      <c r="A311" s="179" t="inlineStr">
        <is>
          <t>KAA 214B</t>
        </is>
      </c>
      <c r="B311" s="172" t="inlineStr">
        <is>
          <t>18-02-2026 09:07:09</t>
        </is>
      </c>
      <c r="C311" s="172" t="inlineStr">
        <is>
          <t>18-02-2026 09:15:04</t>
        </is>
      </c>
      <c r="D311" s="173" t="inlineStr">
        <is>
          <t>2.25 Km</t>
        </is>
      </c>
      <c r="E311" s="181" t="n">
        <v>15</v>
      </c>
      <c r="F311" s="182" t="n">
        <v>37</v>
      </c>
      <c r="G311" s="172" t="inlineStr">
        <is>
          <t>No</t>
        </is>
      </c>
      <c r="H311" s="170">
        <f>IF(A311="","",IF(OR(NOT(ISNUMBER(C311)),C311=""),"No",IF(AND(HOUR(C311)&gt;=0,HOUR(C311)&lt;5),"Yes","No")))</f>
        <v/>
      </c>
      <c r="I311" s="183">
        <f>IF(OR(B311="",NOT(ISNUMBER(B311))),"",INT(B311))</f>
        <v/>
      </c>
    </row>
    <row r="312" ht="15" customHeight="1" s="122">
      <c r="A312" s="179" t="inlineStr">
        <is>
          <t>KAA 214B</t>
        </is>
      </c>
      <c r="B312" s="172" t="inlineStr">
        <is>
          <t>18-02-2026 09:38:50</t>
        </is>
      </c>
      <c r="C312" s="172" t="inlineStr">
        <is>
          <t>18-02-2026 09:40:21</t>
        </is>
      </c>
      <c r="D312" s="173" t="inlineStr">
        <is>
          <t>0.29 Km</t>
        </is>
      </c>
      <c r="E312" s="181" t="n">
        <v>12</v>
      </c>
      <c r="F312" s="182" t="n">
        <v>22</v>
      </c>
      <c r="G312" s="172" t="inlineStr">
        <is>
          <t>No</t>
        </is>
      </c>
      <c r="H312" s="170">
        <f>IF(A312="","",IF(OR(NOT(ISNUMBER(C312)),C312=""),"No",IF(AND(HOUR(C312)&gt;=0,HOUR(C312)&lt;5),"Yes","No")))</f>
        <v/>
      </c>
      <c r="I312" s="183">
        <f>IF(OR(B312="",NOT(ISNUMBER(B312))),"",INT(B312))</f>
        <v/>
      </c>
    </row>
    <row r="313" ht="15" customHeight="1" s="122">
      <c r="A313" s="179" t="inlineStr">
        <is>
          <t>KAA 214B</t>
        </is>
      </c>
      <c r="B313" s="172" t="inlineStr">
        <is>
          <t>18-02-2026 09:46:34</t>
        </is>
      </c>
      <c r="C313" s="172" t="inlineStr">
        <is>
          <t>18-02-2026 10:28:49</t>
        </is>
      </c>
      <c r="D313" s="173" t="inlineStr">
        <is>
          <t>27.51 Km</t>
        </is>
      </c>
      <c r="E313" s="181" t="n">
        <v>41</v>
      </c>
      <c r="F313" s="182" t="n">
        <v>68</v>
      </c>
      <c r="G313" s="172" t="inlineStr">
        <is>
          <t>No</t>
        </is>
      </c>
      <c r="H313" s="170">
        <f>IF(A313="","",IF(OR(NOT(ISNUMBER(C313)),C313=""),"No",IF(AND(HOUR(C313)&gt;=0,HOUR(C313)&lt;5),"Yes","No")))</f>
        <v/>
      </c>
      <c r="I313" s="183">
        <f>IF(OR(B313="",NOT(ISNUMBER(B313))),"",INT(B313))</f>
        <v/>
      </c>
    </row>
    <row r="314" ht="15" customHeight="1" s="122">
      <c r="A314" s="179" t="inlineStr">
        <is>
          <t>KAA 214B</t>
        </is>
      </c>
      <c r="B314" s="172" t="inlineStr">
        <is>
          <t>18-02-2026 10:29:43</t>
        </is>
      </c>
      <c r="C314" s="172" t="inlineStr">
        <is>
          <t>18-02-2026 10:32:37</t>
        </is>
      </c>
      <c r="D314" s="173" t="inlineStr">
        <is>
          <t>0.3 Km</t>
        </is>
      </c>
      <c r="E314" s="181" t="n">
        <v>9</v>
      </c>
      <c r="F314" s="182" t="n">
        <v>17</v>
      </c>
      <c r="G314" s="172" t="inlineStr">
        <is>
          <t>No</t>
        </is>
      </c>
      <c r="H314" s="170">
        <f>IF(A314="","",IF(OR(NOT(ISNUMBER(C314)),C314=""),"No",IF(AND(HOUR(C314)&gt;=0,HOUR(C314)&lt;5),"Yes","No")))</f>
        <v/>
      </c>
      <c r="I314" s="183">
        <f>IF(OR(B314="",NOT(ISNUMBER(B314))),"",INT(B314))</f>
        <v/>
      </c>
    </row>
    <row r="315" ht="15" customHeight="1" s="122">
      <c r="A315" s="179" t="inlineStr">
        <is>
          <t>KAA 214B</t>
        </is>
      </c>
      <c r="B315" s="172" t="inlineStr">
        <is>
          <t>18-02-2026 17:05:20</t>
        </is>
      </c>
      <c r="C315" s="172" t="inlineStr">
        <is>
          <t>18-02-2026 17:06:21</t>
        </is>
      </c>
      <c r="D315" s="173" t="inlineStr">
        <is>
          <t>0.01 Km</t>
        </is>
      </c>
      <c r="E315" s="181" t="n">
        <v>7</v>
      </c>
      <c r="F315" s="182" t="n">
        <v>7</v>
      </c>
      <c r="G315" s="172" t="inlineStr">
        <is>
          <t>No</t>
        </is>
      </c>
      <c r="H315" s="170">
        <f>IF(A315="","",IF(OR(NOT(ISNUMBER(C315)),C315=""),"No",IF(AND(HOUR(C315)&gt;=0,HOUR(C315)&lt;5),"Yes","No")))</f>
        <v/>
      </c>
      <c r="I315" s="183">
        <f>IF(OR(B315="",NOT(ISNUMBER(B315))),"",INT(B315))</f>
        <v/>
      </c>
    </row>
    <row r="316" ht="15" customHeight="1" s="122">
      <c r="A316" s="179" t="inlineStr">
        <is>
          <t>KAA 214B</t>
        </is>
      </c>
      <c r="B316" s="172" t="inlineStr">
        <is>
          <t>18-02-2026 17:07:55</t>
        </is>
      </c>
      <c r="C316" s="172" t="inlineStr">
        <is>
          <t>18-02-2026 17:08:43</t>
        </is>
      </c>
      <c r="D316" s="173" t="inlineStr">
        <is>
          <t>0.06 Km</t>
        </is>
      </c>
      <c r="E316" s="181" t="n">
        <v>12</v>
      </c>
      <c r="F316" s="182" t="n">
        <v>25</v>
      </c>
      <c r="G316" s="172" t="inlineStr">
        <is>
          <t>No</t>
        </is>
      </c>
      <c r="H316" s="170">
        <f>IF(A316="","",IF(OR(NOT(ISNUMBER(C316)),C316=""),"No",IF(AND(HOUR(C316)&gt;=0,HOUR(C316)&lt;5),"Yes","No")))</f>
        <v/>
      </c>
      <c r="I316" s="183">
        <f>IF(OR(B316="",NOT(ISNUMBER(B316))),"",INT(B316))</f>
        <v/>
      </c>
    </row>
    <row r="317" ht="15" customHeight="1" s="122">
      <c r="A317" s="179" t="inlineStr">
        <is>
          <t>KAA 214B</t>
        </is>
      </c>
      <c r="B317" s="172" t="inlineStr">
        <is>
          <t>18-02-2026 19:51:42</t>
        </is>
      </c>
      <c r="C317" s="172" t="inlineStr">
        <is>
          <t>18-02-2026 19:53:47</t>
        </is>
      </c>
      <c r="D317" s="173" t="inlineStr">
        <is>
          <t>0.08 Km</t>
        </is>
      </c>
      <c r="E317" s="181" t="n">
        <v>11</v>
      </c>
      <c r="F317" s="182" t="n">
        <v>19</v>
      </c>
      <c r="G317" s="172" t="inlineStr">
        <is>
          <t>No</t>
        </is>
      </c>
      <c r="H317" s="170">
        <f>IF(A317="","",IF(OR(NOT(ISNUMBER(C317)),C317=""),"No",IF(AND(HOUR(C317)&gt;=0,HOUR(C317)&lt;5),"Yes","No")))</f>
        <v/>
      </c>
      <c r="I317" s="183">
        <f>IF(OR(B317="",NOT(ISNUMBER(B317))),"",INT(B317))</f>
        <v/>
      </c>
    </row>
    <row r="318" ht="15" customHeight="1" s="122">
      <c r="A318" s="179" t="inlineStr">
        <is>
          <t>KAA 214B</t>
        </is>
      </c>
      <c r="B318" s="172" t="inlineStr">
        <is>
          <t>18-02-2026 20:28:43</t>
        </is>
      </c>
      <c r="C318" s="172" t="inlineStr">
        <is>
          <t>18-02-2026 21:39:02</t>
        </is>
      </c>
      <c r="D318" s="173" t="inlineStr">
        <is>
          <t>50.67 Km</t>
        </is>
      </c>
      <c r="E318" s="181" t="n">
        <v>48</v>
      </c>
      <c r="F318" s="182" t="n">
        <v>85</v>
      </c>
      <c r="G318" s="172" t="inlineStr">
        <is>
          <t>No</t>
        </is>
      </c>
      <c r="H318" s="170">
        <f>IF(A318="","",IF(OR(NOT(ISNUMBER(C318)),C318=""),"No",IF(AND(HOUR(C318)&gt;=0,HOUR(C318)&lt;5),"Yes","No")))</f>
        <v/>
      </c>
      <c r="I318" s="183">
        <f>IF(OR(B318="",NOT(ISNUMBER(B318))),"",INT(B318))</f>
        <v/>
      </c>
    </row>
    <row r="319" ht="15" customHeight="1" s="122">
      <c r="A319" s="179" t="inlineStr">
        <is>
          <t>KAA 214B</t>
        </is>
      </c>
      <c r="B319" s="172" t="inlineStr">
        <is>
          <t>18-02-2026 21:44:20</t>
        </is>
      </c>
      <c r="C319" s="172" t="inlineStr">
        <is>
          <t>18-02-2026 22:00:21</t>
        </is>
      </c>
      <c r="D319" s="173" t="inlineStr">
        <is>
          <t>5.51 Km</t>
        </is>
      </c>
      <c r="E319" s="181" t="n">
        <v>24</v>
      </c>
      <c r="F319" s="182" t="n">
        <v>75</v>
      </c>
      <c r="G319" s="172" t="inlineStr">
        <is>
          <t>Yes</t>
        </is>
      </c>
      <c r="H319" s="170">
        <f>IF(A319="","",IF(OR(NOT(ISNUMBER(C319)),C319=""),"No",IF(AND(HOUR(C319)&gt;=0,HOUR(C319)&lt;5),"Yes","No")))</f>
        <v/>
      </c>
      <c r="I319" s="183">
        <f>IF(OR(B319="",NOT(ISNUMBER(B319))),"",INT(B319))</f>
        <v/>
      </c>
    </row>
    <row r="320" ht="15" customHeight="1" s="122">
      <c r="A320" s="179" t="inlineStr">
        <is>
          <t>KAA 214B</t>
        </is>
      </c>
      <c r="B320" s="172" t="inlineStr">
        <is>
          <t>19-02-2026 09:09:50</t>
        </is>
      </c>
      <c r="C320" s="172" t="inlineStr">
        <is>
          <t>19-02-2026 09:52:13</t>
        </is>
      </c>
      <c r="D320" s="173" t="inlineStr">
        <is>
          <t>23.42 Km</t>
        </is>
      </c>
      <c r="E320" s="181" t="n">
        <v>35</v>
      </c>
      <c r="F320" s="182" t="n">
        <v>67</v>
      </c>
      <c r="G320" s="172" t="inlineStr">
        <is>
          <t>No</t>
        </is>
      </c>
      <c r="H320" s="170">
        <f>IF(A320="","",IF(OR(NOT(ISNUMBER(C320)),C320=""),"No",IF(AND(HOUR(C320)&gt;=0,HOUR(C320)&lt;5),"Yes","No")))</f>
        <v/>
      </c>
      <c r="I320" s="183">
        <f>IF(OR(B320="",NOT(ISNUMBER(B320))),"",INT(B320))</f>
        <v/>
      </c>
    </row>
    <row r="321" ht="15" customHeight="1" s="122">
      <c r="A321" s="179" t="inlineStr">
        <is>
          <t>KAA 214B</t>
        </is>
      </c>
      <c r="B321" s="172" t="inlineStr">
        <is>
          <t>19-02-2026 09:54:22</t>
        </is>
      </c>
      <c r="C321" s="172" t="inlineStr">
        <is>
          <t>19-02-2026 10:03:20</t>
        </is>
      </c>
      <c r="D321" s="173" t="inlineStr">
        <is>
          <t>2.96 Km</t>
        </is>
      </c>
      <c r="E321" s="181" t="n">
        <v>18</v>
      </c>
      <c r="F321" s="182" t="n">
        <v>49</v>
      </c>
      <c r="G321" s="172" t="inlineStr">
        <is>
          <t>No</t>
        </is>
      </c>
      <c r="H321" s="170">
        <f>IF(A321="","",IF(OR(NOT(ISNUMBER(C321)),C321=""),"No",IF(AND(HOUR(C321)&gt;=0,HOUR(C321)&lt;5),"Yes","No")))</f>
        <v/>
      </c>
      <c r="I321" s="183">
        <f>IF(OR(B321="",NOT(ISNUMBER(B321))),"",INT(B321))</f>
        <v/>
      </c>
    </row>
    <row r="322" ht="15" customHeight="1" s="122">
      <c r="A322" s="179" t="inlineStr">
        <is>
          <t>KAA 214B</t>
        </is>
      </c>
      <c r="B322" s="172" t="inlineStr">
        <is>
          <t>19-02-2026 11:20:03</t>
        </is>
      </c>
      <c r="C322" s="172" t="inlineStr">
        <is>
          <t>19-02-2026 11:32:39</t>
        </is>
      </c>
      <c r="D322" s="173" t="inlineStr">
        <is>
          <t>3.8 Km</t>
        </is>
      </c>
      <c r="E322" s="181" t="n">
        <v>17</v>
      </c>
      <c r="F322" s="182" t="n">
        <v>42</v>
      </c>
      <c r="G322" s="172" t="inlineStr">
        <is>
          <t>No</t>
        </is>
      </c>
      <c r="H322" s="170">
        <f>IF(A322="","",IF(OR(NOT(ISNUMBER(C322)),C322=""),"No",IF(AND(HOUR(C322)&gt;=0,HOUR(C322)&lt;5),"Yes","No")))</f>
        <v/>
      </c>
      <c r="I322" s="183">
        <f>IF(OR(B322="",NOT(ISNUMBER(B322))),"",INT(B322))</f>
        <v/>
      </c>
    </row>
    <row r="323" ht="15" customHeight="1" s="122">
      <c r="A323" s="179" t="inlineStr">
        <is>
          <t>KAA 214B</t>
        </is>
      </c>
      <c r="B323" s="172" t="inlineStr">
        <is>
          <t>19-02-2026 11:36:47</t>
        </is>
      </c>
      <c r="C323" s="172" t="inlineStr">
        <is>
          <t>19-02-2026 11:48:41</t>
        </is>
      </c>
      <c r="D323" s="173" t="inlineStr">
        <is>
          <t>3.69 Km</t>
        </is>
      </c>
      <c r="E323" s="181" t="n">
        <v>19</v>
      </c>
      <c r="F323" s="182" t="n">
        <v>55</v>
      </c>
      <c r="G323" s="172" t="inlineStr">
        <is>
          <t>No</t>
        </is>
      </c>
      <c r="H323" s="170">
        <f>IF(A323="","",IF(OR(NOT(ISNUMBER(C323)),C323=""),"No",IF(AND(HOUR(C323)&gt;=0,HOUR(C323)&lt;5),"Yes","No")))</f>
        <v/>
      </c>
      <c r="I323" s="183">
        <f>IF(OR(B323="",NOT(ISNUMBER(B323))),"",INT(B323))</f>
        <v/>
      </c>
    </row>
    <row r="324" ht="15" customHeight="1" s="122">
      <c r="A324" s="179" t="inlineStr">
        <is>
          <t>KAA 214B</t>
        </is>
      </c>
      <c r="B324" s="172" t="inlineStr">
        <is>
          <t>19-02-2026 11:48:51</t>
        </is>
      </c>
      <c r="C324" s="172" t="inlineStr">
        <is>
          <t>19-02-2026 11:51:19</t>
        </is>
      </c>
      <c r="D324" s="173" t="inlineStr">
        <is>
          <t>0.12 Km</t>
        </is>
      </c>
      <c r="E324" s="181" t="n">
        <v>9</v>
      </c>
      <c r="F324" s="182" t="n">
        <v>14</v>
      </c>
      <c r="G324" s="172" t="inlineStr">
        <is>
          <t>No</t>
        </is>
      </c>
      <c r="H324" s="170">
        <f>IF(A324="","",IF(OR(NOT(ISNUMBER(C324)),C324=""),"No",IF(AND(HOUR(C324)&gt;=0,HOUR(C324)&lt;5),"Yes","No")))</f>
        <v/>
      </c>
      <c r="I324" s="183">
        <f>IF(OR(B324="",NOT(ISNUMBER(B324))),"",INT(B324))</f>
        <v/>
      </c>
    </row>
    <row r="325" ht="15" customHeight="1" s="122">
      <c r="A325" s="179" t="inlineStr">
        <is>
          <t>KAA 214B</t>
        </is>
      </c>
      <c r="B325" s="172" t="inlineStr">
        <is>
          <t>19-02-2026 16:38:21</t>
        </is>
      </c>
      <c r="C325" s="172" t="inlineStr">
        <is>
          <t>19-02-2026 16:40:57</t>
        </is>
      </c>
      <c r="D325" s="173" t="inlineStr">
        <is>
          <t>0.16 Km</t>
        </is>
      </c>
      <c r="E325" s="181" t="n">
        <v>8</v>
      </c>
      <c r="F325" s="182" t="n">
        <v>12</v>
      </c>
      <c r="G325" s="172" t="inlineStr">
        <is>
          <t>No</t>
        </is>
      </c>
      <c r="H325" s="170">
        <f>IF(A325="","",IF(OR(NOT(ISNUMBER(C325)),C325=""),"No",IF(AND(HOUR(C325)&gt;=0,HOUR(C325)&lt;5),"Yes","No")))</f>
        <v/>
      </c>
      <c r="I325" s="183">
        <f>IF(OR(B325="",NOT(ISNUMBER(B325))),"",INT(B325))</f>
        <v/>
      </c>
    </row>
    <row r="326" ht="15" customHeight="1" s="122">
      <c r="A326" s="179" t="inlineStr">
        <is>
          <t>KAA 214B</t>
        </is>
      </c>
      <c r="B326" s="172" t="inlineStr">
        <is>
          <t>19-02-2026 16:45:04</t>
        </is>
      </c>
      <c r="C326" s="172" t="inlineStr">
        <is>
          <t>19-02-2026 16:47:52</t>
        </is>
      </c>
      <c r="D326" s="173" t="inlineStr">
        <is>
          <t>0.21 Km</t>
        </is>
      </c>
      <c r="E326" s="181" t="n">
        <v>6</v>
      </c>
      <c r="F326" s="182" t="n">
        <v>8</v>
      </c>
      <c r="G326" s="172" t="inlineStr">
        <is>
          <t>No</t>
        </is>
      </c>
      <c r="H326" s="170">
        <f>IF(A326="","",IF(OR(NOT(ISNUMBER(C326)),C326=""),"No",IF(AND(HOUR(C326)&gt;=0,HOUR(C326)&lt;5),"Yes","No")))</f>
        <v/>
      </c>
      <c r="I326" s="183">
        <f>IF(OR(B326="",NOT(ISNUMBER(B326))),"",INT(B326))</f>
        <v/>
      </c>
    </row>
    <row r="327" ht="15" customHeight="1" s="122">
      <c r="A327" s="179" t="inlineStr">
        <is>
          <t>KAA 214B</t>
        </is>
      </c>
      <c r="B327" s="172" t="inlineStr">
        <is>
          <t>19-02-2026 17:40:39</t>
        </is>
      </c>
      <c r="C327" s="172" t="inlineStr">
        <is>
          <t>19-02-2026 17:55:25</t>
        </is>
      </c>
      <c r="D327" s="173" t="inlineStr">
        <is>
          <t>3.32 Km</t>
        </is>
      </c>
      <c r="E327" s="181" t="n">
        <v>16</v>
      </c>
      <c r="F327" s="182" t="n">
        <v>43</v>
      </c>
      <c r="G327" s="172" t="inlineStr">
        <is>
          <t>No</t>
        </is>
      </c>
      <c r="H327" s="170">
        <f>IF(A327="","",IF(OR(NOT(ISNUMBER(C327)),C327=""),"No",IF(AND(HOUR(C327)&gt;=0,HOUR(C327)&lt;5),"Yes","No")))</f>
        <v/>
      </c>
      <c r="I327" s="183">
        <f>IF(OR(B327="",NOT(ISNUMBER(B327))),"",INT(B327))</f>
        <v/>
      </c>
    </row>
    <row r="328" ht="15" customHeight="1" s="122">
      <c r="A328" s="179" t="inlineStr">
        <is>
          <t>KAA 214B</t>
        </is>
      </c>
      <c r="B328" s="172" t="inlineStr">
        <is>
          <t>19-02-2026 19:20:59</t>
        </is>
      </c>
      <c r="C328" s="172" t="inlineStr">
        <is>
          <t>19-02-2026 19:31:10</t>
        </is>
      </c>
      <c r="D328" s="173" t="inlineStr">
        <is>
          <t>2.93 Km</t>
        </is>
      </c>
      <c r="E328" s="181" t="n">
        <v>18</v>
      </c>
      <c r="F328" s="182" t="n">
        <v>49</v>
      </c>
      <c r="G328" s="172" t="inlineStr">
        <is>
          <t>No</t>
        </is>
      </c>
      <c r="H328" s="170">
        <f>IF(A328="","",IF(OR(NOT(ISNUMBER(C328)),C328=""),"No",IF(AND(HOUR(C328)&gt;=0,HOUR(C328)&lt;5),"Yes","No")))</f>
        <v/>
      </c>
      <c r="I328" s="183">
        <f>IF(OR(B328="",NOT(ISNUMBER(B328))),"",INT(B328))</f>
        <v/>
      </c>
    </row>
    <row r="329" ht="15" customHeight="1" s="122">
      <c r="A329" s="179" t="inlineStr">
        <is>
          <t>KAA 214B</t>
        </is>
      </c>
      <c r="B329" s="172" t="inlineStr">
        <is>
          <t>19-02-2026 19:46:18</t>
        </is>
      </c>
      <c r="C329" s="172" t="inlineStr">
        <is>
          <t>19-02-2026 20:32:24</t>
        </is>
      </c>
      <c r="D329" s="173" t="inlineStr">
        <is>
          <t>26.32 Km</t>
        </is>
      </c>
      <c r="E329" s="181" t="n">
        <v>35</v>
      </c>
      <c r="F329" s="182" t="n">
        <v>66</v>
      </c>
      <c r="G329" s="172" t="inlineStr">
        <is>
          <t>No</t>
        </is>
      </c>
      <c r="H329" s="170">
        <f>IF(A329="","",IF(OR(NOT(ISNUMBER(C329)),C329=""),"No",IF(AND(HOUR(C329)&gt;=0,HOUR(C329)&lt;5),"Yes","No")))</f>
        <v/>
      </c>
      <c r="I329" s="183">
        <f>IF(OR(B329="",NOT(ISNUMBER(B329))),"",INT(B329))</f>
        <v/>
      </c>
    </row>
    <row r="330" ht="15" customHeight="1" s="122">
      <c r="A330" s="179" t="inlineStr">
        <is>
          <t>KAA 214B</t>
        </is>
      </c>
      <c r="B330" s="172" t="inlineStr">
        <is>
          <t>20-02-2026 07:50:14</t>
        </is>
      </c>
      <c r="C330" s="172" t="inlineStr">
        <is>
          <t>20-02-2026 08:17:14</t>
        </is>
      </c>
      <c r="D330" s="173" t="inlineStr">
        <is>
          <t>18.66 Km</t>
        </is>
      </c>
      <c r="E330" s="181" t="n">
        <v>42</v>
      </c>
      <c r="F330" s="182" t="n">
        <v>78</v>
      </c>
      <c r="G330" s="172" t="inlineStr">
        <is>
          <t>No</t>
        </is>
      </c>
      <c r="H330" s="170">
        <f>IF(A330="","",IF(OR(NOT(ISNUMBER(C330)),C330=""),"No",IF(AND(HOUR(C330)&gt;=0,HOUR(C330)&lt;5),"Yes","No")))</f>
        <v/>
      </c>
      <c r="I330" s="183">
        <f>IF(OR(B330="",NOT(ISNUMBER(B330))),"",INT(B330))</f>
        <v/>
      </c>
    </row>
    <row r="331" ht="15" customHeight="1" s="122">
      <c r="A331" s="179" t="inlineStr">
        <is>
          <t>KAA 214B</t>
        </is>
      </c>
      <c r="B331" s="172" t="inlineStr">
        <is>
          <t>20-02-2026 08:20:20</t>
        </is>
      </c>
      <c r="C331" s="172" t="inlineStr">
        <is>
          <t>20-02-2026 09:38:49</t>
        </is>
      </c>
      <c r="D331" s="173" t="inlineStr">
        <is>
          <t>60.03 Km</t>
        </is>
      </c>
      <c r="E331" s="181" t="n">
        <v>51</v>
      </c>
      <c r="F331" s="182" t="n">
        <v>83</v>
      </c>
      <c r="G331" s="172" t="inlineStr">
        <is>
          <t>No</t>
        </is>
      </c>
      <c r="H331" s="170">
        <f>IF(A331="","",IF(OR(NOT(ISNUMBER(C331)),C331=""),"No",IF(AND(HOUR(C331)&gt;=0,HOUR(C331)&lt;5),"Yes","No")))</f>
        <v/>
      </c>
      <c r="I331" s="183">
        <f>IF(OR(B331="",NOT(ISNUMBER(B331))),"",INT(B331))</f>
        <v/>
      </c>
    </row>
    <row r="332" ht="15" customHeight="1" s="122">
      <c r="A332" s="179" t="inlineStr">
        <is>
          <t>KAA 214B</t>
        </is>
      </c>
      <c r="B332" s="172" t="inlineStr">
        <is>
          <t>20-02-2026 09:44:10</t>
        </is>
      </c>
      <c r="C332" s="172" t="inlineStr">
        <is>
          <t>20-02-2026 09:47:22</t>
        </is>
      </c>
      <c r="D332" s="173" t="inlineStr">
        <is>
          <t>1.24 Km</t>
        </is>
      </c>
      <c r="E332" s="181" t="n">
        <v>28</v>
      </c>
      <c r="F332" s="182" t="n">
        <v>54</v>
      </c>
      <c r="G332" s="172" t="inlineStr">
        <is>
          <t>No</t>
        </is>
      </c>
      <c r="H332" s="170">
        <f>IF(A332="","",IF(OR(NOT(ISNUMBER(C332)),C332=""),"No",IF(AND(HOUR(C332)&gt;=0,HOUR(C332)&lt;5),"Yes","No")))</f>
        <v/>
      </c>
      <c r="I332" s="183">
        <f>IF(OR(B332="",NOT(ISNUMBER(B332))),"",INT(B332))</f>
        <v/>
      </c>
    </row>
    <row r="333" ht="15" customHeight="1" s="122">
      <c r="A333" s="179" t="inlineStr">
        <is>
          <t>KAA 214B</t>
        </is>
      </c>
      <c r="B333" s="172" t="inlineStr">
        <is>
          <t>20-02-2026 09:50:39</t>
        </is>
      </c>
      <c r="C333" s="172" t="inlineStr">
        <is>
          <t>20-02-2026 10:40:04</t>
        </is>
      </c>
      <c r="D333" s="173" t="inlineStr">
        <is>
          <t>38.68 Km</t>
        </is>
      </c>
      <c r="E333" s="181" t="n">
        <v>50</v>
      </c>
      <c r="F333" s="182" t="n">
        <v>86</v>
      </c>
      <c r="G333" s="172" t="inlineStr">
        <is>
          <t>No</t>
        </is>
      </c>
      <c r="H333" s="170">
        <f>IF(A333="","",IF(OR(NOT(ISNUMBER(C333)),C333=""),"No",IF(AND(HOUR(C333)&gt;=0,HOUR(C333)&lt;5),"Yes","No")))</f>
        <v/>
      </c>
      <c r="I333" s="183">
        <f>IF(OR(B333="",NOT(ISNUMBER(B333))),"",INT(B333))</f>
        <v/>
      </c>
    </row>
    <row r="334" ht="15" customHeight="1" s="122">
      <c r="A334" s="179" t="inlineStr">
        <is>
          <t>KAA 214B</t>
        </is>
      </c>
      <c r="B334" s="172" t="inlineStr">
        <is>
          <t>20-02-2026 11:13:58</t>
        </is>
      </c>
      <c r="C334" s="172" t="inlineStr">
        <is>
          <t>20-02-2026 11:27:44</t>
        </is>
      </c>
      <c r="D334" s="173" t="inlineStr">
        <is>
          <t>8.86 Km</t>
        </is>
      </c>
      <c r="E334" s="181" t="n">
        <v>37</v>
      </c>
      <c r="F334" s="182" t="n">
        <v>58</v>
      </c>
      <c r="G334" s="172" t="inlineStr">
        <is>
          <t>No</t>
        </is>
      </c>
      <c r="H334" s="170">
        <f>IF(A334="","",IF(OR(NOT(ISNUMBER(C334)),C334=""),"No",IF(AND(HOUR(C334)&gt;=0,HOUR(C334)&lt;5),"Yes","No")))</f>
        <v/>
      </c>
      <c r="I334" s="183">
        <f>IF(OR(B334="",NOT(ISNUMBER(B334))),"",INT(B334))</f>
        <v/>
      </c>
    </row>
    <row r="335" ht="15" customHeight="1" s="122">
      <c r="A335" s="179" t="inlineStr">
        <is>
          <t>KAA 214B</t>
        </is>
      </c>
      <c r="B335" s="172" t="inlineStr">
        <is>
          <t>20-02-2026 11:28:52</t>
        </is>
      </c>
      <c r="C335" s="172" t="inlineStr">
        <is>
          <t>20-02-2026 11:29:46</t>
        </is>
      </c>
      <c r="D335" s="173" t="inlineStr">
        <is>
          <t>0.08 Km</t>
        </is>
      </c>
      <c r="E335" s="181" t="n">
        <v>7</v>
      </c>
      <c r="F335" s="182" t="n">
        <v>10</v>
      </c>
      <c r="G335" s="172" t="inlineStr">
        <is>
          <t>No</t>
        </is>
      </c>
      <c r="H335" s="170">
        <f>IF(A335="","",IF(OR(NOT(ISNUMBER(C335)),C335=""),"No",IF(AND(HOUR(C335)&gt;=0,HOUR(C335)&lt;5),"Yes","No")))</f>
        <v/>
      </c>
      <c r="I335" s="183">
        <f>IF(OR(B335="",NOT(ISNUMBER(B335))),"",INT(B335))</f>
        <v/>
      </c>
    </row>
    <row r="336" ht="15" customHeight="1" s="122">
      <c r="A336" s="179" t="inlineStr">
        <is>
          <t>KAA 214B</t>
        </is>
      </c>
      <c r="B336" s="172" t="inlineStr">
        <is>
          <t>20-02-2026 11:51:31</t>
        </is>
      </c>
      <c r="C336" s="172" t="inlineStr">
        <is>
          <t>20-02-2026 12:40:37</t>
        </is>
      </c>
      <c r="D336" s="173" t="inlineStr">
        <is>
          <t>21.85 Km</t>
        </is>
      </c>
      <c r="E336" s="181" t="n">
        <v>24</v>
      </c>
      <c r="F336" s="182" t="n">
        <v>59</v>
      </c>
      <c r="G336" s="172" t="inlineStr">
        <is>
          <t>No</t>
        </is>
      </c>
      <c r="H336" s="170">
        <f>IF(A336="","",IF(OR(NOT(ISNUMBER(C336)),C336=""),"No",IF(AND(HOUR(C336)&gt;=0,HOUR(C336)&lt;5),"Yes","No")))</f>
        <v/>
      </c>
      <c r="I336" s="183">
        <f>IF(OR(B336="",NOT(ISNUMBER(B336))),"",INT(B336))</f>
        <v/>
      </c>
    </row>
    <row r="337" ht="15" customHeight="1" s="122">
      <c r="A337" s="179" t="inlineStr">
        <is>
          <t>KAA 214B</t>
        </is>
      </c>
      <c r="B337" s="172" t="inlineStr">
        <is>
          <t>20-02-2026 12:40:40</t>
        </is>
      </c>
      <c r="C337" s="172" t="inlineStr">
        <is>
          <t>20-02-2026 12:42:28</t>
        </is>
      </c>
      <c r="D337" s="173" t="inlineStr">
        <is>
          <t>0.06 Km</t>
        </is>
      </c>
      <c r="E337" s="181" t="n">
        <v>6</v>
      </c>
      <c r="F337" s="182" t="n">
        <v>7</v>
      </c>
      <c r="G337" s="172" t="inlineStr">
        <is>
          <t>No</t>
        </is>
      </c>
      <c r="H337" s="170">
        <f>IF(A337="","",IF(OR(NOT(ISNUMBER(C337)),C337=""),"No",IF(AND(HOUR(C337)&gt;=0,HOUR(C337)&lt;5),"Yes","No")))</f>
        <v/>
      </c>
      <c r="I337" s="183">
        <f>IF(OR(B337="",NOT(ISNUMBER(B337))),"",INT(B337))</f>
        <v/>
      </c>
    </row>
    <row r="338" ht="15" customHeight="1" s="122">
      <c r="A338" s="179" t="inlineStr">
        <is>
          <t>KAA 214B</t>
        </is>
      </c>
      <c r="B338" s="172" t="inlineStr">
        <is>
          <t>20-02-2026 12:44:05</t>
        </is>
      </c>
      <c r="C338" s="172" t="inlineStr">
        <is>
          <t>20-02-2026 12:45:41</t>
        </is>
      </c>
      <c r="D338" s="173" t="inlineStr">
        <is>
          <t>0.11 Km</t>
        </is>
      </c>
      <c r="E338" s="181" t="n">
        <v>7</v>
      </c>
      <c r="F338" s="182" t="n">
        <v>9</v>
      </c>
      <c r="G338" s="172" t="inlineStr">
        <is>
          <t>No</t>
        </is>
      </c>
      <c r="H338" s="170">
        <f>IF(A338="","",IF(OR(NOT(ISNUMBER(C338)),C338=""),"No",IF(AND(HOUR(C338)&gt;=0,HOUR(C338)&lt;5),"Yes","No")))</f>
        <v/>
      </c>
      <c r="I338" s="183">
        <f>IF(OR(B338="",NOT(ISNUMBER(B338))),"",INT(B338))</f>
        <v/>
      </c>
    </row>
    <row r="339" ht="15" customHeight="1" s="122">
      <c r="A339" s="179" t="inlineStr">
        <is>
          <t>KAA 214B</t>
        </is>
      </c>
      <c r="B339" s="172" t="inlineStr">
        <is>
          <t>20-02-2026 16:00:16</t>
        </is>
      </c>
      <c r="C339" s="172" t="inlineStr">
        <is>
          <t>20-02-2026 16:29:49</t>
        </is>
      </c>
      <c r="D339" s="173" t="inlineStr">
        <is>
          <t>8.88 Km</t>
        </is>
      </c>
      <c r="E339" s="181" t="n">
        <v>17</v>
      </c>
      <c r="F339" s="182" t="n">
        <v>59</v>
      </c>
      <c r="G339" s="172" t="inlineStr">
        <is>
          <t>No</t>
        </is>
      </c>
      <c r="H339" s="170">
        <f>IF(A339="","",IF(OR(NOT(ISNUMBER(C339)),C339=""),"No",IF(AND(HOUR(C339)&gt;=0,HOUR(C339)&lt;5),"Yes","No")))</f>
        <v/>
      </c>
      <c r="I339" s="183">
        <f>IF(OR(B339="",NOT(ISNUMBER(B339))),"",INT(B339))</f>
        <v/>
      </c>
    </row>
    <row r="340" ht="15" customHeight="1" s="122">
      <c r="A340" s="179" t="inlineStr">
        <is>
          <t>KAA 214B</t>
        </is>
      </c>
      <c r="B340" s="172" t="inlineStr">
        <is>
          <t>20-02-2026 16:35:22</t>
        </is>
      </c>
      <c r="C340" s="172" t="inlineStr">
        <is>
          <t>20-02-2026 17:08:03</t>
        </is>
      </c>
      <c r="D340" s="173" t="inlineStr">
        <is>
          <t>21.75 Km</t>
        </is>
      </c>
      <c r="E340" s="181" t="n">
        <v>45</v>
      </c>
      <c r="F340" s="182" t="n">
        <v>86</v>
      </c>
      <c r="G340" s="172" t="inlineStr">
        <is>
          <t>No</t>
        </is>
      </c>
      <c r="H340" s="170">
        <f>IF(A340="","",IF(OR(NOT(ISNUMBER(C340)),C340=""),"No",IF(AND(HOUR(C340)&gt;=0,HOUR(C340)&lt;5),"Yes","No")))</f>
        <v/>
      </c>
      <c r="I340" s="183">
        <f>IF(OR(B340="",NOT(ISNUMBER(B340))),"",INT(B340))</f>
        <v/>
      </c>
    </row>
    <row r="341" ht="15" customHeight="1" s="122">
      <c r="A341" s="179" t="inlineStr">
        <is>
          <t>KAA 214B</t>
        </is>
      </c>
      <c r="B341" s="172" t="inlineStr">
        <is>
          <t>20-02-2026 17:45:22</t>
        </is>
      </c>
      <c r="C341" s="172" t="inlineStr">
        <is>
          <t>20-02-2026 17:50:25</t>
        </is>
      </c>
      <c r="D341" s="173" t="inlineStr">
        <is>
          <t>1 Km</t>
        </is>
      </c>
      <c r="E341" s="181" t="n">
        <v>11</v>
      </c>
      <c r="F341" s="182" t="n">
        <v>18</v>
      </c>
      <c r="G341" s="172" t="inlineStr">
        <is>
          <t>No</t>
        </is>
      </c>
      <c r="H341" s="170">
        <f>IF(A341="","",IF(OR(NOT(ISNUMBER(C341)),C341=""),"No",IF(AND(HOUR(C341)&gt;=0,HOUR(C341)&lt;5),"Yes","No")))</f>
        <v/>
      </c>
      <c r="I341" s="183">
        <f>IF(OR(B341="",NOT(ISNUMBER(B341))),"",INT(B341))</f>
        <v/>
      </c>
    </row>
    <row r="342" ht="15" customHeight="1" s="122">
      <c r="A342" s="179" t="inlineStr">
        <is>
          <t>KAA 214B</t>
        </is>
      </c>
      <c r="B342" s="172" t="inlineStr">
        <is>
          <t>21-02-2026 10:20:41</t>
        </is>
      </c>
      <c r="C342" s="172" t="inlineStr">
        <is>
          <t>21-02-2026 10:22:27</t>
        </is>
      </c>
      <c r="D342" s="173" t="inlineStr">
        <is>
          <t>0.32 Km</t>
        </is>
      </c>
      <c r="E342" s="181" t="n">
        <v>11</v>
      </c>
      <c r="F342" s="182" t="n">
        <v>26</v>
      </c>
      <c r="G342" s="172" t="inlineStr">
        <is>
          <t>No</t>
        </is>
      </c>
      <c r="H342" s="170">
        <f>IF(A342="","",IF(OR(NOT(ISNUMBER(C342)),C342=""),"No",IF(AND(HOUR(C342)&gt;=0,HOUR(C342)&lt;5),"Yes","No")))</f>
        <v/>
      </c>
      <c r="I342" s="183">
        <f>IF(OR(B342="",NOT(ISNUMBER(B342))),"",INT(B342))</f>
        <v/>
      </c>
    </row>
    <row r="343" ht="15" customHeight="1" s="122">
      <c r="A343" s="179" t="inlineStr">
        <is>
          <t>KAA 214B</t>
        </is>
      </c>
      <c r="B343" s="172" t="inlineStr">
        <is>
          <t>21-02-2026 10:37:08</t>
        </is>
      </c>
      <c r="C343" s="172" t="inlineStr">
        <is>
          <t>21-02-2026 10:40:25</t>
        </is>
      </c>
      <c r="D343" s="173" t="inlineStr">
        <is>
          <t>0.63 Km</t>
        </is>
      </c>
      <c r="E343" s="181" t="n">
        <v>10</v>
      </c>
      <c r="F343" s="182" t="n">
        <v>20</v>
      </c>
      <c r="G343" s="172" t="inlineStr">
        <is>
          <t>No</t>
        </is>
      </c>
      <c r="H343" s="170">
        <f>IF(A343="","",IF(OR(NOT(ISNUMBER(C343)),C343=""),"No",IF(AND(HOUR(C343)&gt;=0,HOUR(C343)&lt;5),"Yes","No")))</f>
        <v/>
      </c>
      <c r="I343" s="183">
        <f>IF(OR(B343="",NOT(ISNUMBER(B343))),"",INT(B343))</f>
        <v/>
      </c>
    </row>
    <row r="344" ht="15" customHeight="1" s="122">
      <c r="A344" s="179" t="inlineStr">
        <is>
          <t>KAA 214B</t>
        </is>
      </c>
      <c r="B344" s="172" t="inlineStr">
        <is>
          <t>21-02-2026 10:50:55</t>
        </is>
      </c>
      <c r="C344" s="172" t="inlineStr">
        <is>
          <t>21-02-2026 10:54:53</t>
        </is>
      </c>
      <c r="D344" s="173" t="inlineStr">
        <is>
          <t>1.01 Km</t>
        </is>
      </c>
      <c r="E344" s="181" t="n">
        <v>13</v>
      </c>
      <c r="F344" s="182" t="n">
        <v>34</v>
      </c>
      <c r="G344" s="172" t="inlineStr">
        <is>
          <t>No</t>
        </is>
      </c>
      <c r="H344" s="170">
        <f>IF(A344="","",IF(OR(NOT(ISNUMBER(C344)),C344=""),"No",IF(AND(HOUR(C344)&gt;=0,HOUR(C344)&lt;5),"Yes","No")))</f>
        <v/>
      </c>
      <c r="I344" s="183">
        <f>IF(OR(B344="",NOT(ISNUMBER(B344))),"",INT(B344))</f>
        <v/>
      </c>
    </row>
    <row r="345" ht="15" customHeight="1" s="122">
      <c r="A345" s="179" t="inlineStr">
        <is>
          <t>KAA 214B</t>
        </is>
      </c>
      <c r="B345" s="172" t="inlineStr">
        <is>
          <t>21-02-2026 11:18:54</t>
        </is>
      </c>
      <c r="C345" s="172" t="inlineStr">
        <is>
          <t>21-02-2026 12:11:48</t>
        </is>
      </c>
      <c r="D345" s="173" t="inlineStr">
        <is>
          <t>40.21 Km</t>
        </is>
      </c>
      <c r="E345" s="181" t="n">
        <v>50</v>
      </c>
      <c r="F345" s="182" t="n">
        <v>86</v>
      </c>
      <c r="G345" s="172" t="inlineStr">
        <is>
          <t>No</t>
        </is>
      </c>
      <c r="H345" s="170">
        <f>IF(A345="","",IF(OR(NOT(ISNUMBER(C345)),C345=""),"No",IF(AND(HOUR(C345)&gt;=0,HOUR(C345)&lt;5),"Yes","No")))</f>
        <v/>
      </c>
      <c r="I345" s="183">
        <f>IF(OR(B345="",NOT(ISNUMBER(B345))),"",INT(B345))</f>
        <v/>
      </c>
    </row>
    <row r="346" ht="15" customHeight="1" s="122">
      <c r="A346" s="179" t="inlineStr">
        <is>
          <t>KAA 214B</t>
        </is>
      </c>
      <c r="B346" s="172" t="inlineStr">
        <is>
          <t>21-02-2026 12:13:36</t>
        </is>
      </c>
      <c r="C346" s="172" t="inlineStr">
        <is>
          <t>21-02-2026 12:42:52</t>
        </is>
      </c>
      <c r="D346" s="173" t="inlineStr">
        <is>
          <t>13.1 Km</t>
        </is>
      </c>
      <c r="E346" s="181" t="n">
        <v>30</v>
      </c>
      <c r="F346" s="182" t="n">
        <v>85</v>
      </c>
      <c r="G346" s="172" t="inlineStr">
        <is>
          <t>No</t>
        </is>
      </c>
      <c r="H346" s="170">
        <f>IF(A346="","",IF(OR(NOT(ISNUMBER(C346)),C346=""),"No",IF(AND(HOUR(C346)&gt;=0,HOUR(C346)&lt;5),"Yes","No")))</f>
        <v/>
      </c>
      <c r="I346" s="183">
        <f>IF(OR(B346="",NOT(ISNUMBER(B346))),"",INT(B346))</f>
        <v/>
      </c>
    </row>
    <row r="347" ht="15" customHeight="1" s="122">
      <c r="A347" s="179" t="inlineStr">
        <is>
          <t>KAA 214B</t>
        </is>
      </c>
      <c r="B347" s="172" t="inlineStr">
        <is>
          <t>21-02-2026 14:20:38</t>
        </is>
      </c>
      <c r="C347" s="172" t="inlineStr">
        <is>
          <t>21-02-2026 15:01:47</t>
        </is>
      </c>
      <c r="D347" s="173" t="inlineStr">
        <is>
          <t>28.05 Km</t>
        </is>
      </c>
      <c r="E347" s="181" t="n">
        <v>42</v>
      </c>
      <c r="F347" s="182" t="n">
        <v>86</v>
      </c>
      <c r="G347" s="172" t="inlineStr">
        <is>
          <t>No</t>
        </is>
      </c>
      <c r="H347" s="170">
        <f>IF(A347="","",IF(OR(NOT(ISNUMBER(C347)),C347=""),"No",IF(AND(HOUR(C347)&gt;=0,HOUR(C347)&lt;5),"Yes","No")))</f>
        <v/>
      </c>
      <c r="I347" s="183">
        <f>IF(OR(B347="",NOT(ISNUMBER(B347))),"",INT(B347))</f>
        <v/>
      </c>
    </row>
    <row r="348" ht="15" customHeight="1" s="122">
      <c r="A348" s="179" t="inlineStr">
        <is>
          <t>KAA 214B</t>
        </is>
      </c>
      <c r="B348" s="172" t="inlineStr">
        <is>
          <t>21-02-2026 15:04:25</t>
        </is>
      </c>
      <c r="C348" s="172" t="inlineStr">
        <is>
          <t>21-02-2026 15:06:39</t>
        </is>
      </c>
      <c r="D348" s="173" t="inlineStr">
        <is>
          <t>0.13 Km</t>
        </is>
      </c>
      <c r="E348" s="181" t="n">
        <v>9</v>
      </c>
      <c r="F348" s="182" t="n">
        <v>16</v>
      </c>
      <c r="G348" s="172" t="inlineStr">
        <is>
          <t>No</t>
        </is>
      </c>
      <c r="H348" s="170">
        <f>IF(A348="","",IF(OR(NOT(ISNUMBER(C348)),C348=""),"No",IF(AND(HOUR(C348)&gt;=0,HOUR(C348)&lt;5),"Yes","No")))</f>
        <v/>
      </c>
      <c r="I348" s="183">
        <f>IF(OR(B348="",NOT(ISNUMBER(B348))),"",INT(B348))</f>
        <v/>
      </c>
    </row>
    <row r="349" ht="15" customHeight="1" s="122">
      <c r="A349" s="179" t="inlineStr">
        <is>
          <t>KAA 214B</t>
        </is>
      </c>
      <c r="B349" s="172" t="inlineStr">
        <is>
          <t>21-02-2026 16:36:45</t>
        </is>
      </c>
      <c r="C349" s="172" t="inlineStr">
        <is>
          <t>21-02-2026 16:39:18</t>
        </is>
      </c>
      <c r="D349" s="173" t="inlineStr">
        <is>
          <t>0.24 Km</t>
        </is>
      </c>
      <c r="E349" s="181" t="n">
        <v>12</v>
      </c>
      <c r="F349" s="182" t="n">
        <v>20</v>
      </c>
      <c r="G349" s="172" t="inlineStr">
        <is>
          <t>No</t>
        </is>
      </c>
      <c r="H349" s="170">
        <f>IF(A349="","",IF(OR(NOT(ISNUMBER(C349)),C349=""),"No",IF(AND(HOUR(C349)&gt;=0,HOUR(C349)&lt;5),"Yes","No")))</f>
        <v/>
      </c>
      <c r="I349" s="183">
        <f>IF(OR(B349="",NOT(ISNUMBER(B349))),"",INT(B349))</f>
        <v/>
      </c>
    </row>
    <row r="350" ht="15" customHeight="1" s="122">
      <c r="A350" s="179" t="inlineStr">
        <is>
          <t>KAA 214B</t>
        </is>
      </c>
      <c r="B350" s="172" t="inlineStr">
        <is>
          <t>21-02-2026 16:40:56</t>
        </is>
      </c>
      <c r="C350" s="172" t="inlineStr">
        <is>
          <t>21-02-2026 16:42:58</t>
        </is>
      </c>
      <c r="D350" s="173" t="inlineStr">
        <is>
          <t>0.64 Km</t>
        </is>
      </c>
      <c r="E350" s="181" t="n">
        <v>18</v>
      </c>
      <c r="F350" s="182" t="n">
        <v>44</v>
      </c>
      <c r="G350" s="172" t="inlineStr">
        <is>
          <t>No</t>
        </is>
      </c>
      <c r="H350" s="170">
        <f>IF(A350="","",IF(OR(NOT(ISNUMBER(C350)),C350=""),"No",IF(AND(HOUR(C350)&gt;=0,HOUR(C350)&lt;5),"Yes","No")))</f>
        <v/>
      </c>
      <c r="I350" s="183">
        <f>IF(OR(B350="",NOT(ISNUMBER(B350))),"",INT(B350))</f>
        <v/>
      </c>
    </row>
    <row r="351" ht="15" customHeight="1" s="122">
      <c r="A351" s="179" t="inlineStr">
        <is>
          <t>KAA 214B</t>
        </is>
      </c>
      <c r="B351" s="172" t="inlineStr">
        <is>
          <t>21-02-2026 17:01:38</t>
        </is>
      </c>
      <c r="C351" s="172" t="inlineStr">
        <is>
          <t>21-02-2026 17:05:46</t>
        </is>
      </c>
      <c r="D351" s="173" t="inlineStr">
        <is>
          <t>0.81 Km</t>
        </is>
      </c>
      <c r="E351" s="181" t="n">
        <v>13</v>
      </c>
      <c r="F351" s="182" t="n">
        <v>24</v>
      </c>
      <c r="G351" s="172" t="inlineStr">
        <is>
          <t>No</t>
        </is>
      </c>
      <c r="H351" s="170">
        <f>IF(A351="","",IF(OR(NOT(ISNUMBER(C351)),C351=""),"No",IF(AND(HOUR(C351)&gt;=0,HOUR(C351)&lt;5),"Yes","No")))</f>
        <v/>
      </c>
      <c r="I351" s="183">
        <f>IF(OR(B351="",NOT(ISNUMBER(B351))),"",INT(B351))</f>
        <v/>
      </c>
    </row>
    <row r="352" ht="15" customHeight="1" s="122">
      <c r="A352" s="179" t="inlineStr">
        <is>
          <t>KAA 214B</t>
        </is>
      </c>
      <c r="B352" s="172" t="inlineStr">
        <is>
          <t>21-02-2026 17:13:27</t>
        </is>
      </c>
      <c r="C352" s="172" t="inlineStr">
        <is>
          <t>21-02-2026 17:24:20</t>
        </is>
      </c>
      <c r="D352" s="173" t="inlineStr">
        <is>
          <t>3.61 Km</t>
        </is>
      </c>
      <c r="E352" s="181" t="n">
        <v>23</v>
      </c>
      <c r="F352" s="182" t="n">
        <v>59</v>
      </c>
      <c r="G352" s="172" t="inlineStr">
        <is>
          <t>No</t>
        </is>
      </c>
      <c r="H352" s="170">
        <f>IF(A352="","",IF(OR(NOT(ISNUMBER(C352)),C352=""),"No",IF(AND(HOUR(C352)&gt;=0,HOUR(C352)&lt;5),"Yes","No")))</f>
        <v/>
      </c>
      <c r="I352" s="183">
        <f>IF(OR(B352="",NOT(ISNUMBER(B352))),"",INT(B352))</f>
        <v/>
      </c>
    </row>
    <row r="353" ht="15" customHeight="1" s="122">
      <c r="A353" s="179" t="inlineStr">
        <is>
          <t>KAA 214B</t>
        </is>
      </c>
      <c r="B353" s="172" t="inlineStr">
        <is>
          <t>21-02-2026 18:17:28</t>
        </is>
      </c>
      <c r="C353" s="172" t="inlineStr">
        <is>
          <t>21-02-2026 18:25:12</t>
        </is>
      </c>
      <c r="D353" s="173" t="inlineStr">
        <is>
          <t>3.35 Km</t>
        </is>
      </c>
      <c r="E353" s="181" t="n">
        <v>25</v>
      </c>
      <c r="F353" s="182" t="n">
        <v>58</v>
      </c>
      <c r="G353" s="172" t="inlineStr">
        <is>
          <t>No</t>
        </is>
      </c>
      <c r="H353" s="170">
        <f>IF(A353="","",IF(OR(NOT(ISNUMBER(C353)),C353=""),"No",IF(AND(HOUR(C353)&gt;=0,HOUR(C353)&lt;5),"Yes","No")))</f>
        <v/>
      </c>
      <c r="I353" s="183">
        <f>IF(OR(B353="",NOT(ISNUMBER(B353))),"",INT(B353))</f>
        <v/>
      </c>
    </row>
    <row r="354" ht="15" customHeight="1" s="122">
      <c r="A354" s="179" t="inlineStr">
        <is>
          <t>KAA 214B</t>
        </is>
      </c>
      <c r="B354" s="172" t="inlineStr">
        <is>
          <t>21-02-2026 18:46:40</t>
        </is>
      </c>
      <c r="C354" s="172" t="inlineStr">
        <is>
          <t>21-02-2026 18:47:45</t>
        </is>
      </c>
      <c r="D354" s="173" t="inlineStr">
        <is>
          <t>0.18 Km</t>
        </is>
      </c>
      <c r="E354" s="181" t="n">
        <v>8</v>
      </c>
      <c r="F354" s="182" t="n">
        <v>10</v>
      </c>
      <c r="G354" s="172" t="inlineStr">
        <is>
          <t>No</t>
        </is>
      </c>
      <c r="H354" s="170">
        <f>IF(A354="","",IF(OR(NOT(ISNUMBER(C354)),C354=""),"No",IF(AND(HOUR(C354)&gt;=0,HOUR(C354)&lt;5),"Yes","No")))</f>
        <v/>
      </c>
      <c r="I354" s="183">
        <f>IF(OR(B354="",NOT(ISNUMBER(B354))),"",INT(B354))</f>
        <v/>
      </c>
    </row>
    <row r="355" ht="15" customHeight="1" s="122">
      <c r="A355" s="179" t="inlineStr">
        <is>
          <t>KAA 214B</t>
        </is>
      </c>
      <c r="B355" s="172" t="inlineStr">
        <is>
          <t>21-02-2026 19:09:24</t>
        </is>
      </c>
      <c r="C355" s="172" t="inlineStr">
        <is>
          <t>21-02-2026 19:27:05</t>
        </is>
      </c>
      <c r="D355" s="173" t="inlineStr">
        <is>
          <t>5.69 Km</t>
        </is>
      </c>
      <c r="E355" s="181" t="n">
        <v>17</v>
      </c>
      <c r="F355" s="182" t="n">
        <v>43</v>
      </c>
      <c r="G355" s="172" t="inlineStr">
        <is>
          <t>No</t>
        </is>
      </c>
      <c r="H355" s="170">
        <f>IF(A355="","",IF(OR(NOT(ISNUMBER(C355)),C355=""),"No",IF(AND(HOUR(C355)&gt;=0,HOUR(C355)&lt;5),"Yes","No")))</f>
        <v/>
      </c>
      <c r="I355" s="183">
        <f>IF(OR(B355="",NOT(ISNUMBER(B355))),"",INT(B355))</f>
        <v/>
      </c>
    </row>
    <row r="356" ht="15" customHeight="1" s="122">
      <c r="A356" s="179" t="inlineStr">
        <is>
          <t>KAA 214B</t>
        </is>
      </c>
      <c r="B356" s="172" t="inlineStr">
        <is>
          <t>21-02-2026 20:39:26</t>
        </is>
      </c>
      <c r="C356" s="172" t="inlineStr">
        <is>
          <t>21-02-2026 21:53:22</t>
        </is>
      </c>
      <c r="D356" s="173" t="inlineStr">
        <is>
          <t>48.61 Km</t>
        </is>
      </c>
      <c r="E356" s="181" t="n">
        <v>41</v>
      </c>
      <c r="F356" s="182" t="n">
        <v>93</v>
      </c>
      <c r="G356" s="172" t="inlineStr">
        <is>
          <t>No</t>
        </is>
      </c>
      <c r="H356" s="170">
        <f>IF(A356="","",IF(OR(NOT(ISNUMBER(C356)),C356=""),"No",IF(AND(HOUR(C356)&gt;=0,HOUR(C356)&lt;5),"Yes","No")))</f>
        <v/>
      </c>
      <c r="I356" s="183">
        <f>IF(OR(B356="",NOT(ISNUMBER(B356))),"",INT(B356))</f>
        <v/>
      </c>
    </row>
    <row r="357" ht="15" customHeight="1" s="122">
      <c r="A357" s="179" t="inlineStr">
        <is>
          <t>KAA 214B</t>
        </is>
      </c>
      <c r="B357" s="172" t="inlineStr">
        <is>
          <t>21-02-2026 22:01:25</t>
        </is>
      </c>
      <c r="C357" s="172" t="inlineStr">
        <is>
          <t>21-02-2026 22:39:23</t>
        </is>
      </c>
      <c r="D357" s="173" t="inlineStr">
        <is>
          <t>26.69 Km</t>
        </is>
      </c>
      <c r="E357" s="181" t="n">
        <v>43</v>
      </c>
      <c r="F357" s="182" t="n">
        <v>82</v>
      </c>
      <c r="G357" s="172" t="inlineStr">
        <is>
          <t>Yes</t>
        </is>
      </c>
      <c r="H357" s="170">
        <f>IF(A357="","",IF(OR(NOT(ISNUMBER(C357)),C357=""),"No",IF(AND(HOUR(C357)&gt;=0,HOUR(C357)&lt;5),"Yes","No")))</f>
        <v/>
      </c>
      <c r="I357" s="183">
        <f>IF(OR(B357="",NOT(ISNUMBER(B357))),"",INT(B357))</f>
        <v/>
      </c>
    </row>
    <row r="358" ht="15" customHeight="1" s="122">
      <c r="A358" s="179" t="inlineStr">
        <is>
          <t>KAA 214B</t>
        </is>
      </c>
      <c r="B358" s="172" t="inlineStr">
        <is>
          <t>22-02-2026 08:42:03</t>
        </is>
      </c>
      <c r="C358" s="172" t="inlineStr">
        <is>
          <t>22-02-2026 09:27:13</t>
        </is>
      </c>
      <c r="D358" s="173" t="inlineStr">
        <is>
          <t>32.47 Km</t>
        </is>
      </c>
      <c r="E358" s="181" t="n">
        <v>46</v>
      </c>
      <c r="F358" s="182" t="n">
        <v>81</v>
      </c>
      <c r="G358" s="172" t="inlineStr">
        <is>
          <t>No</t>
        </is>
      </c>
      <c r="H358" s="170">
        <f>IF(A358="","",IF(OR(NOT(ISNUMBER(C358)),C358=""),"No",IF(AND(HOUR(C358)&gt;=0,HOUR(C358)&lt;5),"Yes","No")))</f>
        <v/>
      </c>
      <c r="I358" s="183">
        <f>IF(OR(B358="",NOT(ISNUMBER(B358))),"",INT(B358))</f>
        <v/>
      </c>
    </row>
    <row r="359" ht="15" customHeight="1" s="122">
      <c r="A359" s="179" t="inlineStr">
        <is>
          <t>KAA 214B</t>
        </is>
      </c>
      <c r="B359" s="172" t="inlineStr">
        <is>
          <t>22-02-2026 14:39:49</t>
        </is>
      </c>
      <c r="C359" s="172" t="inlineStr">
        <is>
          <t>22-02-2026 14:51:25</t>
        </is>
      </c>
      <c r="D359" s="173" t="inlineStr">
        <is>
          <t>5.08 Km</t>
        </is>
      </c>
      <c r="E359" s="181" t="n">
        <v>29</v>
      </c>
      <c r="F359" s="182" t="n">
        <v>54</v>
      </c>
      <c r="G359" s="172" t="inlineStr">
        <is>
          <t>No</t>
        </is>
      </c>
      <c r="H359" s="170">
        <f>IF(A359="","",IF(OR(NOT(ISNUMBER(C359)),C359=""),"No",IF(AND(HOUR(C359)&gt;=0,HOUR(C359)&lt;5),"Yes","No")))</f>
        <v/>
      </c>
      <c r="I359" s="183">
        <f>IF(OR(B359="",NOT(ISNUMBER(B359))),"",INT(B359))</f>
        <v/>
      </c>
    </row>
    <row r="360" ht="15" customHeight="1" s="122">
      <c r="A360" s="179" t="inlineStr">
        <is>
          <t>KAA 214B</t>
        </is>
      </c>
      <c r="B360" s="172" t="inlineStr">
        <is>
          <t>22-02-2026 15:04:21</t>
        </is>
      </c>
      <c r="C360" s="172" t="inlineStr">
        <is>
          <t>22-02-2026 15:47:08</t>
        </is>
      </c>
      <c r="D360" s="173" t="inlineStr">
        <is>
          <t>26.84 Km</t>
        </is>
      </c>
      <c r="E360" s="181" t="n">
        <v>40</v>
      </c>
      <c r="F360" s="182" t="n">
        <v>87</v>
      </c>
      <c r="G360" s="172" t="inlineStr">
        <is>
          <t>No</t>
        </is>
      </c>
      <c r="H360" s="170">
        <f>IF(A360="","",IF(OR(NOT(ISNUMBER(C360)),C360=""),"No",IF(AND(HOUR(C360)&gt;=0,HOUR(C360)&lt;5),"Yes","No")))</f>
        <v/>
      </c>
      <c r="I360" s="183">
        <f>IF(OR(B360="",NOT(ISNUMBER(B360))),"",INT(B360))</f>
        <v/>
      </c>
    </row>
    <row r="361" ht="15" customHeight="1" s="122">
      <c r="A361" s="179" t="inlineStr">
        <is>
          <t>KAA 214B</t>
        </is>
      </c>
      <c r="B361" s="172" t="inlineStr">
        <is>
          <t>22-02-2026 15:47:58</t>
        </is>
      </c>
      <c r="C361" s="172" t="inlineStr">
        <is>
          <t>22-02-2026 15:48:06</t>
        </is>
      </c>
      <c r="D361" s="173" t="inlineStr">
        <is>
          <t>0 Km</t>
        </is>
      </c>
      <c r="E361" s="181" t="n">
        <v>7</v>
      </c>
      <c r="F361" s="182" t="n">
        <v>7</v>
      </c>
      <c r="G361" s="172" t="inlineStr">
        <is>
          <t>No</t>
        </is>
      </c>
      <c r="H361" s="170">
        <f>IF(A361="","",IF(OR(NOT(ISNUMBER(C361)),C361=""),"No",IF(AND(HOUR(C361)&gt;=0,HOUR(C361)&lt;5),"Yes","No")))</f>
        <v/>
      </c>
      <c r="I361" s="183">
        <f>IF(OR(B361="",NOT(ISNUMBER(B361))),"",INT(B361))</f>
        <v/>
      </c>
    </row>
    <row r="362" ht="15" customHeight="1" s="122">
      <c r="A362" s="179" t="inlineStr">
        <is>
          <t>KAA 214B</t>
        </is>
      </c>
      <c r="B362" s="172" t="inlineStr">
        <is>
          <t>22-02-2026 17:37:19</t>
        </is>
      </c>
      <c r="C362" s="172" t="inlineStr">
        <is>
          <t>22-02-2026 17:38:19</t>
        </is>
      </c>
      <c r="D362" s="173" t="inlineStr">
        <is>
          <t>0.13 Km</t>
        </is>
      </c>
      <c r="E362" s="181" t="n">
        <v>9</v>
      </c>
      <c r="F362" s="182" t="n">
        <v>13</v>
      </c>
      <c r="G362" s="172" t="inlineStr">
        <is>
          <t>No</t>
        </is>
      </c>
      <c r="H362" s="170">
        <f>IF(A362="","",IF(OR(NOT(ISNUMBER(C362)),C362=""),"No",IF(AND(HOUR(C362)&gt;=0,HOUR(C362)&lt;5),"Yes","No")))</f>
        <v/>
      </c>
      <c r="I362" s="183">
        <f>IF(OR(B362="",NOT(ISNUMBER(B362))),"",INT(B362))</f>
        <v/>
      </c>
    </row>
    <row r="363" ht="15" customHeight="1" s="122">
      <c r="A363" s="179" t="inlineStr">
        <is>
          <t>KAA 214B</t>
        </is>
      </c>
      <c r="B363" s="172" t="inlineStr">
        <is>
          <t>22-02-2026 17:40:39</t>
        </is>
      </c>
      <c r="C363" s="172" t="inlineStr">
        <is>
          <t>22-02-2026 18:00:25</t>
        </is>
      </c>
      <c r="D363" s="173" t="inlineStr">
        <is>
          <t>4.45 Km</t>
        </is>
      </c>
      <c r="E363" s="181" t="n">
        <v>14</v>
      </c>
      <c r="F363" s="182" t="n">
        <v>30</v>
      </c>
      <c r="G363" s="172" t="inlineStr">
        <is>
          <t>No</t>
        </is>
      </c>
      <c r="H363" s="170">
        <f>IF(A363="","",IF(OR(NOT(ISNUMBER(C363)),C363=""),"No",IF(AND(HOUR(C363)&gt;=0,HOUR(C363)&lt;5),"Yes","No")))</f>
        <v/>
      </c>
      <c r="I363" s="183">
        <f>IF(OR(B363="",NOT(ISNUMBER(B363))),"",INT(B363))</f>
        <v/>
      </c>
    </row>
    <row r="364" ht="15" customHeight="1" s="122">
      <c r="A364" s="179" t="inlineStr">
        <is>
          <t>KAA 214B</t>
        </is>
      </c>
      <c r="B364" s="172" t="inlineStr">
        <is>
          <t>22-02-2026 18:10:14</t>
        </is>
      </c>
      <c r="C364" s="172" t="inlineStr">
        <is>
          <t>22-02-2026 18:18:17</t>
        </is>
      </c>
      <c r="D364" s="173" t="inlineStr">
        <is>
          <t>1.97 Km</t>
        </is>
      </c>
      <c r="E364" s="181" t="n">
        <v>13</v>
      </c>
      <c r="F364" s="182" t="n">
        <v>28</v>
      </c>
      <c r="G364" s="172" t="inlineStr">
        <is>
          <t>No</t>
        </is>
      </c>
      <c r="H364" s="170">
        <f>IF(A364="","",IF(OR(NOT(ISNUMBER(C364)),C364=""),"No",IF(AND(HOUR(C364)&gt;=0,HOUR(C364)&lt;5),"Yes","No")))</f>
        <v/>
      </c>
      <c r="I364" s="183">
        <f>IF(OR(B364="",NOT(ISNUMBER(B364))),"",INT(B364))</f>
        <v/>
      </c>
    </row>
    <row r="365" ht="15" customHeight="1" s="122">
      <c r="A365" s="179" t="inlineStr">
        <is>
          <t>KAA 214B</t>
        </is>
      </c>
      <c r="B365" s="172" t="inlineStr">
        <is>
          <t>23-02-2026 08:05:40</t>
        </is>
      </c>
      <c r="C365" s="172" t="inlineStr">
        <is>
          <t>23-02-2026 08:45:15</t>
        </is>
      </c>
      <c r="D365" s="173" t="inlineStr">
        <is>
          <t>25.91 Km</t>
        </is>
      </c>
      <c r="E365" s="181" t="n">
        <v>43</v>
      </c>
      <c r="F365" s="182" t="n">
        <v>79</v>
      </c>
      <c r="G365" s="172" t="inlineStr">
        <is>
          <t>No</t>
        </is>
      </c>
      <c r="H365" s="170">
        <f>IF(A365="","",IF(OR(NOT(ISNUMBER(C365)),C365=""),"No",IF(AND(HOUR(C365)&gt;=0,HOUR(C365)&lt;5),"Yes","No")))</f>
        <v/>
      </c>
      <c r="I365" s="183">
        <f>IF(OR(B365="",NOT(ISNUMBER(B365))),"",INT(B365))</f>
        <v/>
      </c>
    </row>
    <row r="366" ht="15" customHeight="1" s="122">
      <c r="A366" s="179" t="inlineStr">
        <is>
          <t>KAA 214B</t>
        </is>
      </c>
      <c r="B366" s="172" t="inlineStr">
        <is>
          <t>23-02-2026 08:45:33</t>
        </is>
      </c>
      <c r="C366" s="172" t="inlineStr">
        <is>
          <t>23-02-2026 08:48:24</t>
        </is>
      </c>
      <c r="D366" s="173" t="inlineStr">
        <is>
          <t>0.61 Km</t>
        </is>
      </c>
      <c r="E366" s="181" t="n">
        <v>14</v>
      </c>
      <c r="F366" s="182" t="n">
        <v>30</v>
      </c>
      <c r="G366" s="172" t="inlineStr">
        <is>
          <t>No</t>
        </is>
      </c>
      <c r="H366" s="170">
        <f>IF(A366="","",IF(OR(NOT(ISNUMBER(C366)),C366=""),"No",IF(AND(HOUR(C366)&gt;=0,HOUR(C366)&lt;5),"Yes","No")))</f>
        <v/>
      </c>
      <c r="I366" s="183">
        <f>IF(OR(B366="",NOT(ISNUMBER(B366))),"",INT(B366))</f>
        <v/>
      </c>
    </row>
    <row r="367" ht="15" customHeight="1" s="122">
      <c r="A367" s="179" t="inlineStr">
        <is>
          <t>KAA 214B</t>
        </is>
      </c>
      <c r="B367" s="172" t="inlineStr">
        <is>
          <t>23-02-2026 09:48:22</t>
        </is>
      </c>
      <c r="C367" s="172" t="inlineStr">
        <is>
          <t>23-02-2026 09:55:49</t>
        </is>
      </c>
      <c r="D367" s="173" t="inlineStr">
        <is>
          <t>1.26 Km</t>
        </is>
      </c>
      <c r="E367" s="181" t="n">
        <v>11</v>
      </c>
      <c r="F367" s="182" t="n">
        <v>26</v>
      </c>
      <c r="G367" s="172" t="inlineStr">
        <is>
          <t>No</t>
        </is>
      </c>
      <c r="H367" s="170">
        <f>IF(A367="","",IF(OR(NOT(ISNUMBER(C367)),C367=""),"No",IF(AND(HOUR(C367)&gt;=0,HOUR(C367)&lt;5),"Yes","No")))</f>
        <v/>
      </c>
      <c r="I367" s="183">
        <f>IF(OR(B367="",NOT(ISNUMBER(B367))),"",INT(B367))</f>
        <v/>
      </c>
    </row>
    <row r="368" ht="15" customHeight="1" s="122">
      <c r="A368" s="179" t="inlineStr">
        <is>
          <t>KAA 214B</t>
        </is>
      </c>
      <c r="B368" s="172" t="inlineStr">
        <is>
          <t>23-02-2026 10:28:26</t>
        </is>
      </c>
      <c r="C368" s="172" t="inlineStr">
        <is>
          <t>23-02-2026 10:30:18</t>
        </is>
      </c>
      <c r="D368" s="173" t="inlineStr">
        <is>
          <t>0.13 Km</t>
        </is>
      </c>
      <c r="E368" s="181" t="n">
        <v>7</v>
      </c>
      <c r="F368" s="182" t="n">
        <v>9</v>
      </c>
      <c r="G368" s="172" t="inlineStr">
        <is>
          <t>No</t>
        </is>
      </c>
      <c r="H368" s="170">
        <f>IF(A368="","",IF(OR(NOT(ISNUMBER(C368)),C368=""),"No",IF(AND(HOUR(C368)&gt;=0,HOUR(C368)&lt;5),"Yes","No")))</f>
        <v/>
      </c>
      <c r="I368" s="183">
        <f>IF(OR(B368="",NOT(ISNUMBER(B368))),"",INT(B368))</f>
        <v/>
      </c>
    </row>
    <row r="369" ht="15" customHeight="1" s="122">
      <c r="A369" s="179" t="inlineStr">
        <is>
          <t>KAA 214B</t>
        </is>
      </c>
      <c r="B369" s="172" t="inlineStr">
        <is>
          <t>23-02-2026 10:32:21</t>
        </is>
      </c>
      <c r="C369" s="172" t="inlineStr">
        <is>
          <t>23-02-2026 10:34:47</t>
        </is>
      </c>
      <c r="D369" s="173" t="inlineStr">
        <is>
          <t>0.14 Km</t>
        </is>
      </c>
      <c r="E369" s="181" t="n">
        <v>9</v>
      </c>
      <c r="F369" s="182" t="n">
        <v>12</v>
      </c>
      <c r="G369" s="172" t="inlineStr">
        <is>
          <t>No</t>
        </is>
      </c>
      <c r="H369" s="170">
        <f>IF(A369="","",IF(OR(NOT(ISNUMBER(C369)),C369=""),"No",IF(AND(HOUR(C369)&gt;=0,HOUR(C369)&lt;5),"Yes","No")))</f>
        <v/>
      </c>
      <c r="I369" s="183">
        <f>IF(OR(B369="",NOT(ISNUMBER(B369))),"",INT(B369))</f>
        <v/>
      </c>
    </row>
    <row r="370" ht="15" customHeight="1" s="122">
      <c r="A370" s="179" t="inlineStr">
        <is>
          <t>KAA 214B</t>
        </is>
      </c>
      <c r="B370" s="172" t="inlineStr">
        <is>
          <t>23-02-2026 10:36:29</t>
        </is>
      </c>
      <c r="C370" s="172" t="inlineStr">
        <is>
          <t>23-02-2026 10:41:48</t>
        </is>
      </c>
      <c r="D370" s="173" t="inlineStr">
        <is>
          <t>1 Km</t>
        </is>
      </c>
      <c r="E370" s="181" t="n">
        <v>11</v>
      </c>
      <c r="F370" s="182" t="n">
        <v>25</v>
      </c>
      <c r="G370" s="172" t="inlineStr">
        <is>
          <t>No</t>
        </is>
      </c>
      <c r="H370" s="170">
        <f>IF(A370="","",IF(OR(NOT(ISNUMBER(C370)),C370=""),"No",IF(AND(HOUR(C370)&gt;=0,HOUR(C370)&lt;5),"Yes","No")))</f>
        <v/>
      </c>
      <c r="I370" s="183">
        <f>IF(OR(B370="",NOT(ISNUMBER(B370))),"",INT(B370))</f>
        <v/>
      </c>
    </row>
    <row r="371" ht="15" customHeight="1" s="122">
      <c r="A371" s="179" t="inlineStr">
        <is>
          <t>KAA 214B</t>
        </is>
      </c>
      <c r="B371" s="172" t="inlineStr">
        <is>
          <t>23-02-2026 10:51:02</t>
        </is>
      </c>
      <c r="C371" s="172" t="inlineStr">
        <is>
          <t>23-02-2026 11:32:32</t>
        </is>
      </c>
      <c r="D371" s="173" t="inlineStr">
        <is>
          <t>27.32 Km</t>
        </is>
      </c>
      <c r="E371" s="181" t="n">
        <v>43</v>
      </c>
      <c r="F371" s="182" t="n">
        <v>80</v>
      </c>
      <c r="G371" s="172" t="inlineStr">
        <is>
          <t>No</t>
        </is>
      </c>
      <c r="H371" s="170">
        <f>IF(A371="","",IF(OR(NOT(ISNUMBER(C371)),C371=""),"No",IF(AND(HOUR(C371)&gt;=0,HOUR(C371)&lt;5),"Yes","No")))</f>
        <v/>
      </c>
      <c r="I371" s="183">
        <f>IF(OR(B371="",NOT(ISNUMBER(B371))),"",INT(B371))</f>
        <v/>
      </c>
    </row>
    <row r="372" ht="15" customHeight="1" s="122">
      <c r="A372" s="179" t="inlineStr">
        <is>
          <t>KAA 214B</t>
        </is>
      </c>
      <c r="B372" s="172" t="inlineStr">
        <is>
          <t>23-02-2026 17:10:04</t>
        </is>
      </c>
      <c r="C372" s="172" t="inlineStr">
        <is>
          <t>23-02-2026 17:53:08</t>
        </is>
      </c>
      <c r="D372" s="173" t="inlineStr">
        <is>
          <t>26.63 Km</t>
        </is>
      </c>
      <c r="E372" s="181" t="n">
        <v>43</v>
      </c>
      <c r="F372" s="182" t="n">
        <v>78</v>
      </c>
      <c r="G372" s="172" t="inlineStr">
        <is>
          <t>No</t>
        </is>
      </c>
      <c r="H372" s="170">
        <f>IF(A372="","",IF(OR(NOT(ISNUMBER(C372)),C372=""),"No",IF(AND(HOUR(C372)&gt;=0,HOUR(C372)&lt;5),"Yes","No")))</f>
        <v/>
      </c>
      <c r="I372" s="183">
        <f>IF(OR(B372="",NOT(ISNUMBER(B372))),"",INT(B372))</f>
        <v/>
      </c>
    </row>
    <row r="373" ht="15" customHeight="1" s="122">
      <c r="A373" s="179" t="inlineStr">
        <is>
          <t>KAA 214B</t>
        </is>
      </c>
      <c r="B373" s="172" t="inlineStr">
        <is>
          <t>23-02-2026 17:58:19</t>
        </is>
      </c>
      <c r="C373" s="172" t="inlineStr">
        <is>
          <t>23-02-2026 18:05:25</t>
        </is>
      </c>
      <c r="D373" s="173" t="inlineStr">
        <is>
          <t>1.12 Km</t>
        </is>
      </c>
      <c r="E373" s="181" t="n">
        <v>11</v>
      </c>
      <c r="F373" s="182" t="n">
        <v>27</v>
      </c>
      <c r="G373" s="172" t="inlineStr">
        <is>
          <t>No</t>
        </is>
      </c>
      <c r="H373" s="170">
        <f>IF(A373="","",IF(OR(NOT(ISNUMBER(C373)),C373=""),"No",IF(AND(HOUR(C373)&gt;=0,HOUR(C373)&lt;5),"Yes","No")))</f>
        <v/>
      </c>
      <c r="I373" s="183">
        <f>IF(OR(B373="",NOT(ISNUMBER(B373))),"",INT(B373))</f>
        <v/>
      </c>
    </row>
    <row r="374" ht="15" customHeight="1" s="122">
      <c r="A374" s="179" t="inlineStr">
        <is>
          <t>KAA 214B</t>
        </is>
      </c>
      <c r="B374" s="172" t="inlineStr">
        <is>
          <t>23-02-2026 19:05:20</t>
        </is>
      </c>
      <c r="C374" s="172" t="inlineStr">
        <is>
          <t>23-02-2026 19:37:09</t>
        </is>
      </c>
      <c r="D374" s="173" t="inlineStr">
        <is>
          <t>20.98 Km</t>
        </is>
      </c>
      <c r="E374" s="181" t="n">
        <v>41</v>
      </c>
      <c r="F374" s="182" t="n">
        <v>75</v>
      </c>
      <c r="G374" s="172" t="inlineStr">
        <is>
          <t>No</t>
        </is>
      </c>
      <c r="H374" s="170">
        <f>IF(A374="","",IF(OR(NOT(ISNUMBER(C374)),C374=""),"No",IF(AND(HOUR(C374)&gt;=0,HOUR(C374)&lt;5),"Yes","No")))</f>
        <v/>
      </c>
      <c r="I374" s="183">
        <f>IF(OR(B374="",NOT(ISNUMBER(B374))),"",INT(B374))</f>
        <v/>
      </c>
    </row>
    <row r="375" ht="15" customHeight="1" s="122">
      <c r="A375" s="179" t="inlineStr">
        <is>
          <t>KAA 214B</t>
        </is>
      </c>
      <c r="B375" s="172" t="inlineStr">
        <is>
          <t>23-02-2026 19:50:12</t>
        </is>
      </c>
      <c r="C375" s="172" t="inlineStr">
        <is>
          <t>23-02-2026 20:06:03</t>
        </is>
      </c>
      <c r="D375" s="173" t="inlineStr">
        <is>
          <t>5.47 Km</t>
        </is>
      </c>
      <c r="E375" s="181" t="n">
        <v>19</v>
      </c>
      <c r="F375" s="182" t="n">
        <v>65</v>
      </c>
      <c r="G375" s="172" t="inlineStr">
        <is>
          <t>No</t>
        </is>
      </c>
      <c r="H375" s="170">
        <f>IF(A375="","",IF(OR(NOT(ISNUMBER(C375)),C375=""),"No",IF(AND(HOUR(C375)&gt;=0,HOUR(C375)&lt;5),"Yes","No")))</f>
        <v/>
      </c>
      <c r="I375" s="183">
        <f>IF(OR(B375="",NOT(ISNUMBER(B375))),"",INT(B375))</f>
        <v/>
      </c>
    </row>
    <row r="376" ht="15" customHeight="1" s="122">
      <c r="A376" s="179" t="inlineStr">
        <is>
          <t>KAA 214B</t>
        </is>
      </c>
      <c r="B376" s="172" t="inlineStr">
        <is>
          <t>24-02-2026 08:58:29</t>
        </is>
      </c>
      <c r="C376" s="172" t="inlineStr">
        <is>
          <t>24-02-2026 09:16:31</t>
        </is>
      </c>
      <c r="D376" s="173" t="inlineStr">
        <is>
          <t>5.43 Km</t>
        </is>
      </c>
      <c r="E376" s="181" t="n">
        <v>20</v>
      </c>
      <c r="F376" s="182" t="n">
        <v>61</v>
      </c>
      <c r="G376" s="172" t="inlineStr">
        <is>
          <t>No</t>
        </is>
      </c>
      <c r="H376" s="170">
        <f>IF(A376="","",IF(OR(NOT(ISNUMBER(C376)),C376=""),"No",IF(AND(HOUR(C376)&gt;=0,HOUR(C376)&lt;5),"Yes","No")))</f>
        <v/>
      </c>
      <c r="I376" s="183">
        <f>IF(OR(B376="",NOT(ISNUMBER(B376))),"",INT(B376))</f>
        <v/>
      </c>
    </row>
    <row r="377" ht="15" customHeight="1" s="122">
      <c r="A377" s="179" t="inlineStr">
        <is>
          <t>KAA 214B</t>
        </is>
      </c>
      <c r="B377" s="172" t="inlineStr">
        <is>
          <t>24-02-2026 09:20:25</t>
        </is>
      </c>
      <c r="C377" s="172" t="inlineStr">
        <is>
          <t>24-02-2026 10:18:02</t>
        </is>
      </c>
      <c r="D377" s="173" t="inlineStr">
        <is>
          <t>31.67 Km</t>
        </is>
      </c>
      <c r="E377" s="181" t="n">
        <v>42</v>
      </c>
      <c r="F377" s="182" t="n">
        <v>78</v>
      </c>
      <c r="G377" s="172" t="inlineStr">
        <is>
          <t>No</t>
        </is>
      </c>
      <c r="H377" s="170">
        <f>IF(A377="","",IF(OR(NOT(ISNUMBER(C377)),C377=""),"No",IF(AND(HOUR(C377)&gt;=0,HOUR(C377)&lt;5),"Yes","No")))</f>
        <v/>
      </c>
      <c r="I377" s="183">
        <f>IF(OR(B377="",NOT(ISNUMBER(B377))),"",INT(B377))</f>
        <v/>
      </c>
    </row>
    <row r="378" ht="15" customHeight="1" s="122">
      <c r="A378" s="179" t="inlineStr">
        <is>
          <t>KAA 214B</t>
        </is>
      </c>
      <c r="B378" s="172" t="inlineStr">
        <is>
          <t>24-02-2026 10:31:16</t>
        </is>
      </c>
      <c r="C378" s="172" t="inlineStr">
        <is>
          <t>24-02-2026 10:32:04</t>
        </is>
      </c>
      <c r="D378" s="173" t="inlineStr">
        <is>
          <t>0.06 Km</t>
        </is>
      </c>
      <c r="E378" s="181" t="n">
        <v>8</v>
      </c>
      <c r="F378" s="182" t="n">
        <v>9</v>
      </c>
      <c r="G378" s="172" t="inlineStr">
        <is>
          <t>No</t>
        </is>
      </c>
      <c r="H378" s="170">
        <f>IF(A378="","",IF(OR(NOT(ISNUMBER(C378)),C378=""),"No",IF(AND(HOUR(C378)&gt;=0,HOUR(C378)&lt;5),"Yes","No")))</f>
        <v/>
      </c>
      <c r="I378" s="183">
        <f>IF(OR(B378="",NOT(ISNUMBER(B378))),"",INT(B378))</f>
        <v/>
      </c>
    </row>
    <row r="379" ht="15" customHeight="1" s="122">
      <c r="A379" s="179" t="inlineStr">
        <is>
          <t>KAA 214B</t>
        </is>
      </c>
      <c r="B379" s="172" t="inlineStr">
        <is>
          <t>24-02-2026 10:37:20</t>
        </is>
      </c>
      <c r="C379" s="172" t="inlineStr">
        <is>
          <t>24-02-2026 11:15:23</t>
        </is>
      </c>
      <c r="D379" s="173" t="inlineStr">
        <is>
          <t>31.65 Km</t>
        </is>
      </c>
      <c r="E379" s="181" t="n">
        <v>56</v>
      </c>
      <c r="F379" s="182" t="n">
        <v>80</v>
      </c>
      <c r="G379" s="172" t="inlineStr">
        <is>
          <t>No</t>
        </is>
      </c>
      <c r="H379" s="170">
        <f>IF(A379="","",IF(OR(NOT(ISNUMBER(C379)),C379=""),"No",IF(AND(HOUR(C379)&gt;=0,HOUR(C379)&lt;5),"Yes","No")))</f>
        <v/>
      </c>
      <c r="I379" s="183">
        <f>IF(OR(B379="",NOT(ISNUMBER(B379))),"",INT(B379))</f>
        <v/>
      </c>
    </row>
    <row r="380" ht="15" customHeight="1" s="122">
      <c r="A380" s="179" t="inlineStr">
        <is>
          <t>KAA 214B</t>
        </is>
      </c>
      <c r="B380" s="172" t="inlineStr">
        <is>
          <t>24-02-2026 11:46:32</t>
        </is>
      </c>
      <c r="C380" s="172" t="inlineStr">
        <is>
          <t>24-02-2026 12:24:35</t>
        </is>
      </c>
      <c r="D380" s="173" t="inlineStr">
        <is>
          <t>32.67 Km</t>
        </is>
      </c>
      <c r="E380" s="181" t="n">
        <v>54</v>
      </c>
      <c r="F380" s="182" t="n">
        <v>80</v>
      </c>
      <c r="G380" s="172" t="inlineStr">
        <is>
          <t>No</t>
        </is>
      </c>
      <c r="H380" s="170">
        <f>IF(A380="","",IF(OR(NOT(ISNUMBER(C380)),C380=""),"No",IF(AND(HOUR(C380)&gt;=0,HOUR(C380)&lt;5),"Yes","No")))</f>
        <v/>
      </c>
      <c r="I380" s="183">
        <f>IF(OR(B380="",NOT(ISNUMBER(B380))),"",INT(B380))</f>
        <v/>
      </c>
    </row>
    <row r="381" ht="15" customHeight="1" s="122">
      <c r="A381" s="179" t="inlineStr">
        <is>
          <t>KAA 214B</t>
        </is>
      </c>
      <c r="B381" s="172" t="inlineStr">
        <is>
          <t>24-02-2026 12:29:45</t>
        </is>
      </c>
      <c r="C381" s="172" t="inlineStr">
        <is>
          <t>24-02-2026 12:45:49</t>
        </is>
      </c>
      <c r="D381" s="173" t="inlineStr">
        <is>
          <t>15.45 Km</t>
        </is>
      </c>
      <c r="E381" s="181" t="n">
        <v>58</v>
      </c>
      <c r="F381" s="182" t="n">
        <v>81</v>
      </c>
      <c r="G381" s="172" t="inlineStr">
        <is>
          <t>No</t>
        </is>
      </c>
      <c r="H381" s="170">
        <f>IF(A381="","",IF(OR(NOT(ISNUMBER(C381)),C381=""),"No",IF(AND(HOUR(C381)&gt;=0,HOUR(C381)&lt;5),"Yes","No")))</f>
        <v/>
      </c>
      <c r="I381" s="183">
        <f>IF(OR(B381="",NOT(ISNUMBER(B381))),"",INT(B381))</f>
        <v/>
      </c>
    </row>
    <row r="382" ht="15" customHeight="1" s="122">
      <c r="A382" s="179" t="inlineStr">
        <is>
          <t>KAA 214B</t>
        </is>
      </c>
      <c r="B382" s="172" t="inlineStr">
        <is>
          <t>24-02-2026 13:32:07</t>
        </is>
      </c>
      <c r="C382" s="172" t="inlineStr">
        <is>
          <t>24-02-2026 14:23:55</t>
        </is>
      </c>
      <c r="D382" s="173" t="inlineStr">
        <is>
          <t>41.46 Km</t>
        </is>
      </c>
      <c r="E382" s="181" t="n">
        <v>51</v>
      </c>
      <c r="F382" s="182" t="n">
        <v>81</v>
      </c>
      <c r="G382" s="172" t="inlineStr">
        <is>
          <t>No</t>
        </is>
      </c>
      <c r="H382" s="170">
        <f>IF(A382="","",IF(OR(NOT(ISNUMBER(C382)),C382=""),"No",IF(AND(HOUR(C382)&gt;=0,HOUR(C382)&lt;5),"Yes","No")))</f>
        <v/>
      </c>
      <c r="I382" s="183">
        <f>IF(OR(B382="",NOT(ISNUMBER(B382))),"",INT(B382))</f>
        <v/>
      </c>
    </row>
    <row r="383" ht="15" customHeight="1" s="122">
      <c r="A383" s="179" t="inlineStr">
        <is>
          <t>KAA 214B</t>
        </is>
      </c>
      <c r="B383" s="172" t="inlineStr">
        <is>
          <t>24-02-2026 14:59:47</t>
        </is>
      </c>
      <c r="C383" s="172" t="inlineStr">
        <is>
          <t>24-02-2026 15:25:51</t>
        </is>
      </c>
      <c r="D383" s="173" t="inlineStr">
        <is>
          <t>19.39 Km</t>
        </is>
      </c>
      <c r="E383" s="181" t="n">
        <v>50</v>
      </c>
      <c r="F383" s="182" t="n">
        <v>75</v>
      </c>
      <c r="G383" s="172" t="inlineStr">
        <is>
          <t>No</t>
        </is>
      </c>
      <c r="H383" s="170">
        <f>IF(A383="","",IF(OR(NOT(ISNUMBER(C383)),C383=""),"No",IF(AND(HOUR(C383)&gt;=0,HOUR(C383)&lt;5),"Yes","No")))</f>
        <v/>
      </c>
      <c r="I383" s="183">
        <f>IF(OR(B383="",NOT(ISNUMBER(B383))),"",INT(B383))</f>
        <v/>
      </c>
    </row>
    <row r="384" ht="15" customHeight="1" s="122">
      <c r="A384" s="179" t="inlineStr">
        <is>
          <t>KAA 214B</t>
        </is>
      </c>
      <c r="B384" s="172" t="inlineStr">
        <is>
          <t>24-02-2026 15:59:53</t>
        </is>
      </c>
      <c r="C384" s="172" t="inlineStr">
        <is>
          <t>24-02-2026 16:32:43</t>
        </is>
      </c>
      <c r="D384" s="173" t="inlineStr">
        <is>
          <t>24.42 Km</t>
        </is>
      </c>
      <c r="E384" s="181" t="n">
        <v>47</v>
      </c>
      <c r="F384" s="182" t="n">
        <v>76</v>
      </c>
      <c r="G384" s="172" t="inlineStr">
        <is>
          <t>No</t>
        </is>
      </c>
      <c r="H384" s="170">
        <f>IF(A384="","",IF(OR(NOT(ISNUMBER(C384)),C384=""),"No",IF(AND(HOUR(C384)&gt;=0,HOUR(C384)&lt;5),"Yes","No")))</f>
        <v/>
      </c>
      <c r="I384" s="183">
        <f>IF(OR(B384="",NOT(ISNUMBER(B384))),"",INT(B384))</f>
        <v/>
      </c>
    </row>
    <row r="385" ht="15" customHeight="1" s="122">
      <c r="A385" s="179" t="inlineStr">
        <is>
          <t>KAA 214B</t>
        </is>
      </c>
      <c r="B385" s="172" t="inlineStr">
        <is>
          <t>24-02-2026 17:34:30</t>
        </is>
      </c>
      <c r="C385" s="172" t="inlineStr">
        <is>
          <t>24-02-2026 18:11:22</t>
        </is>
      </c>
      <c r="D385" s="173" t="inlineStr">
        <is>
          <t>24.59 Km</t>
        </is>
      </c>
      <c r="E385" s="181" t="n">
        <v>44</v>
      </c>
      <c r="F385" s="182" t="n">
        <v>79</v>
      </c>
      <c r="G385" s="172" t="inlineStr">
        <is>
          <t>No</t>
        </is>
      </c>
      <c r="H385" s="170">
        <f>IF(A385="","",IF(OR(NOT(ISNUMBER(C385)),C385=""),"No",IF(AND(HOUR(C385)&gt;=0,HOUR(C385)&lt;5),"Yes","No")))</f>
        <v/>
      </c>
      <c r="I385" s="183">
        <f>IF(OR(B385="",NOT(ISNUMBER(B385))),"",INT(B385))</f>
        <v/>
      </c>
    </row>
    <row r="386" ht="15" customHeight="1" s="122">
      <c r="A386" s="179" t="inlineStr">
        <is>
          <t>KAA 214B</t>
        </is>
      </c>
      <c r="B386" s="172" t="inlineStr">
        <is>
          <t>24-02-2026 18:27:05</t>
        </is>
      </c>
      <c r="C386" s="172" t="inlineStr">
        <is>
          <t>24-02-2026 18:31:47</t>
        </is>
      </c>
      <c r="D386" s="173" t="inlineStr">
        <is>
          <t>0.33 Km</t>
        </is>
      </c>
      <c r="E386" s="181" t="n">
        <v>10</v>
      </c>
      <c r="F386" s="182" t="n">
        <v>24</v>
      </c>
      <c r="G386" s="172" t="inlineStr">
        <is>
          <t>No</t>
        </is>
      </c>
      <c r="H386" s="170">
        <f>IF(A386="","",IF(OR(NOT(ISNUMBER(C386)),C386=""),"No",IF(AND(HOUR(C386)&gt;=0,HOUR(C386)&lt;5),"Yes","No")))</f>
        <v/>
      </c>
      <c r="I386" s="183">
        <f>IF(OR(B386="",NOT(ISNUMBER(B386))),"",INT(B386))</f>
        <v/>
      </c>
    </row>
    <row r="387" ht="15" customHeight="1" s="122">
      <c r="A387" s="179" t="inlineStr">
        <is>
          <t>KAA 214B</t>
        </is>
      </c>
      <c r="B387" s="172" t="inlineStr">
        <is>
          <t>24-02-2026 18:31:59</t>
        </is>
      </c>
      <c r="C387" s="172" t="inlineStr">
        <is>
          <t>24-02-2026 19:34:37</t>
        </is>
      </c>
      <c r="D387" s="173" t="inlineStr">
        <is>
          <t>45.59 Km</t>
        </is>
      </c>
      <c r="E387" s="181" t="n">
        <v>50</v>
      </c>
      <c r="F387" s="182" t="n">
        <v>81</v>
      </c>
      <c r="G387" s="172" t="inlineStr">
        <is>
          <t>No</t>
        </is>
      </c>
      <c r="H387" s="170">
        <f>IF(A387="","",IF(OR(NOT(ISNUMBER(C387)),C387=""),"No",IF(AND(HOUR(C387)&gt;=0,HOUR(C387)&lt;5),"Yes","No")))</f>
        <v/>
      </c>
      <c r="I387" s="183">
        <f>IF(OR(B387="",NOT(ISNUMBER(B387))),"",INT(B387))</f>
        <v/>
      </c>
    </row>
    <row r="388" ht="15" customHeight="1" s="122">
      <c r="A388" s="179" t="inlineStr">
        <is>
          <t>KAA 214B</t>
        </is>
      </c>
      <c r="B388" s="172" t="inlineStr">
        <is>
          <t>24-02-2026 19:39:43</t>
        </is>
      </c>
      <c r="C388" s="172" t="inlineStr">
        <is>
          <t>24-02-2026 19:41:32</t>
        </is>
      </c>
      <c r="D388" s="173" t="inlineStr">
        <is>
          <t>0.13 Km</t>
        </is>
      </c>
      <c r="E388" s="181" t="n">
        <v>9</v>
      </c>
      <c r="F388" s="182" t="n">
        <v>19</v>
      </c>
      <c r="G388" s="172" t="inlineStr">
        <is>
          <t>No</t>
        </is>
      </c>
      <c r="H388" s="170">
        <f>IF(A388="","",IF(OR(NOT(ISNUMBER(C388)),C388=""),"No",IF(AND(HOUR(C388)&gt;=0,HOUR(C388)&lt;5),"Yes","No")))</f>
        <v/>
      </c>
      <c r="I388" s="183">
        <f>IF(OR(B388="",NOT(ISNUMBER(B388))),"",INT(B388))</f>
        <v/>
      </c>
    </row>
    <row r="389" ht="15" customHeight="1" s="122">
      <c r="A389" s="179" t="inlineStr">
        <is>
          <t>KAA 214B</t>
        </is>
      </c>
      <c r="B389" s="172" t="inlineStr">
        <is>
          <t>24-02-2026 21:24:53</t>
        </is>
      </c>
      <c r="C389" s="172" t="inlineStr">
        <is>
          <t>24-02-2026 21:29:51</t>
        </is>
      </c>
      <c r="D389" s="173" t="inlineStr">
        <is>
          <t>0.55 Km</t>
        </is>
      </c>
      <c r="E389" s="181" t="n">
        <v>8</v>
      </c>
      <c r="F389" s="182" t="n">
        <v>23</v>
      </c>
      <c r="G389" s="172" t="inlineStr">
        <is>
          <t>No</t>
        </is>
      </c>
      <c r="H389" s="170">
        <f>IF(A389="","",IF(OR(NOT(ISNUMBER(C389)),C389=""),"No",IF(AND(HOUR(C389)&gt;=0,HOUR(C389)&lt;5),"Yes","No")))</f>
        <v/>
      </c>
      <c r="I389" s="183">
        <f>IF(OR(B389="",NOT(ISNUMBER(B389))),"",INT(B389))</f>
        <v/>
      </c>
    </row>
    <row r="390" ht="15" customHeight="1" s="122">
      <c r="A390" s="179" t="inlineStr">
        <is>
          <t>KAA 214B</t>
        </is>
      </c>
      <c r="B390" s="172" t="inlineStr">
        <is>
          <t>24-02-2026 21:34:17</t>
        </is>
      </c>
      <c r="C390" s="172" t="inlineStr">
        <is>
          <t>24-02-2026 21:36:30</t>
        </is>
      </c>
      <c r="D390" s="173" t="inlineStr">
        <is>
          <t>0.22 Km</t>
        </is>
      </c>
      <c r="E390" s="181" t="n">
        <v>10</v>
      </c>
      <c r="F390" s="182" t="n">
        <v>12</v>
      </c>
      <c r="G390" s="172" t="inlineStr">
        <is>
          <t>No</t>
        </is>
      </c>
      <c r="H390" s="170">
        <f>IF(A390="","",IF(OR(NOT(ISNUMBER(C390)),C390=""),"No",IF(AND(HOUR(C390)&gt;=0,HOUR(C390)&lt;5),"Yes","No")))</f>
        <v/>
      </c>
      <c r="I390" s="183">
        <f>IF(OR(B390="",NOT(ISNUMBER(B390))),"",INT(B390))</f>
        <v/>
      </c>
    </row>
    <row r="391" ht="15" customHeight="1" s="122">
      <c r="A391" s="179" t="inlineStr">
        <is>
          <t>KAA 214B</t>
        </is>
      </c>
      <c r="B391" s="172" t="inlineStr">
        <is>
          <t>24-02-2026 21:46:09</t>
        </is>
      </c>
      <c r="C391" s="172" t="inlineStr">
        <is>
          <t>24-02-2026 21:49:54</t>
        </is>
      </c>
      <c r="D391" s="173" t="inlineStr">
        <is>
          <t>0.48 Km</t>
        </is>
      </c>
      <c r="E391" s="181" t="n">
        <v>9</v>
      </c>
      <c r="F391" s="182" t="n">
        <v>13</v>
      </c>
      <c r="G391" s="172" t="inlineStr">
        <is>
          <t>No</t>
        </is>
      </c>
      <c r="H391" s="170">
        <f>IF(A391="","",IF(OR(NOT(ISNUMBER(C391)),C391=""),"No",IF(AND(HOUR(C391)&gt;=0,HOUR(C391)&lt;5),"Yes","No")))</f>
        <v/>
      </c>
      <c r="I391" s="183">
        <f>IF(OR(B391="",NOT(ISNUMBER(B391))),"",INT(B391))</f>
        <v/>
      </c>
    </row>
    <row r="392" ht="15" customHeight="1" s="122">
      <c r="A392" s="179" t="inlineStr">
        <is>
          <t>KAA 214B</t>
        </is>
      </c>
      <c r="B392" s="172" t="inlineStr">
        <is>
          <t>25-02-2026 09:10:24</t>
        </is>
      </c>
      <c r="C392" s="172" t="inlineStr">
        <is>
          <t>25-02-2026 09:15:45</t>
        </is>
      </c>
      <c r="D392" s="173" t="inlineStr">
        <is>
          <t>1.04 Km</t>
        </is>
      </c>
      <c r="E392" s="181" t="n">
        <v>11</v>
      </c>
      <c r="F392" s="182" t="n">
        <v>24</v>
      </c>
      <c r="G392" s="172" t="inlineStr">
        <is>
          <t>No</t>
        </is>
      </c>
      <c r="H392" s="170">
        <f>IF(A392="","",IF(OR(NOT(ISNUMBER(C392)),C392=""),"No",IF(AND(HOUR(C392)&gt;=0,HOUR(C392)&lt;5),"Yes","No")))</f>
        <v/>
      </c>
      <c r="I392" s="183">
        <f>IF(OR(B392="",NOT(ISNUMBER(B392))),"",INT(B392))</f>
        <v/>
      </c>
    </row>
    <row r="393" ht="15" customHeight="1" s="122">
      <c r="A393" s="179" t="inlineStr">
        <is>
          <t>KAA 214B</t>
        </is>
      </c>
      <c r="B393" s="172" t="inlineStr">
        <is>
          <t>25-02-2026 10:39:57</t>
        </is>
      </c>
      <c r="C393" s="172" t="inlineStr">
        <is>
          <t>25-02-2026 12:00:35</t>
        </is>
      </c>
      <c r="D393" s="173" t="inlineStr">
        <is>
          <t>86.27 Km</t>
        </is>
      </c>
      <c r="E393" s="181" t="n">
        <v>66</v>
      </c>
      <c r="F393" s="182" t="n">
        <v>85</v>
      </c>
      <c r="G393" s="172" t="inlineStr">
        <is>
          <t>No</t>
        </is>
      </c>
      <c r="H393" s="170">
        <f>IF(A393="","",IF(OR(NOT(ISNUMBER(C393)),C393=""),"No",IF(AND(HOUR(C393)&gt;=0,HOUR(C393)&lt;5),"Yes","No")))</f>
        <v/>
      </c>
      <c r="I393" s="183">
        <f>IF(OR(B393="",NOT(ISNUMBER(B393))),"",INT(B393))</f>
        <v/>
      </c>
    </row>
    <row r="394" ht="15" customHeight="1" s="122">
      <c r="A394" s="179" t="inlineStr">
        <is>
          <t>KAA 214B</t>
        </is>
      </c>
      <c r="B394" s="172" t="inlineStr">
        <is>
          <t>25-02-2026 12:03:54</t>
        </is>
      </c>
      <c r="C394" s="172" t="inlineStr">
        <is>
          <t>25-02-2026 12:04:53</t>
        </is>
      </c>
      <c r="D394" s="173" t="inlineStr">
        <is>
          <t>0.13 Km</t>
        </is>
      </c>
      <c r="E394" s="181" t="n">
        <v>9</v>
      </c>
      <c r="F394" s="182" t="n">
        <v>18</v>
      </c>
      <c r="G394" s="172" t="inlineStr">
        <is>
          <t>No</t>
        </is>
      </c>
      <c r="H394" s="170">
        <f>IF(A394="","",IF(OR(NOT(ISNUMBER(C394)),C394=""),"No",IF(AND(HOUR(C394)&gt;=0,HOUR(C394)&lt;5),"Yes","No")))</f>
        <v/>
      </c>
      <c r="I394" s="183">
        <f>IF(OR(B394="",NOT(ISNUMBER(B394))),"",INT(B394))</f>
        <v/>
      </c>
    </row>
    <row r="395" ht="15" customHeight="1" s="122">
      <c r="A395" s="179" t="inlineStr">
        <is>
          <t>KAA 214B</t>
        </is>
      </c>
      <c r="B395" s="172" t="inlineStr">
        <is>
          <t>25-02-2026 12:27:20</t>
        </is>
      </c>
      <c r="C395" s="172" t="inlineStr">
        <is>
          <t>25-02-2026 12:34:10</t>
        </is>
      </c>
      <c r="D395" s="173" t="inlineStr">
        <is>
          <t>3.07 Km</t>
        </is>
      </c>
      <c r="E395" s="181" t="n">
        <v>24</v>
      </c>
      <c r="F395" s="182" t="n">
        <v>48</v>
      </c>
      <c r="G395" s="172" t="inlineStr">
        <is>
          <t>No</t>
        </is>
      </c>
      <c r="H395" s="170">
        <f>IF(A395="","",IF(OR(NOT(ISNUMBER(C395)),C395=""),"No",IF(AND(HOUR(C395)&gt;=0,HOUR(C395)&lt;5),"Yes","No")))</f>
        <v/>
      </c>
      <c r="I395" s="183">
        <f>IF(OR(B395="",NOT(ISNUMBER(B395))),"",INT(B395))</f>
        <v/>
      </c>
    </row>
    <row r="396" ht="15" customHeight="1" s="122">
      <c r="A396" s="179" t="inlineStr">
        <is>
          <t>KAA 214B</t>
        </is>
      </c>
      <c r="B396" s="172" t="inlineStr">
        <is>
          <t>25-02-2026 12:45:27</t>
        </is>
      </c>
      <c r="C396" s="172" t="inlineStr">
        <is>
          <t>25-02-2026 13:05:05</t>
        </is>
      </c>
      <c r="D396" s="173" t="inlineStr">
        <is>
          <t>5.67 Km</t>
        </is>
      </c>
      <c r="E396" s="181" t="n">
        <v>19</v>
      </c>
      <c r="F396" s="182" t="n">
        <v>65</v>
      </c>
      <c r="G396" s="172" t="inlineStr">
        <is>
          <t>No</t>
        </is>
      </c>
      <c r="H396" s="170">
        <f>IF(A396="","",IF(OR(NOT(ISNUMBER(C396)),C396=""),"No",IF(AND(HOUR(C396)&gt;=0,HOUR(C396)&lt;5),"Yes","No")))</f>
        <v/>
      </c>
      <c r="I396" s="183">
        <f>IF(OR(B396="",NOT(ISNUMBER(B396))),"",INT(B396))</f>
        <v/>
      </c>
    </row>
    <row r="397" ht="15" customHeight="1" s="122">
      <c r="A397" s="179" t="inlineStr">
        <is>
          <t>KAA 214B</t>
        </is>
      </c>
      <c r="B397" s="172" t="inlineStr">
        <is>
          <t>25-02-2026 17:31:20</t>
        </is>
      </c>
      <c r="C397" s="172" t="inlineStr">
        <is>
          <t>25-02-2026 17:48:28</t>
        </is>
      </c>
      <c r="D397" s="173" t="inlineStr">
        <is>
          <t>4.19 Km</t>
        </is>
      </c>
      <c r="E397" s="181" t="n">
        <v>15</v>
      </c>
      <c r="F397" s="182" t="n">
        <v>51</v>
      </c>
      <c r="G397" s="172" t="inlineStr">
        <is>
          <t>No</t>
        </is>
      </c>
      <c r="H397" s="170">
        <f>IF(A397="","",IF(OR(NOT(ISNUMBER(C397)),C397=""),"No",IF(AND(HOUR(C397)&gt;=0,HOUR(C397)&lt;5),"Yes","No")))</f>
        <v/>
      </c>
      <c r="I397" s="183">
        <f>IF(OR(B397="",NOT(ISNUMBER(B397))),"",INT(B397))</f>
        <v/>
      </c>
    </row>
    <row r="398" ht="15" customHeight="1" s="122">
      <c r="A398" s="179" t="inlineStr">
        <is>
          <t>KAA 214B</t>
        </is>
      </c>
      <c r="B398" s="172" t="inlineStr">
        <is>
          <t>25-02-2026 17:58:21</t>
        </is>
      </c>
      <c r="C398" s="172" t="inlineStr">
        <is>
          <t>25-02-2026 19:20:58</t>
        </is>
      </c>
      <c r="D398" s="173" t="inlineStr">
        <is>
          <t>89.72 Km</t>
        </is>
      </c>
      <c r="E398" s="181" t="n">
        <v>67</v>
      </c>
      <c r="F398" s="182" t="n">
        <v>91</v>
      </c>
      <c r="G398" s="172" t="inlineStr">
        <is>
          <t>No</t>
        </is>
      </c>
      <c r="H398" s="170">
        <f>IF(A398="","",IF(OR(NOT(ISNUMBER(C398)),C398=""),"No",IF(AND(HOUR(C398)&gt;=0,HOUR(C398)&lt;5),"Yes","No")))</f>
        <v/>
      </c>
      <c r="I398" s="183">
        <f>IF(OR(B398="",NOT(ISNUMBER(B398))),"",INT(B398))</f>
        <v/>
      </c>
    </row>
    <row r="399" ht="15" customHeight="1" s="122">
      <c r="A399" s="179" t="inlineStr">
        <is>
          <t>KAA 214B</t>
        </is>
      </c>
      <c r="B399" s="172" t="inlineStr">
        <is>
          <t>25-02-2026 19:58:23</t>
        </is>
      </c>
      <c r="C399" s="172" t="inlineStr">
        <is>
          <t>25-02-2026 21:39:50</t>
        </is>
      </c>
      <c r="D399" s="173" t="inlineStr">
        <is>
          <t>77.13 Km</t>
        </is>
      </c>
      <c r="E399" s="181" t="n">
        <v>49</v>
      </c>
      <c r="F399" s="182" t="n">
        <v>81</v>
      </c>
      <c r="G399" s="172" t="inlineStr">
        <is>
          <t>No</t>
        </is>
      </c>
      <c r="H399" s="170">
        <f>IF(A399="","",IF(OR(NOT(ISNUMBER(C399)),C399=""),"No",IF(AND(HOUR(C399)&gt;=0,HOUR(C399)&lt;5),"Yes","No")))</f>
        <v/>
      </c>
      <c r="I399" s="183">
        <f>IF(OR(B399="",NOT(ISNUMBER(B399))),"",INT(B399))</f>
        <v/>
      </c>
    </row>
    <row r="400" ht="15" customHeight="1" s="122">
      <c r="A400" s="179" t="inlineStr">
        <is>
          <t>KAA 214B</t>
        </is>
      </c>
      <c r="B400" s="172" t="inlineStr">
        <is>
          <t>25-02-2026 21:42:27</t>
        </is>
      </c>
      <c r="C400" s="172" t="inlineStr">
        <is>
          <t>25-02-2026 22:43:05</t>
        </is>
      </c>
      <c r="D400" s="173" t="inlineStr">
        <is>
          <t>53.15 Km</t>
        </is>
      </c>
      <c r="E400" s="181" t="n">
        <v>55</v>
      </c>
      <c r="F400" s="182" t="n">
        <v>89</v>
      </c>
      <c r="G400" s="172" t="inlineStr">
        <is>
          <t>Yes</t>
        </is>
      </c>
      <c r="H400" s="170">
        <f>IF(A400="","",IF(OR(NOT(ISNUMBER(C400)),C400=""),"No",IF(AND(HOUR(C400)&gt;=0,HOUR(C400)&lt;5),"Yes","No")))</f>
        <v/>
      </c>
      <c r="I400" s="183">
        <f>IF(OR(B400="",NOT(ISNUMBER(B400))),"",INT(B400))</f>
        <v/>
      </c>
    </row>
    <row r="401" ht="15" customHeight="1" s="122">
      <c r="A401" s="179" t="inlineStr">
        <is>
          <t>KAA 214B</t>
        </is>
      </c>
      <c r="B401" s="172" t="inlineStr">
        <is>
          <t>26-02-2026 07:57:26</t>
        </is>
      </c>
      <c r="C401" s="172" t="inlineStr">
        <is>
          <t>26-02-2026 08:40:47</t>
        </is>
      </c>
      <c r="D401" s="173" t="inlineStr">
        <is>
          <t>26.63 Km</t>
        </is>
      </c>
      <c r="E401" s="181" t="n">
        <v>38</v>
      </c>
      <c r="F401" s="182" t="n">
        <v>74</v>
      </c>
      <c r="G401" s="172" t="inlineStr">
        <is>
          <t>No</t>
        </is>
      </c>
      <c r="H401" s="170">
        <f>IF(A401="","",IF(OR(NOT(ISNUMBER(C401)),C401=""),"No",IF(AND(HOUR(C401)&gt;=0,HOUR(C401)&lt;5),"Yes","No")))</f>
        <v/>
      </c>
      <c r="I401" s="183">
        <f>IF(OR(B401="",NOT(ISNUMBER(B401))),"",INT(B401))</f>
        <v/>
      </c>
    </row>
    <row r="402" ht="15" customHeight="1" s="122">
      <c r="A402" s="179" t="inlineStr">
        <is>
          <t>KAA 214B</t>
        </is>
      </c>
      <c r="B402" s="172" t="inlineStr">
        <is>
          <t>26-02-2026 10:04:54</t>
        </is>
      </c>
      <c r="C402" s="172" t="inlineStr">
        <is>
          <t>26-02-2026 10:08:53</t>
        </is>
      </c>
      <c r="D402" s="173" t="inlineStr">
        <is>
          <t>1.01 Km</t>
        </is>
      </c>
      <c r="E402" s="181" t="n">
        <v>13</v>
      </c>
      <c r="F402" s="182" t="n">
        <v>26</v>
      </c>
      <c r="G402" s="172" t="inlineStr">
        <is>
          <t>No</t>
        </is>
      </c>
      <c r="H402" s="170">
        <f>IF(A402="","",IF(OR(NOT(ISNUMBER(C402)),C402=""),"No",IF(AND(HOUR(C402)&gt;=0,HOUR(C402)&lt;5),"Yes","No")))</f>
        <v/>
      </c>
      <c r="I402" s="183">
        <f>IF(OR(B402="",NOT(ISNUMBER(B402))),"",INT(B402))</f>
        <v/>
      </c>
    </row>
    <row r="403" ht="15" customHeight="1" s="122">
      <c r="A403" s="179" t="inlineStr">
        <is>
          <t>KAA 214B</t>
        </is>
      </c>
      <c r="B403" s="172" t="inlineStr">
        <is>
          <t>26-02-2026 10:43:47</t>
        </is>
      </c>
      <c r="C403" s="172" t="inlineStr">
        <is>
          <t>26-02-2026 10:45:18</t>
        </is>
      </c>
      <c r="D403" s="173" t="inlineStr">
        <is>
          <t>0.15 Km</t>
        </is>
      </c>
      <c r="E403" s="181" t="n">
        <v>9</v>
      </c>
      <c r="F403" s="182" t="n">
        <v>17</v>
      </c>
      <c r="G403" s="172" t="inlineStr">
        <is>
          <t>No</t>
        </is>
      </c>
      <c r="H403" s="170">
        <f>IF(A403="","",IF(OR(NOT(ISNUMBER(C403)),C403=""),"No",IF(AND(HOUR(C403)&gt;=0,HOUR(C403)&lt;5),"Yes","No")))</f>
        <v/>
      </c>
      <c r="I403" s="183">
        <f>IF(OR(B403="",NOT(ISNUMBER(B403))),"",INT(B403))</f>
        <v/>
      </c>
    </row>
    <row r="404" ht="15" customHeight="1" s="122">
      <c r="A404" s="179" t="inlineStr">
        <is>
          <t>KAA 214B</t>
        </is>
      </c>
      <c r="B404" s="172" t="inlineStr">
        <is>
          <t>26-02-2026 10:50:08</t>
        </is>
      </c>
      <c r="C404" s="172" t="inlineStr">
        <is>
          <t>26-02-2026 10:54:52</t>
        </is>
      </c>
      <c r="D404" s="173" t="inlineStr">
        <is>
          <t>0.76 Km</t>
        </is>
      </c>
      <c r="E404" s="181" t="n">
        <v>9</v>
      </c>
      <c r="F404" s="182" t="n">
        <v>22</v>
      </c>
      <c r="G404" s="172" t="inlineStr">
        <is>
          <t>No</t>
        </is>
      </c>
      <c r="H404" s="170">
        <f>IF(A404="","",IF(OR(NOT(ISNUMBER(C404)),C404=""),"No",IF(AND(HOUR(C404)&gt;=0,HOUR(C404)&lt;5),"Yes","No")))</f>
        <v/>
      </c>
      <c r="I404" s="183">
        <f>IF(OR(B404="",NOT(ISNUMBER(B404))),"",INT(B404))</f>
        <v/>
      </c>
    </row>
    <row r="405" ht="15" customHeight="1" s="122">
      <c r="A405" s="179" t="inlineStr">
        <is>
          <t>KAA 214B</t>
        </is>
      </c>
      <c r="B405" s="172" t="inlineStr">
        <is>
          <t>26-02-2026 11:08:10</t>
        </is>
      </c>
      <c r="C405" s="172" t="inlineStr">
        <is>
          <t>26-02-2026 11:08:37</t>
        </is>
      </c>
      <c r="D405" s="173" t="inlineStr">
        <is>
          <t>0.05 Km</t>
        </is>
      </c>
      <c r="E405" s="181" t="n">
        <v>8</v>
      </c>
      <c r="F405" s="182" t="n">
        <v>9</v>
      </c>
      <c r="G405" s="172" t="inlineStr">
        <is>
          <t>No</t>
        </is>
      </c>
      <c r="H405" s="170">
        <f>IF(A405="","",IF(OR(NOT(ISNUMBER(C405)),C405=""),"No",IF(AND(HOUR(C405)&gt;=0,HOUR(C405)&lt;5),"Yes","No")))</f>
        <v/>
      </c>
      <c r="I405" s="183">
        <f>IF(OR(B405="",NOT(ISNUMBER(B405))),"",INT(B405))</f>
        <v/>
      </c>
    </row>
    <row r="406" ht="15" customHeight="1" s="122">
      <c r="A406" s="179" t="inlineStr">
        <is>
          <t>KAA 214B</t>
        </is>
      </c>
      <c r="B406" s="172" t="inlineStr">
        <is>
          <t>26-02-2026 11:45:00</t>
        </is>
      </c>
      <c r="C406" s="172" t="inlineStr">
        <is>
          <t>26-02-2026 11:48:31</t>
        </is>
      </c>
      <c r="D406" s="173" t="inlineStr">
        <is>
          <t>0.5 Km</t>
        </is>
      </c>
      <c r="E406" s="181" t="n">
        <v>15</v>
      </c>
      <c r="F406" s="182" t="n">
        <v>30</v>
      </c>
      <c r="G406" s="172" t="inlineStr">
        <is>
          <t>No</t>
        </is>
      </c>
      <c r="H406" s="170">
        <f>IF(A406="","",IF(OR(NOT(ISNUMBER(C406)),C406=""),"No",IF(AND(HOUR(C406)&gt;=0,HOUR(C406)&lt;5),"Yes","No")))</f>
        <v/>
      </c>
      <c r="I406" s="183">
        <f>IF(OR(B406="",NOT(ISNUMBER(B406))),"",INT(B406))</f>
        <v/>
      </c>
    </row>
    <row r="407" ht="15" customHeight="1" s="122">
      <c r="A407" s="179" t="inlineStr">
        <is>
          <t>KAA 214B</t>
        </is>
      </c>
      <c r="B407" s="172" t="inlineStr">
        <is>
          <t>26-02-2026 11:54:15</t>
        </is>
      </c>
      <c r="C407" s="172" t="inlineStr">
        <is>
          <t>26-02-2026 11:57:55</t>
        </is>
      </c>
      <c r="D407" s="173" t="inlineStr">
        <is>
          <t>0.63 Km</t>
        </is>
      </c>
      <c r="E407" s="181" t="n">
        <v>13</v>
      </c>
      <c r="F407" s="182" t="n">
        <v>34</v>
      </c>
      <c r="G407" s="172" t="inlineStr">
        <is>
          <t>No</t>
        </is>
      </c>
      <c r="H407" s="170">
        <f>IF(A407="","",IF(OR(NOT(ISNUMBER(C407)),C407=""),"No",IF(AND(HOUR(C407)&gt;=0,HOUR(C407)&lt;5),"Yes","No")))</f>
        <v/>
      </c>
      <c r="I407" s="183">
        <f>IF(OR(B407="",NOT(ISNUMBER(B407))),"",INT(B407))</f>
        <v/>
      </c>
    </row>
    <row r="408" ht="15" customHeight="1" s="122">
      <c r="A408" s="179" t="inlineStr">
        <is>
          <t>KAA 214B</t>
        </is>
      </c>
      <c r="B408" s="172" t="inlineStr">
        <is>
          <t>26-02-2026 13:50:14</t>
        </is>
      </c>
      <c r="C408" s="172" t="inlineStr">
        <is>
          <t>26-02-2026 13:55:53</t>
        </is>
      </c>
      <c r="D408" s="173" t="inlineStr">
        <is>
          <t>1.14 Km</t>
        </is>
      </c>
      <c r="E408" s="181" t="n">
        <v>16</v>
      </c>
      <c r="F408" s="182" t="n">
        <v>46</v>
      </c>
      <c r="G408" s="172" t="inlineStr">
        <is>
          <t>No</t>
        </is>
      </c>
      <c r="H408" s="170">
        <f>IF(A408="","",IF(OR(NOT(ISNUMBER(C408)),C408=""),"No",IF(AND(HOUR(C408)&gt;=0,HOUR(C408)&lt;5),"Yes","No")))</f>
        <v/>
      </c>
      <c r="I408" s="183">
        <f>IF(OR(B408="",NOT(ISNUMBER(B408))),"",INT(B408))</f>
        <v/>
      </c>
    </row>
    <row r="409" ht="15" customHeight="1" s="122">
      <c r="A409" s="179" t="inlineStr">
        <is>
          <t>KAA 214B</t>
        </is>
      </c>
      <c r="B409" s="172" t="inlineStr">
        <is>
          <t>26-02-2026 14:32:38</t>
        </is>
      </c>
      <c r="C409" s="172" t="inlineStr">
        <is>
          <t>26-02-2026 14:42:00</t>
        </is>
      </c>
      <c r="D409" s="173" t="inlineStr">
        <is>
          <t>1.42 Km</t>
        </is>
      </c>
      <c r="E409" s="181" t="n">
        <v>13</v>
      </c>
      <c r="F409" s="182" t="n">
        <v>47</v>
      </c>
      <c r="G409" s="172" t="inlineStr">
        <is>
          <t>No</t>
        </is>
      </c>
      <c r="H409" s="170">
        <f>IF(A409="","",IF(OR(NOT(ISNUMBER(C409)),C409=""),"No",IF(AND(HOUR(C409)&gt;=0,HOUR(C409)&lt;5),"Yes","No")))</f>
        <v/>
      </c>
      <c r="I409" s="183">
        <f>IF(OR(B409="",NOT(ISNUMBER(B409))),"",INT(B409))</f>
        <v/>
      </c>
    </row>
    <row r="410" ht="15" customHeight="1" s="122">
      <c r="A410" s="179" t="inlineStr">
        <is>
          <t>KAA 214B</t>
        </is>
      </c>
      <c r="B410" s="172" t="inlineStr">
        <is>
          <t>26-02-2026 15:22:47</t>
        </is>
      </c>
      <c r="C410" s="172" t="inlineStr">
        <is>
          <t>26-02-2026 15:26:36</t>
        </is>
      </c>
      <c r="D410" s="173" t="inlineStr">
        <is>
          <t>0.55 Km</t>
        </is>
      </c>
      <c r="E410" s="181" t="n">
        <v>10</v>
      </c>
      <c r="F410" s="182" t="n">
        <v>21</v>
      </c>
      <c r="G410" s="172" t="inlineStr">
        <is>
          <t>No</t>
        </is>
      </c>
      <c r="H410" s="170">
        <f>IF(A410="","",IF(OR(NOT(ISNUMBER(C410)),C410=""),"No",IF(AND(HOUR(C410)&gt;=0,HOUR(C410)&lt;5),"Yes","No")))</f>
        <v/>
      </c>
      <c r="I410" s="183">
        <f>IF(OR(B410="",NOT(ISNUMBER(B410))),"",INT(B410))</f>
        <v/>
      </c>
    </row>
    <row r="411" ht="15" customHeight="1" s="122">
      <c r="A411" s="179" t="inlineStr">
        <is>
          <t>KAA 214B</t>
        </is>
      </c>
      <c r="B411" s="172" t="inlineStr">
        <is>
          <t>26-02-2026 15:45:13</t>
        </is>
      </c>
      <c r="C411" s="172" t="inlineStr">
        <is>
          <t>26-02-2026 15:49:25</t>
        </is>
      </c>
      <c r="D411" s="173" t="inlineStr">
        <is>
          <t>0.66 Km</t>
        </is>
      </c>
      <c r="E411" s="181" t="n">
        <v>10</v>
      </c>
      <c r="F411" s="182" t="n">
        <v>27</v>
      </c>
      <c r="G411" s="172" t="inlineStr">
        <is>
          <t>No</t>
        </is>
      </c>
      <c r="H411" s="170">
        <f>IF(A411="","",IF(OR(NOT(ISNUMBER(C411)),C411=""),"No",IF(AND(HOUR(C411)&gt;=0,HOUR(C411)&lt;5),"Yes","No")))</f>
        <v/>
      </c>
      <c r="I411" s="183">
        <f>IF(OR(B411="",NOT(ISNUMBER(B411))),"",INT(B411))</f>
        <v/>
      </c>
    </row>
    <row r="412" ht="15" customHeight="1" s="122">
      <c r="A412" s="179" t="inlineStr">
        <is>
          <t>KAA 214B</t>
        </is>
      </c>
      <c r="B412" s="172" t="inlineStr">
        <is>
          <t>26-02-2026 15:55:13</t>
        </is>
      </c>
      <c r="C412" s="172" t="inlineStr">
        <is>
          <t>26-02-2026 15:58:25</t>
        </is>
      </c>
      <c r="D412" s="173" t="inlineStr">
        <is>
          <t>0.32 Km</t>
        </is>
      </c>
      <c r="E412" s="181" t="n">
        <v>8</v>
      </c>
      <c r="F412" s="182" t="n">
        <v>16</v>
      </c>
      <c r="G412" s="172" t="inlineStr">
        <is>
          <t>No</t>
        </is>
      </c>
      <c r="H412" s="170">
        <f>IF(A412="","",IF(OR(NOT(ISNUMBER(C412)),C412=""),"No",IF(AND(HOUR(C412)&gt;=0,HOUR(C412)&lt;5),"Yes","No")))</f>
        <v/>
      </c>
      <c r="I412" s="183">
        <f>IF(OR(B412="",NOT(ISNUMBER(B412))),"",INT(B412))</f>
        <v/>
      </c>
    </row>
    <row r="413" ht="15" customHeight="1" s="122">
      <c r="A413" s="179" t="inlineStr">
        <is>
          <t>KAA 214B</t>
        </is>
      </c>
      <c r="B413" s="172" t="inlineStr">
        <is>
          <t>26-02-2026 16:01:59</t>
        </is>
      </c>
      <c r="C413" s="172" t="inlineStr">
        <is>
          <t>26-02-2026 16:09:19</t>
        </is>
      </c>
      <c r="D413" s="173" t="inlineStr">
        <is>
          <t>0.96 Km</t>
        </is>
      </c>
      <c r="E413" s="181" t="n">
        <v>10</v>
      </c>
      <c r="F413" s="182" t="n">
        <v>25</v>
      </c>
      <c r="G413" s="172" t="inlineStr">
        <is>
          <t>No</t>
        </is>
      </c>
      <c r="H413" s="170">
        <f>IF(A413="","",IF(OR(NOT(ISNUMBER(C413)),C413=""),"No",IF(AND(HOUR(C413)&gt;=0,HOUR(C413)&lt;5),"Yes","No")))</f>
        <v/>
      </c>
      <c r="I413" s="183">
        <f>IF(OR(B413="",NOT(ISNUMBER(B413))),"",INT(B413))</f>
        <v/>
      </c>
    </row>
    <row r="414" ht="15" customHeight="1" s="122">
      <c r="A414" s="179" t="inlineStr">
        <is>
          <t>KAA 214B</t>
        </is>
      </c>
      <c r="B414" s="172" t="inlineStr">
        <is>
          <t>26-02-2026 17:14:17</t>
        </is>
      </c>
      <c r="C414" s="172" t="inlineStr">
        <is>
          <t>26-02-2026 17:14:31</t>
        </is>
      </c>
      <c r="D414" s="173" t="inlineStr">
        <is>
          <t>0.02 Km</t>
        </is>
      </c>
      <c r="E414" s="181" t="n">
        <v>6</v>
      </c>
      <c r="F414" s="182" t="n">
        <v>6</v>
      </c>
      <c r="G414" s="172" t="inlineStr">
        <is>
          <t>No</t>
        </is>
      </c>
      <c r="H414" s="170">
        <f>IF(A414="","",IF(OR(NOT(ISNUMBER(C414)),C414=""),"No",IF(AND(HOUR(C414)&gt;=0,HOUR(C414)&lt;5),"Yes","No")))</f>
        <v/>
      </c>
      <c r="I414" s="183">
        <f>IF(OR(B414="",NOT(ISNUMBER(B414))),"",INT(B414))</f>
        <v/>
      </c>
    </row>
    <row r="415" ht="15" customHeight="1" s="122">
      <c r="A415" s="179" t="inlineStr">
        <is>
          <t>KAA 214B</t>
        </is>
      </c>
      <c r="B415" s="172" t="inlineStr">
        <is>
          <t>26-02-2026 17:58:59</t>
        </is>
      </c>
      <c r="C415" s="172" t="inlineStr">
        <is>
          <t>26-02-2026 18:03:40</t>
        </is>
      </c>
      <c r="D415" s="173" t="inlineStr">
        <is>
          <t>0.52 Km</t>
        </is>
      </c>
      <c r="E415" s="181" t="n">
        <v>10</v>
      </c>
      <c r="F415" s="182" t="n">
        <v>21</v>
      </c>
      <c r="G415" s="172" t="inlineStr">
        <is>
          <t>No</t>
        </is>
      </c>
      <c r="H415" s="170">
        <f>IF(A415="","",IF(OR(NOT(ISNUMBER(C415)),C415=""),"No",IF(AND(HOUR(C415)&gt;=0,HOUR(C415)&lt;5),"Yes","No")))</f>
        <v/>
      </c>
      <c r="I415" s="183">
        <f>IF(OR(B415="",NOT(ISNUMBER(B415))),"",INT(B415))</f>
        <v/>
      </c>
    </row>
    <row r="416" ht="15" customHeight="1" s="122">
      <c r="A416" s="179" t="inlineStr">
        <is>
          <t>KAA 214B</t>
        </is>
      </c>
      <c r="B416" s="172" t="inlineStr">
        <is>
          <t>26-02-2026 18:10:24</t>
        </is>
      </c>
      <c r="C416" s="172" t="inlineStr">
        <is>
          <t>26-02-2026 18:26:28</t>
        </is>
      </c>
      <c r="D416" s="173" t="inlineStr">
        <is>
          <t>2.05 Km</t>
        </is>
      </c>
      <c r="E416" s="181" t="n">
        <v>9</v>
      </c>
      <c r="F416" s="182" t="n">
        <v>31</v>
      </c>
      <c r="G416" s="172" t="inlineStr">
        <is>
          <t>No</t>
        </is>
      </c>
      <c r="H416" s="170">
        <f>IF(A416="","",IF(OR(NOT(ISNUMBER(C416)),C416=""),"No",IF(AND(HOUR(C416)&gt;=0,HOUR(C416)&lt;5),"Yes","No")))</f>
        <v/>
      </c>
      <c r="I416" s="183">
        <f>IF(OR(B416="",NOT(ISNUMBER(B416))),"",INT(B416))</f>
        <v/>
      </c>
    </row>
    <row r="417" ht="15" customHeight="1" s="122">
      <c r="A417" s="179" t="inlineStr">
        <is>
          <t>KAA 214B</t>
        </is>
      </c>
      <c r="B417" s="172" t="inlineStr">
        <is>
          <t>26-02-2026 18:53:54</t>
        </is>
      </c>
      <c r="C417" s="172" t="inlineStr">
        <is>
          <t>26-02-2026 18:56:03</t>
        </is>
      </c>
      <c r="D417" s="173" t="inlineStr">
        <is>
          <t>0.15 Km</t>
        </is>
      </c>
      <c r="E417" s="181" t="n">
        <v>9</v>
      </c>
      <c r="F417" s="182" t="n">
        <v>19</v>
      </c>
      <c r="G417" s="172" t="inlineStr">
        <is>
          <t>No</t>
        </is>
      </c>
      <c r="H417" s="170">
        <f>IF(A417="","",IF(OR(NOT(ISNUMBER(C417)),C417=""),"No",IF(AND(HOUR(C417)&gt;=0,HOUR(C417)&lt;5),"Yes","No")))</f>
        <v/>
      </c>
      <c r="I417" s="183">
        <f>IF(OR(B417="",NOT(ISNUMBER(B417))),"",INT(B417))</f>
        <v/>
      </c>
    </row>
    <row r="418" ht="15" customHeight="1" s="122">
      <c r="A418" s="179" t="inlineStr">
        <is>
          <t>KAA 214B</t>
        </is>
      </c>
      <c r="B418" s="172" t="inlineStr">
        <is>
          <t>26-02-2026 19:30:11</t>
        </is>
      </c>
      <c r="C418" s="172" t="inlineStr">
        <is>
          <t>26-02-2026 20:16:46</t>
        </is>
      </c>
      <c r="D418" s="173" t="inlineStr">
        <is>
          <t>26.39 Km</t>
        </is>
      </c>
      <c r="E418" s="181" t="n">
        <v>36</v>
      </c>
      <c r="F418" s="182" t="n">
        <v>76</v>
      </c>
      <c r="G418" s="172" t="inlineStr">
        <is>
          <t>No</t>
        </is>
      </c>
      <c r="H418" s="170">
        <f>IF(A418="","",IF(OR(NOT(ISNUMBER(C418)),C418=""),"No",IF(AND(HOUR(C418)&gt;=0,HOUR(C418)&lt;5),"Yes","No")))</f>
        <v/>
      </c>
      <c r="I418" s="183">
        <f>IF(OR(B418="",NOT(ISNUMBER(B418))),"",INT(B418))</f>
        <v/>
      </c>
    </row>
    <row r="419" ht="15" customHeight="1" s="122">
      <c r="A419" s="179" t="inlineStr">
        <is>
          <t>KAA 214B</t>
        </is>
      </c>
      <c r="B419" s="172" t="inlineStr">
        <is>
          <t>27-02-2026 08:03:51</t>
        </is>
      </c>
      <c r="C419" s="172" t="inlineStr">
        <is>
          <t>27-02-2026 08:49:58</t>
        </is>
      </c>
      <c r="D419" s="173" t="inlineStr">
        <is>
          <t>26.61 Km</t>
        </is>
      </c>
      <c r="E419" s="181" t="n">
        <v>38</v>
      </c>
      <c r="F419" s="182" t="n">
        <v>79</v>
      </c>
      <c r="G419" s="172" t="inlineStr">
        <is>
          <t>No</t>
        </is>
      </c>
      <c r="H419" s="170">
        <f>IF(A419="","",IF(OR(NOT(ISNUMBER(C419)),C419=""),"No",IF(AND(HOUR(C419)&gt;=0,HOUR(C419)&lt;5),"Yes","No")))</f>
        <v/>
      </c>
      <c r="I419" s="183">
        <f>IF(OR(B419="",NOT(ISNUMBER(B419))),"",INT(B419))</f>
        <v/>
      </c>
    </row>
    <row r="420" ht="15" customHeight="1" s="122">
      <c r="A420" s="179" t="inlineStr">
        <is>
          <t>KAA 214B</t>
        </is>
      </c>
      <c r="B420" s="172" t="inlineStr">
        <is>
          <t>27-02-2026 08:53:00</t>
        </is>
      </c>
      <c r="C420" s="172" t="inlineStr">
        <is>
          <t>27-02-2026 08:55:33</t>
        </is>
      </c>
      <c r="D420" s="173" t="inlineStr">
        <is>
          <t>0.49 Km</t>
        </is>
      </c>
      <c r="E420" s="181" t="n">
        <v>12</v>
      </c>
      <c r="F420" s="182" t="n">
        <v>22</v>
      </c>
      <c r="G420" s="172" t="inlineStr">
        <is>
          <t>No</t>
        </is>
      </c>
      <c r="H420" s="170">
        <f>IF(A420="","",IF(OR(NOT(ISNUMBER(C420)),C420=""),"No",IF(AND(HOUR(C420)&gt;=0,HOUR(C420)&lt;5),"Yes","No")))</f>
        <v/>
      </c>
      <c r="I420" s="183">
        <f>IF(OR(B420="",NOT(ISNUMBER(B420))),"",INT(B420))</f>
        <v/>
      </c>
    </row>
    <row r="421" ht="15" customHeight="1" s="122">
      <c r="A421" s="179" t="inlineStr">
        <is>
          <t>KAA 214B</t>
        </is>
      </c>
      <c r="B421" s="172" t="inlineStr">
        <is>
          <t>27-02-2026 08:57:23</t>
        </is>
      </c>
      <c r="C421" s="172" t="inlineStr">
        <is>
          <t>27-02-2026 08:58:03</t>
        </is>
      </c>
      <c r="D421" s="173" t="inlineStr">
        <is>
          <t>0.08 Km</t>
        </is>
      </c>
      <c r="E421" s="181" t="n">
        <v>8</v>
      </c>
      <c r="F421" s="182" t="n">
        <v>13</v>
      </c>
      <c r="G421" s="172" t="inlineStr">
        <is>
          <t>No</t>
        </is>
      </c>
      <c r="H421" s="170">
        <f>IF(A421="","",IF(OR(NOT(ISNUMBER(C421)),C421=""),"No",IF(AND(HOUR(C421)&gt;=0,HOUR(C421)&lt;5),"Yes","No")))</f>
        <v/>
      </c>
      <c r="I421" s="183">
        <f>IF(OR(B421="",NOT(ISNUMBER(B421))),"",INT(B421))</f>
        <v/>
      </c>
    </row>
    <row r="422" ht="15" customHeight="1" s="122">
      <c r="A422" s="179" t="inlineStr">
        <is>
          <t>KAA 214B</t>
        </is>
      </c>
      <c r="B422" s="172" t="inlineStr">
        <is>
          <t>27-02-2026 10:29:50</t>
        </is>
      </c>
      <c r="C422" s="172" t="inlineStr">
        <is>
          <t>27-02-2026 10:30:35</t>
        </is>
      </c>
      <c r="D422" s="173" t="inlineStr">
        <is>
          <t>0.02 Km</t>
        </is>
      </c>
      <c r="E422" s="181" t="n">
        <v>6</v>
      </c>
      <c r="F422" s="182" t="n">
        <v>6</v>
      </c>
      <c r="G422" s="172" t="inlineStr">
        <is>
          <t>No</t>
        </is>
      </c>
      <c r="H422" s="170">
        <f>IF(A422="","",IF(OR(NOT(ISNUMBER(C422)),C422=""),"No",IF(AND(HOUR(C422)&gt;=0,HOUR(C422)&lt;5),"Yes","No")))</f>
        <v/>
      </c>
      <c r="I422" s="183">
        <f>IF(OR(B422="",NOT(ISNUMBER(B422))),"",INT(B422))</f>
        <v/>
      </c>
    </row>
    <row r="423" ht="15" customHeight="1" s="122">
      <c r="A423" s="179" t="inlineStr">
        <is>
          <t>KAA 214B</t>
        </is>
      </c>
      <c r="B423" s="172" t="inlineStr">
        <is>
          <t>27-02-2026 10:44:08</t>
        </is>
      </c>
      <c r="C423" s="172" t="inlineStr">
        <is>
          <t>27-02-2026 10:45:16</t>
        </is>
      </c>
      <c r="D423" s="173" t="inlineStr">
        <is>
          <t>0.02 Km</t>
        </is>
      </c>
      <c r="E423" s="181" t="n">
        <v>7</v>
      </c>
      <c r="F423" s="182" t="n">
        <v>8</v>
      </c>
      <c r="G423" s="172" t="inlineStr">
        <is>
          <t>No</t>
        </is>
      </c>
      <c r="H423" s="170">
        <f>IF(A423="","",IF(OR(NOT(ISNUMBER(C423)),C423=""),"No",IF(AND(HOUR(C423)&gt;=0,HOUR(C423)&lt;5),"Yes","No")))</f>
        <v/>
      </c>
      <c r="I423" s="183">
        <f>IF(OR(B423="",NOT(ISNUMBER(B423))),"",INT(B423))</f>
        <v/>
      </c>
    </row>
    <row r="424" ht="15" customHeight="1" s="122">
      <c r="A424" s="179" t="inlineStr">
        <is>
          <t>KAA 214B</t>
        </is>
      </c>
      <c r="B424" s="172" t="inlineStr">
        <is>
          <t>27-02-2026 11:50:51</t>
        </is>
      </c>
      <c r="C424" s="172" t="inlineStr">
        <is>
          <t>27-02-2026 11:54:08</t>
        </is>
      </c>
      <c r="D424" s="173" t="inlineStr">
        <is>
          <t>0.51 Km</t>
        </is>
      </c>
      <c r="E424" s="181" t="n">
        <v>14</v>
      </c>
      <c r="F424" s="182" t="n">
        <v>38</v>
      </c>
      <c r="G424" s="172" t="inlineStr">
        <is>
          <t>No</t>
        </is>
      </c>
      <c r="H424" s="170">
        <f>IF(A424="","",IF(OR(NOT(ISNUMBER(C424)),C424=""),"No",IF(AND(HOUR(C424)&gt;=0,HOUR(C424)&lt;5),"Yes","No")))</f>
        <v/>
      </c>
      <c r="I424" s="183">
        <f>IF(OR(B424="",NOT(ISNUMBER(B424))),"",INT(B424))</f>
        <v/>
      </c>
    </row>
    <row r="425" ht="15" customHeight="1" s="122">
      <c r="A425" s="179" t="inlineStr">
        <is>
          <t>KAA 214B</t>
        </is>
      </c>
      <c r="B425" s="172" t="inlineStr">
        <is>
          <t>27-02-2026 12:07:38</t>
        </is>
      </c>
      <c r="C425" s="172" t="inlineStr">
        <is>
          <t>27-02-2026 12:11:46</t>
        </is>
      </c>
      <c r="D425" s="173" t="inlineStr">
        <is>
          <t>0.55 Km</t>
        </is>
      </c>
      <c r="E425" s="181" t="n">
        <v>10</v>
      </c>
      <c r="F425" s="182" t="n">
        <v>23</v>
      </c>
      <c r="G425" s="172" t="inlineStr">
        <is>
          <t>No</t>
        </is>
      </c>
      <c r="H425" s="170">
        <f>IF(A425="","",IF(OR(NOT(ISNUMBER(C425)),C425=""),"No",IF(AND(HOUR(C425)&gt;=0,HOUR(C425)&lt;5),"Yes","No")))</f>
        <v/>
      </c>
      <c r="I425" s="183">
        <f>IF(OR(B425="",NOT(ISNUMBER(B425))),"",INT(B425))</f>
        <v/>
      </c>
    </row>
    <row r="426" ht="15" customHeight="1" s="122">
      <c r="A426" s="179" t="inlineStr">
        <is>
          <t>KAA 214B</t>
        </is>
      </c>
      <c r="B426" s="172" t="inlineStr">
        <is>
          <t>27-02-2026 12:13:49</t>
        </is>
      </c>
      <c r="C426" s="172" t="inlineStr">
        <is>
          <t>27-02-2026 12:14:17</t>
        </is>
      </c>
      <c r="D426" s="173" t="inlineStr">
        <is>
          <t>0.01 Km</t>
        </is>
      </c>
      <c r="E426" s="181" t="n">
        <v>6</v>
      </c>
      <c r="F426" s="182" t="n">
        <v>6</v>
      </c>
      <c r="G426" s="172" t="inlineStr">
        <is>
          <t>No</t>
        </is>
      </c>
      <c r="H426" s="170">
        <f>IF(A426="","",IF(OR(NOT(ISNUMBER(C426)),C426=""),"No",IF(AND(HOUR(C426)&gt;=0,HOUR(C426)&lt;5),"Yes","No")))</f>
        <v/>
      </c>
      <c r="I426" s="183">
        <f>IF(OR(B426="",NOT(ISNUMBER(B426))),"",INT(B426))</f>
        <v/>
      </c>
    </row>
    <row r="427" ht="15" customHeight="1" s="122">
      <c r="A427" s="179" t="inlineStr">
        <is>
          <t>KAA 214B</t>
        </is>
      </c>
      <c r="B427" s="172" t="inlineStr">
        <is>
          <t>27-02-2026 14:32:59</t>
        </is>
      </c>
      <c r="C427" s="172" t="inlineStr">
        <is>
          <t>27-02-2026 14:38:32</t>
        </is>
      </c>
      <c r="D427" s="173" t="inlineStr">
        <is>
          <t>0.83 Km</t>
        </is>
      </c>
      <c r="E427" s="181" t="n">
        <v>10</v>
      </c>
      <c r="F427" s="182" t="n">
        <v>21</v>
      </c>
      <c r="G427" s="172" t="inlineStr">
        <is>
          <t>No</t>
        </is>
      </c>
      <c r="H427" s="170">
        <f>IF(A427="","",IF(OR(NOT(ISNUMBER(C427)),C427=""),"No",IF(AND(HOUR(C427)&gt;=0,HOUR(C427)&lt;5),"Yes","No")))</f>
        <v/>
      </c>
      <c r="I427" s="183">
        <f>IF(OR(B427="",NOT(ISNUMBER(B427))),"",INT(B427))</f>
        <v/>
      </c>
    </row>
    <row r="428" ht="15" customHeight="1" s="122">
      <c r="A428" s="179" t="inlineStr">
        <is>
          <t>KAA 214B</t>
        </is>
      </c>
      <c r="B428" s="172" t="inlineStr">
        <is>
          <t>27-02-2026 15:44:14</t>
        </is>
      </c>
      <c r="C428" s="172" t="inlineStr">
        <is>
          <t>27-02-2026 15:48:29</t>
        </is>
      </c>
      <c r="D428" s="173" t="inlineStr">
        <is>
          <t>0.87 Km</t>
        </is>
      </c>
      <c r="E428" s="181" t="n">
        <v>9</v>
      </c>
      <c r="F428" s="182" t="n">
        <v>19</v>
      </c>
      <c r="G428" s="172" t="inlineStr">
        <is>
          <t>No</t>
        </is>
      </c>
      <c r="H428" s="170">
        <f>IF(A428="","",IF(OR(NOT(ISNUMBER(C428)),C428=""),"No",IF(AND(HOUR(C428)&gt;=0,HOUR(C428)&lt;5),"Yes","No")))</f>
        <v/>
      </c>
      <c r="I428" s="183">
        <f>IF(OR(B428="",NOT(ISNUMBER(B428))),"",INT(B428))</f>
        <v/>
      </c>
    </row>
    <row r="429" ht="15" customHeight="1" s="122">
      <c r="A429" s="179" t="inlineStr">
        <is>
          <t>KAA 214B</t>
        </is>
      </c>
      <c r="B429" s="172" t="inlineStr">
        <is>
          <t>27-02-2026 16:23:23</t>
        </is>
      </c>
      <c r="C429" s="172" t="inlineStr">
        <is>
          <t>27-02-2026 16:26:28</t>
        </is>
      </c>
      <c r="D429" s="173" t="inlineStr">
        <is>
          <t>0.5 Km</t>
        </is>
      </c>
      <c r="E429" s="181" t="n">
        <v>11</v>
      </c>
      <c r="F429" s="182" t="n">
        <v>17</v>
      </c>
      <c r="G429" s="172" t="inlineStr">
        <is>
          <t>No</t>
        </is>
      </c>
      <c r="H429" s="170">
        <f>IF(A429="","",IF(OR(NOT(ISNUMBER(C429)),C429=""),"No",IF(AND(HOUR(C429)&gt;=0,HOUR(C429)&lt;5),"Yes","No")))</f>
        <v/>
      </c>
      <c r="I429" s="183">
        <f>IF(OR(B429="",NOT(ISNUMBER(B429))),"",INT(B429))</f>
        <v/>
      </c>
    </row>
    <row r="430" ht="15" customHeight="1" s="122">
      <c r="A430" s="179" t="inlineStr">
        <is>
          <t>KAA 214B</t>
        </is>
      </c>
      <c r="B430" s="172" t="inlineStr">
        <is>
          <t>27-02-2026 17:30:35</t>
        </is>
      </c>
      <c r="C430" s="172" t="inlineStr">
        <is>
          <t>27-02-2026 17:31:08</t>
        </is>
      </c>
      <c r="D430" s="173" t="inlineStr">
        <is>
          <t>0.03 Km</t>
        </is>
      </c>
      <c r="E430" s="181" t="n">
        <v>6</v>
      </c>
      <c r="F430" s="182" t="n">
        <v>7</v>
      </c>
      <c r="G430" s="172" t="inlineStr">
        <is>
          <t>No</t>
        </is>
      </c>
      <c r="H430" s="170">
        <f>IF(A430="","",IF(OR(NOT(ISNUMBER(C430)),C430=""),"No",IF(AND(HOUR(C430)&gt;=0,HOUR(C430)&lt;5),"Yes","No")))</f>
        <v/>
      </c>
      <c r="I430" s="183">
        <f>IF(OR(B430="",NOT(ISNUMBER(B430))),"",INT(B430))</f>
        <v/>
      </c>
    </row>
    <row r="431" ht="15" customHeight="1" s="122">
      <c r="A431" s="179" t="inlineStr">
        <is>
          <t>KAA 214B</t>
        </is>
      </c>
      <c r="B431" s="172" t="inlineStr">
        <is>
          <t>27-02-2026 17:36:02</t>
        </is>
      </c>
      <c r="C431" s="172" t="inlineStr">
        <is>
          <t>27-02-2026 17:39:44</t>
        </is>
      </c>
      <c r="D431" s="173" t="inlineStr">
        <is>
          <t>0.59 Km</t>
        </is>
      </c>
      <c r="E431" s="181" t="n">
        <v>10</v>
      </c>
      <c r="F431" s="182" t="n">
        <v>26</v>
      </c>
      <c r="G431" s="172" t="inlineStr">
        <is>
          <t>No</t>
        </is>
      </c>
      <c r="H431" s="170">
        <f>IF(A431="","",IF(OR(NOT(ISNUMBER(C431)),C431=""),"No",IF(AND(HOUR(C431)&gt;=0,HOUR(C431)&lt;5),"Yes","No")))</f>
        <v/>
      </c>
      <c r="I431" s="183">
        <f>IF(OR(B431="",NOT(ISNUMBER(B431))),"",INT(B431))</f>
        <v/>
      </c>
    </row>
    <row r="432" ht="15" customHeight="1" s="122">
      <c r="A432" s="179" t="inlineStr">
        <is>
          <t>KAA 214B</t>
        </is>
      </c>
      <c r="B432" s="172" t="inlineStr">
        <is>
          <t>27-02-2026 17:44:25</t>
        </is>
      </c>
      <c r="C432" s="172" t="inlineStr">
        <is>
          <t>27-02-2026 17:48:03</t>
        </is>
      </c>
      <c r="D432" s="173" t="inlineStr">
        <is>
          <t>0.56 Km</t>
        </is>
      </c>
      <c r="E432" s="181" t="n">
        <v>12</v>
      </c>
      <c r="F432" s="182" t="n">
        <v>25</v>
      </c>
      <c r="G432" s="172" t="inlineStr">
        <is>
          <t>No</t>
        </is>
      </c>
      <c r="H432" s="170">
        <f>IF(A432="","",IF(OR(NOT(ISNUMBER(C432)),C432=""),"No",IF(AND(HOUR(C432)&gt;=0,HOUR(C432)&lt;5),"Yes","No")))</f>
        <v/>
      </c>
      <c r="I432" s="183">
        <f>IF(OR(B432="",NOT(ISNUMBER(B432))),"",INT(B432))</f>
        <v/>
      </c>
    </row>
    <row r="433" ht="15" customHeight="1" s="122">
      <c r="A433" s="179" t="inlineStr">
        <is>
          <t>KAA 214B</t>
        </is>
      </c>
      <c r="B433" s="172" t="inlineStr">
        <is>
          <t>27-02-2026 18:05:36</t>
        </is>
      </c>
      <c r="C433" s="172" t="inlineStr">
        <is>
          <t>27-02-2026 18:19:58</t>
        </is>
      </c>
      <c r="D433" s="173" t="inlineStr">
        <is>
          <t>3.31 Km</t>
        </is>
      </c>
      <c r="E433" s="181" t="n">
        <v>18</v>
      </c>
      <c r="F433" s="182" t="n">
        <v>56</v>
      </c>
      <c r="G433" s="172" t="inlineStr">
        <is>
          <t>No</t>
        </is>
      </c>
      <c r="H433" s="170">
        <f>IF(A433="","",IF(OR(NOT(ISNUMBER(C433)),C433=""),"No",IF(AND(HOUR(C433)&gt;=0,HOUR(C433)&lt;5),"Yes","No")))</f>
        <v/>
      </c>
      <c r="I433" s="183">
        <f>IF(OR(B433="",NOT(ISNUMBER(B433))),"",INT(B433))</f>
        <v/>
      </c>
    </row>
    <row r="434" ht="15" customHeight="1" s="122">
      <c r="A434" s="179" t="inlineStr">
        <is>
          <t>KAA 214B</t>
        </is>
      </c>
      <c r="B434" s="172" t="inlineStr">
        <is>
          <t>27-02-2026 18:32:35</t>
        </is>
      </c>
      <c r="C434" s="172" t="inlineStr">
        <is>
          <t>27-02-2026 18:57:18</t>
        </is>
      </c>
      <c r="D434" s="173" t="inlineStr">
        <is>
          <t>18.13 Km</t>
        </is>
      </c>
      <c r="E434" s="181" t="n">
        <v>47</v>
      </c>
      <c r="F434" s="182" t="n">
        <v>83</v>
      </c>
      <c r="G434" s="172" t="inlineStr">
        <is>
          <t>No</t>
        </is>
      </c>
      <c r="H434" s="170">
        <f>IF(A434="","",IF(OR(NOT(ISNUMBER(C434)),C434=""),"No",IF(AND(HOUR(C434)&gt;=0,HOUR(C434)&lt;5),"Yes","No")))</f>
        <v/>
      </c>
      <c r="I434" s="183">
        <f>IF(OR(B434="",NOT(ISNUMBER(B434))),"",INT(B434))</f>
        <v/>
      </c>
    </row>
    <row r="435" ht="15" customHeight="1" s="122">
      <c r="A435" s="179" t="inlineStr">
        <is>
          <t>KAA 214B</t>
        </is>
      </c>
      <c r="B435" s="172" t="inlineStr">
        <is>
          <t>27-02-2026 19:01:17</t>
        </is>
      </c>
      <c r="C435" s="172" t="inlineStr">
        <is>
          <t>27-02-2026 19:01:43</t>
        </is>
      </c>
      <c r="D435" s="173" t="inlineStr">
        <is>
          <t>0.02 Km</t>
        </is>
      </c>
      <c r="E435" s="181" t="n">
        <v>6</v>
      </c>
      <c r="F435" s="182" t="n">
        <v>6</v>
      </c>
      <c r="G435" s="172" t="inlineStr">
        <is>
          <t>No</t>
        </is>
      </c>
      <c r="H435" s="170">
        <f>IF(A435="","",IF(OR(NOT(ISNUMBER(C435)),C435=""),"No",IF(AND(HOUR(C435)&gt;=0,HOUR(C435)&lt;5),"Yes","No")))</f>
        <v/>
      </c>
      <c r="I435" s="183">
        <f>IF(OR(B435="",NOT(ISNUMBER(B435))),"",INT(B435))</f>
        <v/>
      </c>
    </row>
    <row r="436" ht="15" customHeight="1" s="122">
      <c r="A436" s="179" t="inlineStr">
        <is>
          <t>KAA 214B</t>
        </is>
      </c>
      <c r="B436" s="172" t="inlineStr">
        <is>
          <t>27-02-2026 19:11:43</t>
        </is>
      </c>
      <c r="C436" s="172" t="inlineStr">
        <is>
          <t>27-02-2026 19:27:02</t>
        </is>
      </c>
      <c r="D436" s="173" t="inlineStr">
        <is>
          <t>5.46 Km</t>
        </is>
      </c>
      <c r="E436" s="181" t="n">
        <v>21</v>
      </c>
      <c r="F436" s="182" t="n">
        <v>68</v>
      </c>
      <c r="G436" s="172" t="inlineStr">
        <is>
          <t>No</t>
        </is>
      </c>
      <c r="H436" s="170">
        <f>IF(A436="","",IF(OR(NOT(ISNUMBER(C436)),C436=""),"No",IF(AND(HOUR(C436)&gt;=0,HOUR(C436)&lt;5),"Yes","No")))</f>
        <v/>
      </c>
      <c r="I436" s="183">
        <f>IF(OR(B436="",NOT(ISNUMBER(B436))),"",INT(B436))</f>
        <v/>
      </c>
    </row>
    <row r="437" ht="15" customHeight="1" s="122">
      <c r="A437" s="179" t="inlineStr">
        <is>
          <t>KAA 214B</t>
        </is>
      </c>
      <c r="B437" s="172" t="inlineStr">
        <is>
          <t>27-02-2026 21:22:41</t>
        </is>
      </c>
      <c r="C437" s="172" t="inlineStr">
        <is>
          <t>27-02-2026 22:05:55</t>
        </is>
      </c>
      <c r="D437" s="173" t="inlineStr">
        <is>
          <t>27.01 Km</t>
        </is>
      </c>
      <c r="E437" s="181" t="n">
        <v>40</v>
      </c>
      <c r="F437" s="182" t="n">
        <v>89</v>
      </c>
      <c r="G437" s="172" t="inlineStr">
        <is>
          <t>Yes</t>
        </is>
      </c>
      <c r="H437" s="170">
        <f>IF(A437="","",IF(OR(NOT(ISNUMBER(C437)),C437=""),"No",IF(AND(HOUR(C437)&gt;=0,HOUR(C437)&lt;5),"Yes","No")))</f>
        <v/>
      </c>
      <c r="I437" s="183">
        <f>IF(OR(B437="",NOT(ISNUMBER(B437))),"",INT(B437))</f>
        <v/>
      </c>
    </row>
    <row r="438" ht="15" customHeight="1" s="122">
      <c r="A438" s="179" t="inlineStr">
        <is>
          <t>KAA 214B</t>
        </is>
      </c>
      <c r="B438" s="172" t="inlineStr">
        <is>
          <t>27-02-2026 22:13:59</t>
        </is>
      </c>
      <c r="C438" s="172" t="inlineStr">
        <is>
          <t>27-02-2026 22:26:13</t>
        </is>
      </c>
      <c r="D438" s="173" t="inlineStr">
        <is>
          <t>5.8 Km</t>
        </is>
      </c>
      <c r="E438" s="181" t="n">
        <v>30</v>
      </c>
      <c r="F438" s="182" t="n">
        <v>57</v>
      </c>
      <c r="G438" s="172" t="inlineStr">
        <is>
          <t>Yes</t>
        </is>
      </c>
      <c r="H438" s="170">
        <f>IF(A438="","",IF(OR(NOT(ISNUMBER(C438)),C438=""),"No",IF(AND(HOUR(C438)&gt;=0,HOUR(C438)&lt;5),"Yes","No")))</f>
        <v/>
      </c>
      <c r="I438" s="183">
        <f>IF(OR(B438="",NOT(ISNUMBER(B438))),"",INT(B438))</f>
        <v/>
      </c>
    </row>
    <row r="439" ht="15" customHeight="1" s="122">
      <c r="A439" s="179" t="inlineStr">
        <is>
          <t>KBB 102Q</t>
        </is>
      </c>
      <c r="B439" s="180" t="n">
        <v>46055.43315972222</v>
      </c>
      <c r="C439" s="180" t="n">
        <v>46055.43663194445</v>
      </c>
      <c r="D439" s="173" t="inlineStr">
        <is>
          <t>0.95 Km</t>
        </is>
      </c>
      <c r="E439" s="181" t="n">
        <v>16</v>
      </c>
      <c r="F439" s="182" t="n">
        <v>32</v>
      </c>
      <c r="G439" s="172" t="inlineStr">
        <is>
          <t>No</t>
        </is>
      </c>
      <c r="H439" s="170">
        <f>IF(A439="","",IF(OR(NOT(ISNUMBER(C439)),C439=""),"No",IF(AND(HOUR(C439)&gt;=0,HOUR(C439)&lt;5),"Yes","No")))</f>
        <v/>
      </c>
      <c r="I439" s="183">
        <f>IF(OR(B439="",NOT(ISNUMBER(B439))),"",INT(B439))</f>
        <v/>
      </c>
    </row>
    <row r="440" ht="15" customHeight="1" s="122">
      <c r="A440" s="179" t="inlineStr">
        <is>
          <t>KBB 102Q</t>
        </is>
      </c>
      <c r="B440" s="180" t="n">
        <v>46055.43732638889</v>
      </c>
      <c r="C440" s="180" t="n">
        <v>46055.44357638889</v>
      </c>
      <c r="D440" s="173" t="inlineStr">
        <is>
          <t>2.94 Km</t>
        </is>
      </c>
      <c r="E440" s="181" t="n">
        <v>20</v>
      </c>
      <c r="F440" s="182" t="n">
        <v>32</v>
      </c>
      <c r="G440" s="172" t="inlineStr">
        <is>
          <t>No</t>
        </is>
      </c>
      <c r="H440" s="170">
        <f>IF(A440="","",IF(OR(NOT(ISNUMBER(C440)),C440=""),"No",IF(AND(HOUR(C440)&gt;=0,HOUR(C440)&lt;5),"Yes","No")))</f>
        <v/>
      </c>
      <c r="I440" s="183">
        <f>IF(OR(B440="",NOT(ISNUMBER(B440))),"",INT(B440))</f>
        <v/>
      </c>
    </row>
    <row r="441" ht="15" customHeight="1" s="122">
      <c r="A441" s="179" t="inlineStr">
        <is>
          <t>KBB 102Q</t>
        </is>
      </c>
      <c r="B441" s="180" t="n">
        <v>46055.44428240741</v>
      </c>
      <c r="C441" s="180" t="n">
        <v>46055.45612268519</v>
      </c>
      <c r="D441" s="173" t="inlineStr">
        <is>
          <t>5.41 Km</t>
        </is>
      </c>
      <c r="E441" s="181" t="n">
        <v>19</v>
      </c>
      <c r="F441" s="182" t="n">
        <v>40</v>
      </c>
      <c r="G441" s="172" t="inlineStr">
        <is>
          <t>No</t>
        </is>
      </c>
      <c r="H441" s="170">
        <f>IF(A441="","",IF(OR(NOT(ISNUMBER(C441)),C441=""),"No",IF(AND(HOUR(C441)&gt;=0,HOUR(C441)&lt;5),"Yes","No")))</f>
        <v/>
      </c>
      <c r="I441" s="183">
        <f>IF(OR(B441="",NOT(ISNUMBER(B441))),"",INT(B441))</f>
        <v/>
      </c>
    </row>
    <row r="442" ht="15" customHeight="1" s="122">
      <c r="A442" s="179" t="inlineStr">
        <is>
          <t>KBB 102Q</t>
        </is>
      </c>
      <c r="B442" s="180" t="n">
        <v>46055.45680555556</v>
      </c>
      <c r="C442" s="180" t="n">
        <v>46055.45958333334</v>
      </c>
      <c r="D442" s="173" t="inlineStr">
        <is>
          <t>1.68 Km</t>
        </is>
      </c>
      <c r="E442" s="181" t="n">
        <v>31</v>
      </c>
      <c r="F442" s="182" t="n">
        <v>46</v>
      </c>
      <c r="G442" s="172" t="inlineStr">
        <is>
          <t>No</t>
        </is>
      </c>
      <c r="H442" s="170">
        <f>IF(A442="","",IF(OR(NOT(ISNUMBER(C442)),C442=""),"No",IF(AND(HOUR(C442)&gt;=0,HOUR(C442)&lt;5),"Yes","No")))</f>
        <v/>
      </c>
      <c r="I442" s="183">
        <f>IF(OR(B442="",NOT(ISNUMBER(B442))),"",INT(B442))</f>
        <v/>
      </c>
    </row>
    <row r="443" ht="15" customHeight="1" s="122">
      <c r="A443" s="179" t="inlineStr">
        <is>
          <t>KBB 102Q</t>
        </is>
      </c>
      <c r="B443" s="180" t="n">
        <v>46055.4609837963</v>
      </c>
      <c r="C443" s="180" t="n">
        <v>46055.46445601852</v>
      </c>
      <c r="D443" s="173" t="inlineStr">
        <is>
          <t>1.9 Km</t>
        </is>
      </c>
      <c r="E443" s="181" t="n">
        <v>23</v>
      </c>
      <c r="F443" s="182" t="n">
        <v>38</v>
      </c>
      <c r="G443" s="172" t="inlineStr">
        <is>
          <t>No</t>
        </is>
      </c>
      <c r="H443" s="170">
        <f>IF(A443="","",IF(OR(NOT(ISNUMBER(C443)),C443=""),"No",IF(AND(HOUR(C443)&gt;=0,HOUR(C443)&lt;5),"Yes","No")))</f>
        <v/>
      </c>
      <c r="I443" s="183">
        <f>IF(OR(B443="",NOT(ISNUMBER(B443))),"",INT(B443))</f>
        <v/>
      </c>
    </row>
    <row r="444" ht="15" customHeight="1" s="122">
      <c r="A444" s="179" t="inlineStr">
        <is>
          <t>KBB 102Q</t>
        </is>
      </c>
      <c r="B444" s="180" t="n">
        <v>46055.61915509259</v>
      </c>
      <c r="C444" s="180" t="n">
        <v>46055.62125</v>
      </c>
      <c r="D444" s="173" t="inlineStr">
        <is>
          <t>1.06 Km</t>
        </is>
      </c>
      <c r="E444" s="181" t="n">
        <v>25</v>
      </c>
      <c r="F444" s="182" t="n">
        <v>32</v>
      </c>
      <c r="G444" s="172" t="inlineStr">
        <is>
          <t>No</t>
        </is>
      </c>
      <c r="H444" s="170">
        <f>IF(A444="","",IF(OR(NOT(ISNUMBER(C444)),C444=""),"No",IF(AND(HOUR(C444)&gt;=0,HOUR(C444)&lt;5),"Yes","No")))</f>
        <v/>
      </c>
      <c r="I444" s="183">
        <f>IF(OR(B444="",NOT(ISNUMBER(B444))),"",INT(B444))</f>
        <v/>
      </c>
    </row>
    <row r="445" ht="15" customHeight="1" s="122">
      <c r="A445" s="179" t="inlineStr">
        <is>
          <t>KBB 102Q</t>
        </is>
      </c>
      <c r="B445" s="180" t="n">
        <v>46055.62702546296</v>
      </c>
      <c r="C445" s="180" t="n">
        <v>46055.62773148148</v>
      </c>
      <c r="D445" s="173" t="inlineStr">
        <is>
          <t>0.13 Km</t>
        </is>
      </c>
      <c r="E445" s="181" t="n">
        <v>11</v>
      </c>
      <c r="F445" s="182" t="n">
        <v>11</v>
      </c>
      <c r="G445" s="172" t="inlineStr">
        <is>
          <t>No</t>
        </is>
      </c>
      <c r="H445" s="170">
        <f>IF(A445="","",IF(OR(NOT(ISNUMBER(C445)),C445=""),"No",IF(AND(HOUR(C445)&gt;=0,HOUR(C445)&lt;5),"Yes","No")))</f>
        <v/>
      </c>
      <c r="I445" s="183">
        <f>IF(OR(B445="",NOT(ISNUMBER(B445))),"",INT(B445))</f>
        <v/>
      </c>
    </row>
    <row r="446" ht="15" customHeight="1" s="122">
      <c r="A446" s="179" t="inlineStr">
        <is>
          <t>KBB 102Q</t>
        </is>
      </c>
      <c r="B446" s="180" t="n">
        <v>46055.70894675926</v>
      </c>
      <c r="C446" s="180" t="n">
        <v>46055.71173611111</v>
      </c>
      <c r="D446" s="173" t="inlineStr">
        <is>
          <t>1.43 Km</t>
        </is>
      </c>
      <c r="E446" s="181" t="n">
        <v>22</v>
      </c>
      <c r="F446" s="182" t="n">
        <v>33</v>
      </c>
      <c r="G446" s="172" t="inlineStr">
        <is>
          <t>No</t>
        </is>
      </c>
      <c r="H446" s="170">
        <f>IF(A446="","",IF(OR(NOT(ISNUMBER(C446)),C446=""),"No",IF(AND(HOUR(C446)&gt;=0,HOUR(C446)&lt;5),"Yes","No")))</f>
        <v/>
      </c>
      <c r="I446" s="183">
        <f>IF(OR(B446="",NOT(ISNUMBER(B446))),"",INT(B446))</f>
        <v/>
      </c>
    </row>
    <row r="447" ht="15" customHeight="1" s="122">
      <c r="A447" s="179" t="inlineStr">
        <is>
          <t>KBB 102Q</t>
        </is>
      </c>
      <c r="B447" s="180" t="n">
        <v>46055.72366898148</v>
      </c>
      <c r="C447" s="180" t="n">
        <v>46055.72644675926</v>
      </c>
      <c r="D447" s="173" t="inlineStr">
        <is>
          <t>2.26 Km</t>
        </is>
      </c>
      <c r="E447" s="181" t="n">
        <v>22</v>
      </c>
      <c r="F447" s="182" t="n">
        <v>48</v>
      </c>
      <c r="G447" s="172" t="inlineStr">
        <is>
          <t>No</t>
        </is>
      </c>
      <c r="H447" s="170">
        <f>IF(A447="","",IF(OR(NOT(ISNUMBER(C447)),C447=""),"No",IF(AND(HOUR(C447)&gt;=0,HOUR(C447)&lt;5),"Yes","No")))</f>
        <v/>
      </c>
      <c r="I447" s="183">
        <f>IF(OR(B447="",NOT(ISNUMBER(B447))),"",INT(B447))</f>
        <v/>
      </c>
    </row>
    <row r="448" ht="15" customHeight="1" s="122">
      <c r="A448" s="179" t="inlineStr">
        <is>
          <t>KBB 102Q</t>
        </is>
      </c>
      <c r="B448" s="180" t="n">
        <v>46055.72715277778</v>
      </c>
      <c r="C448" s="180" t="n">
        <v>46055.7322337963</v>
      </c>
      <c r="D448" s="173" t="inlineStr">
        <is>
          <t>1.57 Km</t>
        </is>
      </c>
      <c r="E448" s="181" t="n">
        <v>14</v>
      </c>
      <c r="F448" s="182" t="n">
        <v>26</v>
      </c>
      <c r="G448" s="172" t="inlineStr">
        <is>
          <t>No</t>
        </is>
      </c>
      <c r="H448" s="170">
        <f>IF(A448="","",IF(OR(NOT(ISNUMBER(C448)),C448=""),"No",IF(AND(HOUR(C448)&gt;=0,HOUR(C448)&lt;5),"Yes","No")))</f>
        <v/>
      </c>
      <c r="I448" s="183">
        <f>IF(OR(B448="",NOT(ISNUMBER(B448))),"",INT(B448))</f>
        <v/>
      </c>
    </row>
    <row r="449" ht="15" customHeight="1" s="122">
      <c r="A449" s="179" t="inlineStr">
        <is>
          <t>KBB 102Q</t>
        </is>
      </c>
      <c r="B449" s="180" t="n">
        <v>46055.73584490741</v>
      </c>
      <c r="C449" s="180" t="n">
        <v>46055.74071759259</v>
      </c>
      <c r="D449" s="173" t="inlineStr">
        <is>
          <t>3.57 Km</t>
        </is>
      </c>
      <c r="E449" s="181" t="n">
        <v>16</v>
      </c>
      <c r="F449" s="182" t="n">
        <v>30</v>
      </c>
      <c r="G449" s="172" t="inlineStr">
        <is>
          <t>No</t>
        </is>
      </c>
      <c r="H449" s="170">
        <f>IF(A449="","",IF(OR(NOT(ISNUMBER(C449)),C449=""),"No",IF(AND(HOUR(C449)&gt;=0,HOUR(C449)&lt;5),"Yes","No")))</f>
        <v/>
      </c>
      <c r="I449" s="183">
        <f>IF(OR(B449="",NOT(ISNUMBER(B449))),"",INT(B449))</f>
        <v/>
      </c>
    </row>
    <row r="450" ht="15" customHeight="1" s="122">
      <c r="A450" s="179" t="inlineStr">
        <is>
          <t>KBB 102Q</t>
        </is>
      </c>
      <c r="B450" s="180" t="n">
        <v>46055.82715277778</v>
      </c>
      <c r="C450" s="180" t="n">
        <v>46055.83270833334</v>
      </c>
      <c r="D450" s="173" t="inlineStr">
        <is>
          <t>2.78 Km</t>
        </is>
      </c>
      <c r="E450" s="181" t="n">
        <v>25</v>
      </c>
      <c r="F450" s="182" t="n">
        <v>53</v>
      </c>
      <c r="G450" s="172" t="inlineStr">
        <is>
          <t>No</t>
        </is>
      </c>
      <c r="H450" s="170">
        <f>IF(A450="","",IF(OR(NOT(ISNUMBER(C450)),C450=""),"No",IF(AND(HOUR(C450)&gt;=0,HOUR(C450)&lt;5),"Yes","No")))</f>
        <v/>
      </c>
      <c r="I450" s="183">
        <f>IF(OR(B450="",NOT(ISNUMBER(B450))),"",INT(B450))</f>
        <v/>
      </c>
    </row>
    <row r="451" ht="15" customHeight="1" s="122">
      <c r="A451" s="179" t="inlineStr">
        <is>
          <t>KBB 102Q</t>
        </is>
      </c>
      <c r="B451" s="180" t="n">
        <v>46055.83791666666</v>
      </c>
      <c r="C451" s="180" t="n">
        <v>46055.84765046297</v>
      </c>
      <c r="D451" s="173" t="inlineStr">
        <is>
          <t>5.02 Km</t>
        </is>
      </c>
      <c r="E451" s="181" t="n">
        <v>17</v>
      </c>
      <c r="F451" s="182" t="n">
        <v>26</v>
      </c>
      <c r="G451" s="172" t="inlineStr">
        <is>
          <t>No</t>
        </is>
      </c>
      <c r="H451" s="170">
        <f>IF(A451="","",IF(OR(NOT(ISNUMBER(C451)),C451=""),"No",IF(AND(HOUR(C451)&gt;=0,HOUR(C451)&lt;5),"Yes","No")))</f>
        <v/>
      </c>
      <c r="I451" s="183">
        <f>IF(OR(B451="",NOT(ISNUMBER(B451))),"",INT(B451))</f>
        <v/>
      </c>
    </row>
    <row r="452" ht="15" customHeight="1" s="122">
      <c r="A452" s="179" t="inlineStr">
        <is>
          <t>KBB 102Q</t>
        </is>
      </c>
      <c r="B452" s="180" t="n">
        <v>46055.85482638889</v>
      </c>
      <c r="C452" s="180" t="n">
        <v>46055.87988425926</v>
      </c>
      <c r="D452" s="173" t="inlineStr">
        <is>
          <t>14.64 Km</t>
        </is>
      </c>
      <c r="E452" s="181" t="n">
        <v>25</v>
      </c>
      <c r="F452" s="182" t="n">
        <v>67</v>
      </c>
      <c r="G452" s="172" t="inlineStr">
        <is>
          <t>No</t>
        </is>
      </c>
      <c r="H452" s="170">
        <f>IF(A452="","",IF(OR(NOT(ISNUMBER(C452)),C452=""),"No",IF(AND(HOUR(C452)&gt;=0,HOUR(C452)&lt;5),"Yes","No")))</f>
        <v/>
      </c>
      <c r="I452" s="183">
        <f>IF(OR(B452="",NOT(ISNUMBER(B452))),"",INT(B452))</f>
        <v/>
      </c>
    </row>
    <row r="453" ht="15" customHeight="1" s="122">
      <c r="A453" s="179" t="inlineStr">
        <is>
          <t>KBB 102Q</t>
        </is>
      </c>
      <c r="B453" s="180" t="n">
        <v>46055.88482638889</v>
      </c>
      <c r="C453" s="180" t="n">
        <v>46055.8896875</v>
      </c>
      <c r="D453" s="173" t="inlineStr">
        <is>
          <t>5.91 Km</t>
        </is>
      </c>
      <c r="E453" s="181" t="n">
        <v>47</v>
      </c>
      <c r="F453" s="182" t="n">
        <v>79</v>
      </c>
      <c r="G453" s="172" t="inlineStr">
        <is>
          <t>No</t>
        </is>
      </c>
      <c r="H453" s="170">
        <f>IF(A453="","",IF(OR(NOT(ISNUMBER(C453)),C453=""),"No",IF(AND(HOUR(C453)&gt;=0,HOUR(C453)&lt;5),"Yes","No")))</f>
        <v/>
      </c>
      <c r="I453" s="183">
        <f>IF(OR(B453="",NOT(ISNUMBER(B453))),"",INT(B453))</f>
        <v/>
      </c>
    </row>
    <row r="454" ht="15" customHeight="1" s="122">
      <c r="A454" s="179" t="inlineStr">
        <is>
          <t>KBB 102Q</t>
        </is>
      </c>
      <c r="B454" s="180" t="n">
        <v>46055.89178240741</v>
      </c>
      <c r="C454" s="180" t="n">
        <v>46055.89317129629</v>
      </c>
      <c r="D454" s="173" t="inlineStr">
        <is>
          <t>0.43 Km</t>
        </is>
      </c>
      <c r="E454" s="181" t="n">
        <v>15</v>
      </c>
      <c r="F454" s="182" t="n">
        <v>17</v>
      </c>
      <c r="G454" s="172" t="inlineStr">
        <is>
          <t>No</t>
        </is>
      </c>
      <c r="H454" s="170">
        <f>IF(A454="","",IF(OR(NOT(ISNUMBER(C454)),C454=""),"No",IF(AND(HOUR(C454)&gt;=0,HOUR(C454)&lt;5),"Yes","No")))</f>
        <v/>
      </c>
      <c r="I454" s="183">
        <f>IF(OR(B454="",NOT(ISNUMBER(B454))),"",INT(B454))</f>
        <v/>
      </c>
    </row>
    <row r="455" ht="15" customHeight="1" s="122">
      <c r="A455" s="179" t="inlineStr">
        <is>
          <t>KBB 102Q</t>
        </is>
      </c>
      <c r="B455" s="180" t="n">
        <v>46055.89773148148</v>
      </c>
      <c r="C455" s="180" t="n">
        <v>46055.98121527778</v>
      </c>
      <c r="D455" s="173" t="inlineStr">
        <is>
          <t>118.2 Km</t>
        </is>
      </c>
      <c r="E455" s="181" t="n">
        <v>59</v>
      </c>
      <c r="F455" s="182" t="n">
        <v>86</v>
      </c>
      <c r="G455" s="172" t="inlineStr">
        <is>
          <t>Yes</t>
        </is>
      </c>
      <c r="H455" s="170">
        <f>IF(A455="","",IF(OR(NOT(ISNUMBER(C455)),C455=""),"No",IF(AND(HOUR(C455)&gt;=0,HOUR(C455)&lt;5),"Yes","No")))</f>
        <v/>
      </c>
      <c r="I455" s="183">
        <f>IF(OR(B455="",NOT(ISNUMBER(B455))),"",INT(B455))</f>
        <v/>
      </c>
    </row>
    <row r="456" ht="15" customHeight="1" s="122">
      <c r="A456" s="179" t="inlineStr">
        <is>
          <t>KBB 102Q</t>
        </is>
      </c>
      <c r="B456" s="180" t="n">
        <v>46055.9819212963</v>
      </c>
      <c r="C456" s="180" t="n">
        <v>46083.00695601852</v>
      </c>
      <c r="D456" s="173" t="inlineStr">
        <is>
          <t>28.71 Km</t>
        </is>
      </c>
      <c r="E456" s="181" t="n">
        <v>48</v>
      </c>
      <c r="F456" s="182" t="n">
        <v>79</v>
      </c>
      <c r="G456" s="172" t="inlineStr">
        <is>
          <t>No</t>
        </is>
      </c>
      <c r="H456" s="170">
        <f>IF(A456="","",IF(OR(NOT(ISNUMBER(C456)),C456=""),"No",IF(AND(HOUR(C456)&gt;=0,HOUR(C456)&lt;5),"Yes","No")))</f>
        <v/>
      </c>
      <c r="I456" s="183">
        <f>IF(OR(B456="",NOT(ISNUMBER(B456))),"",INT(B456))</f>
        <v/>
      </c>
    </row>
    <row r="457" ht="15" customHeight="1" s="122">
      <c r="A457" s="179" t="inlineStr">
        <is>
          <t>KBB 102Q</t>
        </is>
      </c>
      <c r="B457" s="180" t="n">
        <v>46083.40962962963</v>
      </c>
      <c r="C457" s="180" t="n">
        <v>46083.47434027777</v>
      </c>
      <c r="D457" s="173" t="inlineStr">
        <is>
          <t>108.27 Km</t>
        </is>
      </c>
      <c r="E457" s="181" t="n">
        <v>68</v>
      </c>
      <c r="F457" s="182" t="n">
        <v>87</v>
      </c>
      <c r="G457" s="172" t="inlineStr">
        <is>
          <t>No</t>
        </is>
      </c>
      <c r="H457" s="170">
        <f>IF(A457="","",IF(OR(NOT(ISNUMBER(C457)),C457=""),"No",IF(AND(HOUR(C457)&gt;=0,HOUR(C457)&lt;5),"Yes","No")))</f>
        <v/>
      </c>
      <c r="I457" s="183">
        <f>IF(OR(B457="",NOT(ISNUMBER(B457))),"",INT(B457))</f>
        <v/>
      </c>
    </row>
    <row r="458" ht="15" customHeight="1" s="122">
      <c r="A458" s="179" t="inlineStr">
        <is>
          <t>KBB 102Q</t>
        </is>
      </c>
      <c r="B458" s="180" t="n">
        <v>46083.49552083333</v>
      </c>
      <c r="C458" s="180" t="n">
        <v>46083.52475694445</v>
      </c>
      <c r="D458" s="173" t="inlineStr">
        <is>
          <t>33.83 Km</t>
        </is>
      </c>
      <c r="E458" s="181" t="n">
        <v>48</v>
      </c>
      <c r="F458" s="182" t="n">
        <v>85</v>
      </c>
      <c r="G458" s="172" t="inlineStr">
        <is>
          <t>No</t>
        </is>
      </c>
      <c r="H458" s="170">
        <f>IF(A458="","",IF(OR(NOT(ISNUMBER(C458)),C458=""),"No",IF(AND(HOUR(C458)&gt;=0,HOUR(C458)&lt;5),"Yes","No")))</f>
        <v/>
      </c>
      <c r="I458" s="183">
        <f>IF(OR(B458="",NOT(ISNUMBER(B458))),"",INT(B458))</f>
        <v/>
      </c>
    </row>
    <row r="459" ht="15" customHeight="1" s="122">
      <c r="A459" s="179" t="inlineStr">
        <is>
          <t>KBB 102Q</t>
        </is>
      </c>
      <c r="B459" s="180" t="n">
        <v>46083.60996527778</v>
      </c>
      <c r="C459" s="180" t="n">
        <v>46083.62456018518</v>
      </c>
      <c r="D459" s="173" t="inlineStr">
        <is>
          <t>16.81 Km</t>
        </is>
      </c>
      <c r="E459" s="181" t="n">
        <v>47</v>
      </c>
      <c r="F459" s="182" t="n">
        <v>53</v>
      </c>
      <c r="G459" s="172" t="inlineStr">
        <is>
          <t>No</t>
        </is>
      </c>
      <c r="H459" s="170">
        <f>IF(A459="","",IF(OR(NOT(ISNUMBER(C459)),C459=""),"No",IF(AND(HOUR(C459)&gt;=0,HOUR(C459)&lt;5),"Yes","No")))</f>
        <v/>
      </c>
      <c r="I459" s="183">
        <f>IF(OR(B459="",NOT(ISNUMBER(B459))),"",INT(B459))</f>
        <v/>
      </c>
    </row>
    <row r="460" ht="15" customHeight="1" s="122">
      <c r="A460" s="179" t="inlineStr">
        <is>
          <t>KBB 102Q</t>
        </is>
      </c>
      <c r="B460" s="180" t="n">
        <v>46083.6252662037</v>
      </c>
      <c r="C460" s="180" t="n">
        <v>46083.63151620371</v>
      </c>
      <c r="D460" s="173" t="inlineStr">
        <is>
          <t>5.18 Km</t>
        </is>
      </c>
      <c r="E460" s="181" t="n">
        <v>34</v>
      </c>
      <c r="F460" s="182" t="n">
        <v>45</v>
      </c>
      <c r="G460" s="172" t="inlineStr">
        <is>
          <t>No</t>
        </is>
      </c>
      <c r="H460" s="170">
        <f>IF(A460="","",IF(OR(NOT(ISNUMBER(C460)),C460=""),"No",IF(AND(HOUR(C460)&gt;=0,HOUR(C460)&lt;5),"Yes","No")))</f>
        <v/>
      </c>
      <c r="I460" s="183">
        <f>IF(OR(B460="",NOT(ISNUMBER(B460))),"",INT(B460))</f>
        <v/>
      </c>
    </row>
    <row r="461" ht="15" customHeight="1" s="122">
      <c r="A461" s="179" t="inlineStr">
        <is>
          <t>KBB 102Q</t>
        </is>
      </c>
      <c r="B461" s="180" t="n">
        <v>46083.72982638889</v>
      </c>
      <c r="C461" s="180" t="n">
        <v>46083.7771412037</v>
      </c>
      <c r="D461" s="173" t="inlineStr">
        <is>
          <t>34.78 Km</t>
        </is>
      </c>
      <c r="E461" s="181" t="n">
        <v>31</v>
      </c>
      <c r="F461" s="182" t="n">
        <v>57</v>
      </c>
      <c r="G461" s="172" t="inlineStr">
        <is>
          <t>No</t>
        </is>
      </c>
      <c r="H461" s="170">
        <f>IF(A461="","",IF(OR(NOT(ISNUMBER(C461)),C461=""),"No",IF(AND(HOUR(C461)&gt;=0,HOUR(C461)&lt;5),"Yes","No")))</f>
        <v/>
      </c>
      <c r="I461" s="183">
        <f>IF(OR(B461="",NOT(ISNUMBER(B461))),"",INT(B461))</f>
        <v/>
      </c>
    </row>
    <row r="462" ht="15" customHeight="1" s="122">
      <c r="A462" s="179" t="inlineStr">
        <is>
          <t>KBB 102Q</t>
        </is>
      </c>
      <c r="B462" s="180" t="n">
        <v>46083.78202546296</v>
      </c>
      <c r="C462" s="180" t="n">
        <v>46083.78549768519</v>
      </c>
      <c r="D462" s="173" t="inlineStr">
        <is>
          <t>6.05 Km</t>
        </is>
      </c>
      <c r="E462" s="181" t="n">
        <v>26</v>
      </c>
      <c r="F462" s="182" t="n">
        <v>58</v>
      </c>
      <c r="G462" s="172" t="inlineStr">
        <is>
          <t>No</t>
        </is>
      </c>
      <c r="H462" s="170">
        <f>IF(A462="","",IF(OR(NOT(ISNUMBER(C462)),C462=""),"No",IF(AND(HOUR(C462)&gt;=0,HOUR(C462)&lt;5),"Yes","No")))</f>
        <v/>
      </c>
      <c r="I462" s="183">
        <f>IF(OR(B462="",NOT(ISNUMBER(B462))),"",INT(B462))</f>
        <v/>
      </c>
    </row>
    <row r="463" ht="15" customHeight="1" s="122">
      <c r="A463" s="179" t="inlineStr">
        <is>
          <t>KBB 102Q</t>
        </is>
      </c>
      <c r="B463" s="180" t="n">
        <v>46083.80358796296</v>
      </c>
      <c r="C463" s="180" t="n">
        <v>46083.80497685185</v>
      </c>
      <c r="D463" s="173" t="inlineStr">
        <is>
          <t>0.59 Km</t>
        </is>
      </c>
      <c r="E463" s="181" t="n">
        <v>13</v>
      </c>
      <c r="F463" s="182" t="n">
        <v>20</v>
      </c>
      <c r="G463" s="172" t="inlineStr">
        <is>
          <t>No</t>
        </is>
      </c>
      <c r="H463" s="170">
        <f>IF(A463="","",IF(OR(NOT(ISNUMBER(C463)),C463=""),"No",IF(AND(HOUR(C463)&gt;=0,HOUR(C463)&lt;5),"Yes","No")))</f>
        <v/>
      </c>
      <c r="I463" s="183">
        <f>IF(OR(B463="",NOT(ISNUMBER(B463))),"",INT(B463))</f>
        <v/>
      </c>
    </row>
    <row r="464" ht="15" customHeight="1" s="122">
      <c r="A464" s="179" t="inlineStr">
        <is>
          <t>KBB 102Q</t>
        </is>
      </c>
      <c r="B464" s="180" t="n">
        <v>46083.8097337963</v>
      </c>
      <c r="C464" s="180" t="n">
        <v>46083.82086805555</v>
      </c>
      <c r="D464" s="173" t="inlineStr">
        <is>
          <t>15.39 Km</t>
        </is>
      </c>
      <c r="E464" s="181" t="n">
        <v>50</v>
      </c>
      <c r="F464" s="182" t="n">
        <v>81</v>
      </c>
      <c r="G464" s="172" t="inlineStr">
        <is>
          <t>No</t>
        </is>
      </c>
      <c r="H464" s="170">
        <f>IF(A464="","",IF(OR(NOT(ISNUMBER(C464)),C464=""),"No",IF(AND(HOUR(C464)&gt;=0,HOUR(C464)&lt;5),"Yes","No")))</f>
        <v/>
      </c>
      <c r="I464" s="183">
        <f>IF(OR(B464="",NOT(ISNUMBER(B464))),"",INT(B464))</f>
        <v/>
      </c>
    </row>
    <row r="465" ht="15" customHeight="1" s="122">
      <c r="A465" s="179" t="inlineStr">
        <is>
          <t>KBB 102Q</t>
        </is>
      </c>
      <c r="B465" s="180" t="n">
        <v>46083.86462962963</v>
      </c>
      <c r="C465" s="180" t="n">
        <v>46083.86603009259</v>
      </c>
      <c r="D465" s="173" t="inlineStr">
        <is>
          <t>0.11 Km</t>
        </is>
      </c>
      <c r="E465" s="181" t="n">
        <v>15</v>
      </c>
      <c r="F465" s="182" t="n">
        <v>20</v>
      </c>
      <c r="G465" s="172" t="inlineStr">
        <is>
          <t>No</t>
        </is>
      </c>
      <c r="H465" s="170">
        <f>IF(A465="","",IF(OR(NOT(ISNUMBER(C465)),C465=""),"No",IF(AND(HOUR(C465)&gt;=0,HOUR(C465)&lt;5),"Yes","No")))</f>
        <v/>
      </c>
      <c r="I465" s="183">
        <f>IF(OR(B465="",NOT(ISNUMBER(B465))),"",INT(B465))</f>
        <v/>
      </c>
    </row>
    <row r="466" ht="15" customHeight="1" s="122">
      <c r="A466" s="179" t="inlineStr">
        <is>
          <t>KBB 102Q</t>
        </is>
      </c>
      <c r="B466" s="180" t="n">
        <v>46114.4046875</v>
      </c>
      <c r="C466" s="180" t="n">
        <v>46114.40537037037</v>
      </c>
      <c r="D466" s="173" t="inlineStr">
        <is>
          <t>0.02 Km</t>
        </is>
      </c>
      <c r="E466" s="181" t="n">
        <v>6</v>
      </c>
      <c r="F466" s="182" t="n">
        <v>6</v>
      </c>
      <c r="G466" s="172" t="inlineStr">
        <is>
          <t>No</t>
        </is>
      </c>
      <c r="H466" s="170">
        <f>IF(A466="","",IF(OR(NOT(ISNUMBER(C466)),C466=""),"No",IF(AND(HOUR(C466)&gt;=0,HOUR(C466)&lt;5),"Yes","No")))</f>
        <v/>
      </c>
      <c r="I466" s="183">
        <f>IF(OR(B466="",NOT(ISNUMBER(B466))),"",INT(B466))</f>
        <v/>
      </c>
    </row>
    <row r="467" ht="15" customHeight="1" s="122">
      <c r="A467" s="179" t="inlineStr">
        <is>
          <t>KBB 102Q</t>
        </is>
      </c>
      <c r="B467" s="180" t="n">
        <v>46114.44780092593</v>
      </c>
      <c r="C467" s="180" t="n">
        <v>46114.45336805555</v>
      </c>
      <c r="D467" s="173" t="inlineStr">
        <is>
          <t>6.47 Km</t>
        </is>
      </c>
      <c r="E467" s="181" t="n">
        <v>44</v>
      </c>
      <c r="F467" s="182" t="n">
        <v>80</v>
      </c>
      <c r="G467" s="172" t="inlineStr">
        <is>
          <t>No</t>
        </is>
      </c>
      <c r="H467" s="170">
        <f>IF(A467="","",IF(OR(NOT(ISNUMBER(C467)),C467=""),"No",IF(AND(HOUR(C467)&gt;=0,HOUR(C467)&lt;5),"Yes","No")))</f>
        <v/>
      </c>
      <c r="I467" s="183">
        <f>IF(OR(B467="",NOT(ISNUMBER(B467))),"",INT(B467))</f>
        <v/>
      </c>
    </row>
    <row r="468" ht="15" customHeight="1" s="122">
      <c r="A468" s="179" t="inlineStr">
        <is>
          <t>KBB 102Q</t>
        </is>
      </c>
      <c r="B468" s="180" t="n">
        <v>46114.65395833334</v>
      </c>
      <c r="C468" s="180" t="n">
        <v>46114.66162037037</v>
      </c>
      <c r="D468" s="173" t="inlineStr">
        <is>
          <t>6.26 Km</t>
        </is>
      </c>
      <c r="E468" s="181" t="n">
        <v>35</v>
      </c>
      <c r="F468" s="182" t="n">
        <v>54</v>
      </c>
      <c r="G468" s="172" t="inlineStr">
        <is>
          <t>No</t>
        </is>
      </c>
      <c r="H468" s="170">
        <f>IF(A468="","",IF(OR(NOT(ISNUMBER(C468)),C468=""),"No",IF(AND(HOUR(C468)&gt;=0,HOUR(C468)&lt;5),"Yes","No")))</f>
        <v/>
      </c>
      <c r="I468" s="183">
        <f>IF(OR(B468="",NOT(ISNUMBER(B468))),"",INT(B468))</f>
        <v/>
      </c>
    </row>
    <row r="469" ht="15" customHeight="1" s="122">
      <c r="A469" s="179" t="inlineStr">
        <is>
          <t>KBB 102Q</t>
        </is>
      </c>
      <c r="B469" s="180" t="n">
        <v>46114.92262731482</v>
      </c>
      <c r="C469" s="180" t="n">
        <v>46114.92331018519</v>
      </c>
      <c r="D469" s="173" t="inlineStr">
        <is>
          <t>0.14 Km</t>
        </is>
      </c>
      <c r="E469" s="181" t="n">
        <v>21</v>
      </c>
      <c r="F469" s="182" t="n">
        <v>21</v>
      </c>
      <c r="G469" s="172" t="inlineStr">
        <is>
          <t>Yes</t>
        </is>
      </c>
      <c r="H469" s="170">
        <f>IF(A469="","",IF(OR(NOT(ISNUMBER(C469)),C469=""),"No",IF(AND(HOUR(C469)&gt;=0,HOUR(C469)&lt;5),"Yes","No")))</f>
        <v/>
      </c>
      <c r="I469" s="183">
        <f>IF(OR(B469="",NOT(ISNUMBER(B469))),"",INT(B469))</f>
        <v/>
      </c>
    </row>
    <row r="470" ht="15" customHeight="1" s="122">
      <c r="A470" s="179" t="inlineStr">
        <is>
          <t>KBB 102Q</t>
        </is>
      </c>
      <c r="B470" s="180" t="n">
        <v>46144.64630787037</v>
      </c>
      <c r="C470" s="180" t="n">
        <v>46144.65884259259</v>
      </c>
      <c r="D470" s="173" t="inlineStr">
        <is>
          <t>10.42 Km</t>
        </is>
      </c>
      <c r="E470" s="181" t="n">
        <v>37</v>
      </c>
      <c r="F470" s="182" t="n">
        <v>58</v>
      </c>
      <c r="G470" s="172" t="inlineStr">
        <is>
          <t>No</t>
        </is>
      </c>
      <c r="H470" s="170">
        <f>IF(A470="","",IF(OR(NOT(ISNUMBER(C470)),C470=""),"No",IF(AND(HOUR(C470)&gt;=0,HOUR(C470)&lt;5),"Yes","No")))</f>
        <v/>
      </c>
      <c r="I470" s="183">
        <f>IF(OR(B470="",NOT(ISNUMBER(B470))),"",INT(B470))</f>
        <v/>
      </c>
    </row>
    <row r="471" ht="15" customHeight="1" s="122">
      <c r="A471" s="179" t="inlineStr">
        <is>
          <t>KBB 102Q</t>
        </is>
      </c>
      <c r="B471" s="180" t="n">
        <v>46144.73706018519</v>
      </c>
      <c r="C471" s="180" t="n">
        <v>46144.74054398148</v>
      </c>
      <c r="D471" s="173" t="inlineStr">
        <is>
          <t>1 Km</t>
        </is>
      </c>
      <c r="E471" s="181" t="n">
        <v>12</v>
      </c>
      <c r="F471" s="182" t="n">
        <v>16</v>
      </c>
      <c r="G471" s="172" t="inlineStr">
        <is>
          <t>No</t>
        </is>
      </c>
      <c r="H471" s="170">
        <f>IF(A471="","",IF(OR(NOT(ISNUMBER(C471)),C471=""),"No",IF(AND(HOUR(C471)&gt;=0,HOUR(C471)&lt;5),"Yes","No")))</f>
        <v/>
      </c>
      <c r="I471" s="183">
        <f>IF(OR(B471="",NOT(ISNUMBER(B471))),"",INT(B471))</f>
        <v/>
      </c>
    </row>
    <row r="472" ht="15" customHeight="1" s="122">
      <c r="A472" s="179" t="inlineStr">
        <is>
          <t>KBB 102Q</t>
        </is>
      </c>
      <c r="B472" s="180" t="n">
        <v>46144.74596064815</v>
      </c>
      <c r="C472" s="180" t="n">
        <v>46144.75917824074</v>
      </c>
      <c r="D472" s="173" t="inlineStr">
        <is>
          <t>6.7 Km</t>
        </is>
      </c>
      <c r="E472" s="181" t="n">
        <v>20</v>
      </c>
      <c r="F472" s="182" t="n">
        <v>36</v>
      </c>
      <c r="G472" s="172" t="inlineStr">
        <is>
          <t>No</t>
        </is>
      </c>
      <c r="H472" s="170">
        <f>IF(A472="","",IF(OR(NOT(ISNUMBER(C472)),C472=""),"No",IF(AND(HOUR(C472)&gt;=0,HOUR(C472)&lt;5),"Yes","No")))</f>
        <v/>
      </c>
      <c r="I472" s="183">
        <f>IF(OR(B472="",NOT(ISNUMBER(B472))),"",INT(B472))</f>
        <v/>
      </c>
    </row>
    <row r="473" ht="15" customHeight="1" s="122">
      <c r="A473" s="179" t="inlineStr">
        <is>
          <t>KBB 102Q</t>
        </is>
      </c>
      <c r="B473" s="180" t="n">
        <v>46144.8077662037</v>
      </c>
      <c r="C473" s="180" t="n">
        <v>46144.81054398148</v>
      </c>
      <c r="D473" s="173" t="inlineStr">
        <is>
          <t>1.09 Km</t>
        </is>
      </c>
      <c r="E473" s="181" t="n">
        <v>16</v>
      </c>
      <c r="F473" s="182" t="n">
        <v>18</v>
      </c>
      <c r="G473" s="172" t="inlineStr">
        <is>
          <t>No</t>
        </is>
      </c>
      <c r="H473" s="170">
        <f>IF(A473="","",IF(OR(NOT(ISNUMBER(C473)),C473=""),"No",IF(AND(HOUR(C473)&gt;=0,HOUR(C473)&lt;5),"Yes","No")))</f>
        <v/>
      </c>
      <c r="I473" s="183">
        <f>IF(OR(B473="",NOT(ISNUMBER(B473))),"",INT(B473))</f>
        <v/>
      </c>
    </row>
    <row r="474" ht="15" customHeight="1" s="122">
      <c r="A474" s="179" t="inlineStr">
        <is>
          <t>KBB 102Q</t>
        </is>
      </c>
      <c r="B474" s="180" t="n">
        <v>46144.815625</v>
      </c>
      <c r="C474" s="180" t="n">
        <v>46144.81771990741</v>
      </c>
      <c r="D474" s="173" t="inlineStr">
        <is>
          <t>0.83 Km</t>
        </is>
      </c>
      <c r="E474" s="181" t="n">
        <v>20</v>
      </c>
      <c r="F474" s="182" t="n">
        <v>22</v>
      </c>
      <c r="G474" s="172" t="inlineStr">
        <is>
          <t>No</t>
        </is>
      </c>
      <c r="H474" s="170">
        <f>IF(A474="","",IF(OR(NOT(ISNUMBER(C474)),C474=""),"No",IF(AND(HOUR(C474)&gt;=0,HOUR(C474)&lt;5),"Yes","No")))</f>
        <v/>
      </c>
      <c r="I474" s="183">
        <f>IF(OR(B474="",NOT(ISNUMBER(B474))),"",INT(B474))</f>
        <v/>
      </c>
    </row>
    <row r="475" ht="15" customHeight="1" s="122">
      <c r="A475" s="179" t="inlineStr">
        <is>
          <t>KBB 102Q</t>
        </is>
      </c>
      <c r="B475" s="180" t="n">
        <v>46144.81842592593</v>
      </c>
      <c r="C475" s="180" t="n">
        <v>46144.83719907407</v>
      </c>
      <c r="D475" s="173" t="inlineStr">
        <is>
          <t>12.49 Km</t>
        </is>
      </c>
      <c r="E475" s="181" t="n">
        <v>26</v>
      </c>
      <c r="F475" s="182" t="n">
        <v>45</v>
      </c>
      <c r="G475" s="172" t="inlineStr">
        <is>
          <t>No</t>
        </is>
      </c>
      <c r="H475" s="170">
        <f>IF(A475="","",IF(OR(NOT(ISNUMBER(C475)),C475=""),"No",IF(AND(HOUR(C475)&gt;=0,HOUR(C475)&lt;5),"Yes","No")))</f>
        <v/>
      </c>
      <c r="I475" s="183">
        <f>IF(OR(B475="",NOT(ISNUMBER(B475))),"",INT(B475))</f>
        <v/>
      </c>
    </row>
    <row r="476" ht="15" customHeight="1" s="122">
      <c r="A476" s="179" t="inlineStr">
        <is>
          <t>KBB 102Q</t>
        </is>
      </c>
      <c r="B476" s="180" t="n">
        <v>46144.85836805555</v>
      </c>
      <c r="C476" s="180" t="n">
        <v>46144.85907407408</v>
      </c>
      <c r="D476" s="173" t="inlineStr">
        <is>
          <t>0.22 Km</t>
        </is>
      </c>
      <c r="E476" s="181" t="n">
        <v>9</v>
      </c>
      <c r="F476" s="182" t="n">
        <v>9</v>
      </c>
      <c r="G476" s="172" t="inlineStr">
        <is>
          <t>No</t>
        </is>
      </c>
      <c r="H476" s="170">
        <f>IF(A476="","",IF(OR(NOT(ISNUMBER(C476)),C476=""),"No",IF(AND(HOUR(C476)&gt;=0,HOUR(C476)&lt;5),"Yes","No")))</f>
        <v/>
      </c>
      <c r="I476" s="183">
        <f>IF(OR(B476="",NOT(ISNUMBER(B476))),"",INT(B476))</f>
        <v/>
      </c>
    </row>
    <row r="477" ht="15" customHeight="1" s="122">
      <c r="A477" s="179" t="inlineStr">
        <is>
          <t>KBB 102Q</t>
        </is>
      </c>
      <c r="B477" s="180" t="n">
        <v>46175.5824537037</v>
      </c>
      <c r="C477" s="180" t="n">
        <v>46175.58800925926</v>
      </c>
      <c r="D477" s="173" t="inlineStr">
        <is>
          <t>6.57 Km</t>
        </is>
      </c>
      <c r="E477" s="181" t="n">
        <v>53</v>
      </c>
      <c r="F477" s="182" t="n">
        <v>69</v>
      </c>
      <c r="G477" s="172" t="inlineStr">
        <is>
          <t>No</t>
        </is>
      </c>
      <c r="H477" s="170">
        <f>IF(A477="","",IF(OR(NOT(ISNUMBER(C477)),C477=""),"No",IF(AND(HOUR(C477)&gt;=0,HOUR(C477)&lt;5),"Yes","No")))</f>
        <v/>
      </c>
      <c r="I477" s="183">
        <f>IF(OR(B477="",NOT(ISNUMBER(B477))),"",INT(B477))</f>
        <v/>
      </c>
    </row>
    <row r="478" ht="15" customHeight="1" s="122">
      <c r="A478" s="179" t="inlineStr">
        <is>
          <t>KBB 102Q</t>
        </is>
      </c>
      <c r="B478" s="180" t="n">
        <v>46175.61130787037</v>
      </c>
      <c r="C478" s="180" t="n">
        <v>46175.64886574074</v>
      </c>
      <c r="D478" s="173" t="inlineStr">
        <is>
          <t>44.73 Km</t>
        </is>
      </c>
      <c r="E478" s="181" t="n">
        <v>49</v>
      </c>
      <c r="F478" s="182" t="n">
        <v>75</v>
      </c>
      <c r="G478" s="172" t="inlineStr">
        <is>
          <t>No</t>
        </is>
      </c>
      <c r="H478" s="170">
        <f>IF(A478="","",IF(OR(NOT(ISNUMBER(C478)),C478=""),"No",IF(AND(HOUR(C478)&gt;=0,HOUR(C478)&lt;5),"Yes","No")))</f>
        <v/>
      </c>
      <c r="I478" s="183">
        <f>IF(OR(B478="",NOT(ISNUMBER(B478))),"",INT(B478))</f>
        <v/>
      </c>
    </row>
    <row r="479" ht="15" customHeight="1" s="122">
      <c r="A479" s="179" t="inlineStr">
        <is>
          <t>KBB 102Q</t>
        </is>
      </c>
      <c r="B479" s="180" t="n">
        <v>46175.65425925926</v>
      </c>
      <c r="C479" s="180" t="n">
        <v>46175.68974537037</v>
      </c>
      <c r="D479" s="173" t="inlineStr">
        <is>
          <t>50.41 Km</t>
        </is>
      </c>
      <c r="E479" s="181" t="n">
        <v>56</v>
      </c>
      <c r="F479" s="182" t="n">
        <v>80</v>
      </c>
      <c r="G479" s="172" t="inlineStr">
        <is>
          <t>No</t>
        </is>
      </c>
      <c r="H479" s="170">
        <f>IF(A479="","",IF(OR(NOT(ISNUMBER(C479)),C479=""),"No",IF(AND(HOUR(C479)&gt;=0,HOUR(C479)&lt;5),"Yes","No")))</f>
        <v/>
      </c>
      <c r="I479" s="183">
        <f>IF(OR(B479="",NOT(ISNUMBER(B479))),"",INT(B479))</f>
        <v/>
      </c>
    </row>
    <row r="480" ht="15" customHeight="1" s="122">
      <c r="A480" s="179" t="inlineStr">
        <is>
          <t>KBB 102Q</t>
        </is>
      </c>
      <c r="B480" s="180" t="n">
        <v>46175.69043981482</v>
      </c>
      <c r="C480" s="180" t="n">
        <v>46175.69461805555</v>
      </c>
      <c r="D480" s="173" t="inlineStr">
        <is>
          <t>4.85 Km</t>
        </is>
      </c>
      <c r="E480" s="181" t="n">
        <v>50</v>
      </c>
      <c r="F480" s="182" t="n">
        <v>68</v>
      </c>
      <c r="G480" s="172" t="inlineStr">
        <is>
          <t>No</t>
        </is>
      </c>
      <c r="H480" s="170">
        <f>IF(A480="","",IF(OR(NOT(ISNUMBER(C480)),C480=""),"No",IF(AND(HOUR(C480)&gt;=0,HOUR(C480)&lt;5),"Yes","No")))</f>
        <v/>
      </c>
      <c r="I480" s="183">
        <f>IF(OR(B480="",NOT(ISNUMBER(B480))),"",INT(B480))</f>
        <v/>
      </c>
    </row>
    <row r="481" ht="15" customHeight="1" s="122">
      <c r="A481" s="179" t="inlineStr">
        <is>
          <t>KBB 102Q</t>
        </is>
      </c>
      <c r="B481" s="180" t="n">
        <v>46175.69953703704</v>
      </c>
      <c r="C481" s="180" t="n">
        <v>46175.70511574074</v>
      </c>
      <c r="D481" s="173" t="inlineStr">
        <is>
          <t>7.11 Km</t>
        </is>
      </c>
      <c r="E481" s="181" t="n">
        <v>42</v>
      </c>
      <c r="F481" s="182" t="n">
        <v>75</v>
      </c>
      <c r="G481" s="172" t="inlineStr">
        <is>
          <t>No</t>
        </is>
      </c>
      <c r="H481" s="170">
        <f>IF(A481="","",IF(OR(NOT(ISNUMBER(C481)),C481=""),"No",IF(AND(HOUR(C481)&gt;=0,HOUR(C481)&lt;5),"Yes","No")))</f>
        <v/>
      </c>
      <c r="I481" s="183">
        <f>IF(OR(B481="",NOT(ISNUMBER(B481))),"",INT(B481))</f>
        <v/>
      </c>
    </row>
    <row r="482" ht="15" customHeight="1" s="122">
      <c r="A482" s="179" t="inlineStr">
        <is>
          <t>KBB 102Q</t>
        </is>
      </c>
      <c r="B482" s="180" t="n">
        <v>46175.71554398148</v>
      </c>
      <c r="C482" s="180" t="n">
        <v>46175.72111111111</v>
      </c>
      <c r="D482" s="173" t="inlineStr">
        <is>
          <t>2.99 Km</t>
        </is>
      </c>
      <c r="E482" s="181" t="n">
        <v>25</v>
      </c>
      <c r="F482" s="182" t="n">
        <v>32</v>
      </c>
      <c r="G482" s="172" t="inlineStr">
        <is>
          <t>No</t>
        </is>
      </c>
      <c r="H482" s="170">
        <f>IF(A482="","",IF(OR(NOT(ISNUMBER(C482)),C482=""),"No",IF(AND(HOUR(C482)&gt;=0,HOUR(C482)&lt;5),"Yes","No")))</f>
        <v/>
      </c>
      <c r="I482" s="183">
        <f>IF(OR(B482="",NOT(ISNUMBER(B482))),"",INT(B482))</f>
        <v/>
      </c>
    </row>
    <row r="483" ht="15" customHeight="1" s="122">
      <c r="A483" s="179" t="inlineStr">
        <is>
          <t>KBB 102Q</t>
        </is>
      </c>
      <c r="B483" s="180" t="n">
        <v>46175.79439814815</v>
      </c>
      <c r="C483" s="180" t="n">
        <v>46175.79927083333</v>
      </c>
      <c r="D483" s="173" t="inlineStr">
        <is>
          <t>3.27 Km</t>
        </is>
      </c>
      <c r="E483" s="181" t="n">
        <v>25</v>
      </c>
      <c r="F483" s="182" t="n">
        <v>45</v>
      </c>
      <c r="G483" s="172" t="inlineStr">
        <is>
          <t>No</t>
        </is>
      </c>
      <c r="H483" s="170">
        <f>IF(A483="","",IF(OR(NOT(ISNUMBER(C483)),C483=""),"No",IF(AND(HOUR(C483)&gt;=0,HOUR(C483)&lt;5),"Yes","No")))</f>
        <v/>
      </c>
      <c r="I483" s="183">
        <f>IF(OR(B483="",NOT(ISNUMBER(B483))),"",INT(B483))</f>
        <v/>
      </c>
    </row>
    <row r="484" ht="15" customHeight="1" s="122">
      <c r="A484" s="179" t="inlineStr">
        <is>
          <t>KBB 102Q</t>
        </is>
      </c>
      <c r="B484" s="180" t="n">
        <v>46175.84719907407</v>
      </c>
      <c r="C484" s="180" t="n">
        <v>46175.8506712963</v>
      </c>
      <c r="D484" s="173" t="inlineStr">
        <is>
          <t>2.65 Km</t>
        </is>
      </c>
      <c r="E484" s="181" t="n">
        <v>38</v>
      </c>
      <c r="F484" s="182" t="n">
        <v>44</v>
      </c>
      <c r="G484" s="172" t="inlineStr">
        <is>
          <t>No</t>
        </is>
      </c>
      <c r="H484" s="170">
        <f>IF(A484="","",IF(OR(NOT(ISNUMBER(C484)),C484=""),"No",IF(AND(HOUR(C484)&gt;=0,HOUR(C484)&lt;5),"Yes","No")))</f>
        <v/>
      </c>
      <c r="I484" s="183">
        <f>IF(OR(B484="",NOT(ISNUMBER(B484))),"",INT(B484))</f>
        <v/>
      </c>
    </row>
    <row r="485" ht="15" customHeight="1" s="122">
      <c r="A485" s="179" t="inlineStr">
        <is>
          <t>KBB 102Q</t>
        </is>
      </c>
      <c r="B485" s="180" t="n">
        <v>46175.85568287037</v>
      </c>
      <c r="C485" s="180" t="n">
        <v>46175.86890046296</v>
      </c>
      <c r="D485" s="173" t="inlineStr">
        <is>
          <t>23.15 Km</t>
        </is>
      </c>
      <c r="E485" s="181" t="n">
        <v>61</v>
      </c>
      <c r="F485" s="182" t="n">
        <v>86</v>
      </c>
      <c r="G485" s="172" t="inlineStr">
        <is>
          <t>No</t>
        </is>
      </c>
      <c r="H485" s="170">
        <f>IF(A485="","",IF(OR(NOT(ISNUMBER(C485)),C485=""),"No",IF(AND(HOUR(C485)&gt;=0,HOUR(C485)&lt;5),"Yes","No")))</f>
        <v/>
      </c>
      <c r="I485" s="183">
        <f>IF(OR(B485="",NOT(ISNUMBER(B485))),"",INT(B485))</f>
        <v/>
      </c>
    </row>
    <row r="486" ht="15" customHeight="1" s="122">
      <c r="A486" s="179" t="inlineStr">
        <is>
          <t>KBB 102Q</t>
        </is>
      </c>
      <c r="B486" s="180" t="n">
        <v>46175.87381944444</v>
      </c>
      <c r="C486" s="180" t="n">
        <v>46175.88351851852</v>
      </c>
      <c r="D486" s="173" t="inlineStr">
        <is>
          <t>10.4 Km</t>
        </is>
      </c>
      <c r="E486" s="181" t="n">
        <v>33</v>
      </c>
      <c r="F486" s="182" t="n">
        <v>51</v>
      </c>
      <c r="G486" s="172" t="inlineStr">
        <is>
          <t>No</t>
        </is>
      </c>
      <c r="H486" s="170">
        <f>IF(A486="","",IF(OR(NOT(ISNUMBER(C486)),C486=""),"No",IF(AND(HOUR(C486)&gt;=0,HOUR(C486)&lt;5),"Yes","No")))</f>
        <v/>
      </c>
      <c r="I486" s="183">
        <f>IF(OR(B486="",NOT(ISNUMBER(B486))),"",INT(B486))</f>
        <v/>
      </c>
    </row>
    <row r="487" ht="15" customHeight="1" s="122">
      <c r="A487" s="179" t="inlineStr">
        <is>
          <t>KBB 102Q</t>
        </is>
      </c>
      <c r="B487" s="180" t="n">
        <v>46175.88780092593</v>
      </c>
      <c r="C487" s="180" t="n">
        <v>46175.89894675926</v>
      </c>
      <c r="D487" s="173" t="inlineStr">
        <is>
          <t>7.13 Km</t>
        </is>
      </c>
      <c r="E487" s="181" t="n">
        <v>22</v>
      </c>
      <c r="F487" s="182" t="n">
        <v>36</v>
      </c>
      <c r="G487" s="172" t="inlineStr">
        <is>
          <t>No</t>
        </is>
      </c>
      <c r="H487" s="170">
        <f>IF(A487="","",IF(OR(NOT(ISNUMBER(C487)),C487=""),"No",IF(AND(HOUR(C487)&gt;=0,HOUR(C487)&lt;5),"Yes","No")))</f>
        <v/>
      </c>
      <c r="I487" s="183">
        <f>IF(OR(B487="",NOT(ISNUMBER(B487))),"",INT(B487))</f>
        <v/>
      </c>
    </row>
    <row r="488" ht="15" customHeight="1" s="122">
      <c r="A488" s="179" t="inlineStr">
        <is>
          <t>KBB 102Q</t>
        </is>
      </c>
      <c r="B488" s="180" t="n">
        <v>46175.89962962963</v>
      </c>
      <c r="C488" s="180" t="n">
        <v>46175.90659722222</v>
      </c>
      <c r="D488" s="173" t="inlineStr">
        <is>
          <t>3.81 Km</t>
        </is>
      </c>
      <c r="E488" s="181" t="n">
        <v>30</v>
      </c>
      <c r="F488" s="182" t="n">
        <v>45</v>
      </c>
      <c r="G488" s="172" t="inlineStr">
        <is>
          <t>No</t>
        </is>
      </c>
      <c r="H488" s="170">
        <f>IF(A488="","",IF(OR(NOT(ISNUMBER(C488)),C488=""),"No",IF(AND(HOUR(C488)&gt;=0,HOUR(C488)&lt;5),"Yes","No")))</f>
        <v/>
      </c>
      <c r="I488" s="183">
        <f>IF(OR(B488="",NOT(ISNUMBER(B488))),"",INT(B488))</f>
        <v/>
      </c>
    </row>
    <row r="489" ht="15" customHeight="1" s="122">
      <c r="A489" s="179" t="inlineStr">
        <is>
          <t>KBB 102Q</t>
        </is>
      </c>
      <c r="B489" s="180" t="n">
        <v>46175.90728009259</v>
      </c>
      <c r="C489" s="180" t="n">
        <v>46175.91633101852</v>
      </c>
      <c r="D489" s="173" t="inlineStr">
        <is>
          <t>3.65 Km</t>
        </is>
      </c>
      <c r="E489" s="181" t="n">
        <v>23</v>
      </c>
      <c r="F489" s="182" t="n">
        <v>42</v>
      </c>
      <c r="G489" s="172" t="inlineStr">
        <is>
          <t>No</t>
        </is>
      </c>
      <c r="H489" s="170">
        <f>IF(A489="","",IF(OR(NOT(ISNUMBER(C489)),C489=""),"No",IF(AND(HOUR(C489)&gt;=0,HOUR(C489)&lt;5),"Yes","No")))</f>
        <v/>
      </c>
      <c r="I489" s="183">
        <f>IF(OR(B489="",NOT(ISNUMBER(B489))),"",INT(B489))</f>
        <v/>
      </c>
    </row>
    <row r="490" ht="15" customHeight="1" s="122">
      <c r="A490" s="179" t="inlineStr">
        <is>
          <t>KBB 102Q</t>
        </is>
      </c>
      <c r="B490" s="180" t="n">
        <v>46205.50334490741</v>
      </c>
      <c r="C490" s="180" t="n">
        <v>46205.5047337963</v>
      </c>
      <c r="D490" s="173" t="inlineStr">
        <is>
          <t>1.26 Km</t>
        </is>
      </c>
      <c r="E490" s="181" t="n">
        <v>26</v>
      </c>
      <c r="F490" s="182" t="n">
        <v>27</v>
      </c>
      <c r="G490" s="172" t="inlineStr">
        <is>
          <t>No</t>
        </is>
      </c>
      <c r="H490" s="170">
        <f>IF(A490="","",IF(OR(NOT(ISNUMBER(C490)),C490=""),"No",IF(AND(HOUR(C490)&gt;=0,HOUR(C490)&lt;5),"Yes","No")))</f>
        <v/>
      </c>
      <c r="I490" s="183">
        <f>IF(OR(B490="",NOT(ISNUMBER(B490))),"",INT(B490))</f>
        <v/>
      </c>
    </row>
    <row r="491" ht="15" customHeight="1" s="122">
      <c r="A491" s="179" t="inlineStr">
        <is>
          <t>KBB 102Q</t>
        </is>
      </c>
      <c r="B491" s="180" t="n">
        <v>46205.5096875</v>
      </c>
      <c r="C491" s="180" t="n">
        <v>46205.5159375</v>
      </c>
      <c r="D491" s="173" t="inlineStr">
        <is>
          <t>3.11 Km</t>
        </is>
      </c>
      <c r="E491" s="181" t="n">
        <v>14</v>
      </c>
      <c r="F491" s="182" t="n">
        <v>25</v>
      </c>
      <c r="G491" s="172" t="inlineStr">
        <is>
          <t>No</t>
        </is>
      </c>
      <c r="H491" s="170">
        <f>IF(A491="","",IF(OR(NOT(ISNUMBER(C491)),C491=""),"No",IF(AND(HOUR(C491)&gt;=0,HOUR(C491)&lt;5),"Yes","No")))</f>
        <v/>
      </c>
      <c r="I491" s="183">
        <f>IF(OR(B491="",NOT(ISNUMBER(B491))),"",INT(B491))</f>
        <v/>
      </c>
    </row>
    <row r="492" ht="15" customHeight="1" s="122">
      <c r="A492" s="179" t="inlineStr">
        <is>
          <t>KBB 102Q</t>
        </is>
      </c>
      <c r="B492" s="180" t="n">
        <v>46205.52084490741</v>
      </c>
      <c r="C492" s="180" t="n">
        <v>46205.52571759259</v>
      </c>
      <c r="D492" s="173" t="inlineStr">
        <is>
          <t>4.15 Km</t>
        </is>
      </c>
      <c r="E492" s="181" t="n">
        <v>22</v>
      </c>
      <c r="F492" s="182" t="n">
        <v>33</v>
      </c>
      <c r="G492" s="172" t="inlineStr">
        <is>
          <t>No</t>
        </is>
      </c>
      <c r="H492" s="170">
        <f>IF(A492="","",IF(OR(NOT(ISNUMBER(C492)),C492=""),"No",IF(AND(HOUR(C492)&gt;=0,HOUR(C492)&lt;5),"Yes","No")))</f>
        <v/>
      </c>
      <c r="I492" s="183">
        <f>IF(OR(B492="",NOT(ISNUMBER(B492))),"",INT(B492))</f>
        <v/>
      </c>
    </row>
    <row r="493" ht="15" customHeight="1" s="122">
      <c r="A493" s="179" t="inlineStr">
        <is>
          <t>KBB 102Q</t>
        </is>
      </c>
      <c r="B493" s="180" t="n">
        <v>46205.54515046296</v>
      </c>
      <c r="C493" s="180" t="n">
        <v>46205.5493287037</v>
      </c>
      <c r="D493" s="173" t="inlineStr">
        <is>
          <t>1.65 Km</t>
        </is>
      </c>
      <c r="E493" s="181" t="n">
        <v>14</v>
      </c>
      <c r="F493" s="182" t="n">
        <v>21</v>
      </c>
      <c r="G493" s="172" t="inlineStr">
        <is>
          <t>No</t>
        </is>
      </c>
      <c r="H493" s="170">
        <f>IF(A493="","",IF(OR(NOT(ISNUMBER(C493)),C493=""),"No",IF(AND(HOUR(C493)&gt;=0,HOUR(C493)&lt;5),"Yes","No")))</f>
        <v/>
      </c>
      <c r="I493" s="183">
        <f>IF(OR(B493="",NOT(ISNUMBER(B493))),"",INT(B493))</f>
        <v/>
      </c>
    </row>
    <row r="494" ht="15" customHeight="1" s="122">
      <c r="A494" s="179" t="inlineStr">
        <is>
          <t>KBB 102Q</t>
        </is>
      </c>
      <c r="B494" s="180" t="n">
        <v>46205.74633101852</v>
      </c>
      <c r="C494" s="180" t="n">
        <v>46205.74771990741</v>
      </c>
      <c r="D494" s="173" t="inlineStr">
        <is>
          <t>1.12 Km</t>
        </is>
      </c>
      <c r="E494" s="181" t="n">
        <v>16</v>
      </c>
      <c r="F494" s="182" t="n">
        <v>18</v>
      </c>
      <c r="G494" s="172" t="inlineStr">
        <is>
          <t>No</t>
        </is>
      </c>
      <c r="H494" s="170">
        <f>IF(A494="","",IF(OR(NOT(ISNUMBER(C494)),C494=""),"No",IF(AND(HOUR(C494)&gt;=0,HOUR(C494)&lt;5),"Yes","No")))</f>
        <v/>
      </c>
      <c r="I494" s="183">
        <f>IF(OR(B494="",NOT(ISNUMBER(B494))),"",INT(B494))</f>
        <v/>
      </c>
    </row>
    <row r="495" ht="15" customHeight="1" s="122">
      <c r="A495" s="179" t="inlineStr">
        <is>
          <t>KBB 102Q</t>
        </is>
      </c>
      <c r="B495" s="180" t="n">
        <v>46205.75363425926</v>
      </c>
      <c r="C495" s="180" t="n">
        <v>46205.75710648148</v>
      </c>
      <c r="D495" s="173" t="inlineStr">
        <is>
          <t>2.43 Km</t>
        </is>
      </c>
      <c r="E495" s="181" t="n">
        <v>34</v>
      </c>
      <c r="F495" s="182" t="n">
        <v>37</v>
      </c>
      <c r="G495" s="172" t="inlineStr">
        <is>
          <t>No</t>
        </is>
      </c>
      <c r="H495" s="170">
        <f>IF(A495="","",IF(OR(NOT(ISNUMBER(C495)),C495=""),"No",IF(AND(HOUR(C495)&gt;=0,HOUR(C495)&lt;5),"Yes","No")))</f>
        <v/>
      </c>
      <c r="I495" s="183">
        <f>IF(OR(B495="",NOT(ISNUMBER(B495))),"",INT(B495))</f>
        <v/>
      </c>
    </row>
    <row r="496" ht="15" customHeight="1" s="122">
      <c r="A496" s="179" t="inlineStr">
        <is>
          <t>KBB 102Q</t>
        </is>
      </c>
      <c r="B496" s="180" t="n">
        <v>46205.76185185185</v>
      </c>
      <c r="C496" s="180" t="n">
        <v>46205.76672453704</v>
      </c>
      <c r="D496" s="173" t="inlineStr">
        <is>
          <t>2.98 Km</t>
        </is>
      </c>
      <c r="E496" s="181" t="n">
        <v>18</v>
      </c>
      <c r="F496" s="182" t="n">
        <v>28</v>
      </c>
      <c r="G496" s="172" t="inlineStr">
        <is>
          <t>No</t>
        </is>
      </c>
      <c r="H496" s="170">
        <f>IF(A496="","",IF(OR(NOT(ISNUMBER(C496)),C496=""),"No",IF(AND(HOUR(C496)&gt;=0,HOUR(C496)&lt;5),"Yes","No")))</f>
        <v/>
      </c>
      <c r="I496" s="183">
        <f>IF(OR(B496="",NOT(ISNUMBER(B496))),"",INT(B496))</f>
        <v/>
      </c>
    </row>
    <row r="497" ht="15" customHeight="1" s="122">
      <c r="A497" s="179" t="inlineStr">
        <is>
          <t>KBB 102Q</t>
        </is>
      </c>
      <c r="B497" s="180" t="n">
        <v>46205.77240740741</v>
      </c>
      <c r="C497" s="180" t="n">
        <v>46205.77518518519</v>
      </c>
      <c r="D497" s="173" t="inlineStr">
        <is>
          <t>1.42 Km</t>
        </is>
      </c>
      <c r="E497" s="181" t="n">
        <v>11</v>
      </c>
      <c r="F497" s="182" t="n">
        <v>14</v>
      </c>
      <c r="G497" s="172" t="inlineStr">
        <is>
          <t>No</t>
        </is>
      </c>
      <c r="H497" s="170">
        <f>IF(A497="","",IF(OR(NOT(ISNUMBER(C497)),C497=""),"No",IF(AND(HOUR(C497)&gt;=0,HOUR(C497)&lt;5),"Yes","No")))</f>
        <v/>
      </c>
      <c r="I497" s="183">
        <f>IF(OR(B497="",NOT(ISNUMBER(B497))),"",INT(B497))</f>
        <v/>
      </c>
    </row>
    <row r="498" ht="15" customHeight="1" s="122">
      <c r="A498" s="179" t="inlineStr">
        <is>
          <t>KBB 102Q</t>
        </is>
      </c>
      <c r="B498" s="180" t="n">
        <v>46205.79585648148</v>
      </c>
      <c r="C498" s="180" t="n">
        <v>46205.80141203704</v>
      </c>
      <c r="D498" s="173" t="inlineStr">
        <is>
          <t>1.39 Km</t>
        </is>
      </c>
      <c r="E498" s="181" t="n">
        <v>13</v>
      </c>
      <c r="F498" s="182" t="n">
        <v>18</v>
      </c>
      <c r="G498" s="172" t="inlineStr">
        <is>
          <t>No</t>
        </is>
      </c>
      <c r="H498" s="170">
        <f>IF(A498="","",IF(OR(NOT(ISNUMBER(C498)),C498=""),"No",IF(AND(HOUR(C498)&gt;=0,HOUR(C498)&lt;5),"Yes","No")))</f>
        <v/>
      </c>
      <c r="I498" s="183">
        <f>IF(OR(B498="",NOT(ISNUMBER(B498))),"",INT(B498))</f>
        <v/>
      </c>
    </row>
    <row r="499" ht="15" customHeight="1" s="122">
      <c r="A499" s="179" t="inlineStr">
        <is>
          <t>KBB 102Q</t>
        </is>
      </c>
      <c r="B499" s="180" t="n">
        <v>46205.80887731481</v>
      </c>
      <c r="C499" s="180" t="n">
        <v>46205.81027777777</v>
      </c>
      <c r="D499" s="173" t="inlineStr">
        <is>
          <t>0.33 Km</t>
        </is>
      </c>
      <c r="E499" s="181" t="n">
        <v>10</v>
      </c>
      <c r="F499" s="182" t="n">
        <v>12</v>
      </c>
      <c r="G499" s="172" t="inlineStr">
        <is>
          <t>No</t>
        </is>
      </c>
      <c r="H499" s="170">
        <f>IF(A499="","",IF(OR(NOT(ISNUMBER(C499)),C499=""),"No",IF(AND(HOUR(C499)&gt;=0,HOUR(C499)&lt;5),"Yes","No")))</f>
        <v/>
      </c>
      <c r="I499" s="183">
        <f>IF(OR(B499="",NOT(ISNUMBER(B499))),"",INT(B499))</f>
        <v/>
      </c>
    </row>
    <row r="500" ht="15" customHeight="1" s="122">
      <c r="A500" s="179" t="inlineStr">
        <is>
          <t>KBB 102Q</t>
        </is>
      </c>
      <c r="B500" s="180" t="n">
        <v>46205.81097222222</v>
      </c>
      <c r="C500" s="180" t="n">
        <v>46205.81515046296</v>
      </c>
      <c r="D500" s="173" t="inlineStr">
        <is>
          <t>0.86 Km</t>
        </is>
      </c>
      <c r="E500" s="181" t="n">
        <v>9</v>
      </c>
      <c r="F500" s="182" t="n">
        <v>12</v>
      </c>
      <c r="G500" s="172" t="inlineStr">
        <is>
          <t>No</t>
        </is>
      </c>
      <c r="H500" s="170">
        <f>IF(A500="","",IF(OR(NOT(ISNUMBER(C500)),C500=""),"No",IF(AND(HOUR(C500)&gt;=0,HOUR(C500)&lt;5),"Yes","No")))</f>
        <v/>
      </c>
      <c r="I500" s="183">
        <f>IF(OR(B500="",NOT(ISNUMBER(B500))),"",INT(B500))</f>
        <v/>
      </c>
    </row>
    <row r="501" ht="15" customHeight="1" s="122">
      <c r="A501" s="179" t="inlineStr">
        <is>
          <t>KBB 102Q</t>
        </is>
      </c>
      <c r="B501" s="180" t="n">
        <v>46236.45283564815</v>
      </c>
      <c r="C501" s="180" t="n">
        <v>46236.45979166667</v>
      </c>
      <c r="D501" s="173" t="inlineStr">
        <is>
          <t>4.53 Km</t>
        </is>
      </c>
      <c r="E501" s="181" t="n">
        <v>36</v>
      </c>
      <c r="F501" s="182" t="n">
        <v>59</v>
      </c>
      <c r="G501" s="172" t="inlineStr">
        <is>
          <t>No</t>
        </is>
      </c>
      <c r="H501" s="170">
        <f>IF(A501="","",IF(OR(NOT(ISNUMBER(C501)),C501=""),"No",IF(AND(HOUR(C501)&gt;=0,HOUR(C501)&lt;5),"Yes","No")))</f>
        <v/>
      </c>
      <c r="I501" s="183">
        <f>IF(OR(B501="",NOT(ISNUMBER(B501))),"",INT(B501))</f>
        <v/>
      </c>
    </row>
    <row r="502" ht="15" customHeight="1" s="122">
      <c r="A502" s="179" t="inlineStr">
        <is>
          <t>KBB 102Q</t>
        </is>
      </c>
      <c r="B502" s="180" t="n">
        <v>46236.62116898148</v>
      </c>
      <c r="C502" s="180" t="n">
        <v>46236.62604166667</v>
      </c>
      <c r="D502" s="173" t="inlineStr">
        <is>
          <t>1.91 Km</t>
        </is>
      </c>
      <c r="E502" s="181" t="n">
        <v>27</v>
      </c>
      <c r="F502" s="182" t="n">
        <v>36</v>
      </c>
      <c r="G502" s="172" t="inlineStr">
        <is>
          <t>No</t>
        </is>
      </c>
      <c r="H502" s="170">
        <f>IF(A502="","",IF(OR(NOT(ISNUMBER(C502)),C502=""),"No",IF(AND(HOUR(C502)&gt;=0,HOUR(C502)&lt;5),"Yes","No")))</f>
        <v/>
      </c>
      <c r="I502" s="183">
        <f>IF(OR(B502="",NOT(ISNUMBER(B502))),"",INT(B502))</f>
        <v/>
      </c>
    </row>
    <row r="503" ht="15" customHeight="1" s="122">
      <c r="A503" s="179" t="inlineStr">
        <is>
          <t>KBB 102Q</t>
        </is>
      </c>
      <c r="B503" s="180" t="n">
        <v>46236.63086805555</v>
      </c>
      <c r="C503" s="180" t="n">
        <v>46236.63155092593</v>
      </c>
      <c r="D503" s="173" t="inlineStr">
        <is>
          <t>0.59 Km</t>
        </is>
      </c>
      <c r="E503" s="181" t="n">
        <v>36</v>
      </c>
      <c r="F503" s="182" t="n">
        <v>36</v>
      </c>
      <c r="G503" s="172" t="inlineStr">
        <is>
          <t>No</t>
        </is>
      </c>
      <c r="H503" s="170">
        <f>IF(A503="","",IF(OR(NOT(ISNUMBER(C503)),C503=""),"No",IF(AND(HOUR(C503)&gt;=0,HOUR(C503)&lt;5),"Yes","No")))</f>
        <v/>
      </c>
      <c r="I503" s="183">
        <f>IF(OR(B503="",NOT(ISNUMBER(B503))),"",INT(B503))</f>
        <v/>
      </c>
    </row>
    <row r="504" ht="15" customHeight="1" s="122">
      <c r="A504" s="179" t="inlineStr">
        <is>
          <t>KBB 102Q</t>
        </is>
      </c>
      <c r="B504" s="180" t="n">
        <v>46236.75099537037</v>
      </c>
      <c r="C504" s="180" t="n">
        <v>46236.75516203704</v>
      </c>
      <c r="D504" s="173" t="inlineStr">
        <is>
          <t>1.77 Km</t>
        </is>
      </c>
      <c r="E504" s="181" t="n">
        <v>20</v>
      </c>
      <c r="F504" s="182" t="n">
        <v>42</v>
      </c>
      <c r="G504" s="172" t="inlineStr">
        <is>
          <t>No</t>
        </is>
      </c>
      <c r="H504" s="170">
        <f>IF(A504="","",IF(OR(NOT(ISNUMBER(C504)),C504=""),"No",IF(AND(HOUR(C504)&gt;=0,HOUR(C504)&lt;5),"Yes","No")))</f>
        <v/>
      </c>
      <c r="I504" s="183">
        <f>IF(OR(B504="",NOT(ISNUMBER(B504))),"",INT(B504))</f>
        <v/>
      </c>
    </row>
    <row r="505" ht="15" customHeight="1" s="122">
      <c r="A505" s="179" t="inlineStr">
        <is>
          <t>KBB 102Q</t>
        </is>
      </c>
      <c r="B505" s="180" t="n">
        <v>46236.75585648148</v>
      </c>
      <c r="C505" s="180" t="n">
        <v>46236.75795138889</v>
      </c>
      <c r="D505" s="173" t="inlineStr">
        <is>
          <t>0.48 Km</t>
        </is>
      </c>
      <c r="E505" s="181" t="n">
        <v>11</v>
      </c>
      <c r="F505" s="182" t="n">
        <v>14</v>
      </c>
      <c r="G505" s="172" t="inlineStr">
        <is>
          <t>No</t>
        </is>
      </c>
      <c r="H505" s="170">
        <f>IF(A505="","",IF(OR(NOT(ISNUMBER(C505)),C505=""),"No",IF(AND(HOUR(C505)&gt;=0,HOUR(C505)&lt;5),"Yes","No")))</f>
        <v/>
      </c>
      <c r="I505" s="183">
        <f>IF(OR(B505="",NOT(ISNUMBER(B505))),"",INT(B505))</f>
        <v/>
      </c>
    </row>
    <row r="506" ht="15" customHeight="1" s="122">
      <c r="A506" s="179" t="inlineStr">
        <is>
          <t>KBB 102Q</t>
        </is>
      </c>
      <c r="B506" s="180" t="n">
        <v>46267.68020833333</v>
      </c>
      <c r="C506" s="180" t="n">
        <v>46267.69690972222</v>
      </c>
      <c r="D506" s="173" t="inlineStr">
        <is>
          <t>6.72 Km</t>
        </is>
      </c>
      <c r="E506" s="181" t="n">
        <v>22</v>
      </c>
      <c r="F506" s="182" t="n">
        <v>51</v>
      </c>
      <c r="G506" s="172" t="inlineStr">
        <is>
          <t>No</t>
        </is>
      </c>
      <c r="H506" s="170">
        <f>IF(A506="","",IF(OR(NOT(ISNUMBER(C506)),C506=""),"No",IF(AND(HOUR(C506)&gt;=0,HOUR(C506)&lt;5),"Yes","No")))</f>
        <v/>
      </c>
      <c r="I506" s="183">
        <f>IF(OR(B506="",NOT(ISNUMBER(B506))),"",INT(B506))</f>
        <v/>
      </c>
    </row>
    <row r="507" ht="15" customHeight="1" s="122">
      <c r="A507" s="179" t="inlineStr">
        <is>
          <t>KBB 102Q</t>
        </is>
      </c>
      <c r="B507" s="180" t="n">
        <v>46267.69760416666</v>
      </c>
      <c r="C507" s="180" t="n">
        <v>46267.71637731481</v>
      </c>
      <c r="D507" s="173" t="inlineStr">
        <is>
          <t>11.17 Km</t>
        </is>
      </c>
      <c r="E507" s="181" t="n">
        <v>30</v>
      </c>
      <c r="F507" s="182" t="n">
        <v>71</v>
      </c>
      <c r="G507" s="172" t="inlineStr">
        <is>
          <t>No</t>
        </is>
      </c>
      <c r="H507" s="170">
        <f>IF(A507="","",IF(OR(NOT(ISNUMBER(C507)),C507=""),"No",IF(AND(HOUR(C507)&gt;=0,HOUR(C507)&lt;5),"Yes","No")))</f>
        <v/>
      </c>
      <c r="I507" s="183">
        <f>IF(OR(B507="",NOT(ISNUMBER(B507))),"",INT(B507))</f>
        <v/>
      </c>
    </row>
    <row r="508" ht="15" customHeight="1" s="122">
      <c r="A508" s="179" t="inlineStr">
        <is>
          <t>KBB 102Q</t>
        </is>
      </c>
      <c r="B508" s="180" t="n">
        <v>46267.72129629629</v>
      </c>
      <c r="C508" s="180" t="n">
        <v>46267.74076388889</v>
      </c>
      <c r="D508" s="173" t="inlineStr">
        <is>
          <t>29.46 Km</t>
        </is>
      </c>
      <c r="E508" s="181" t="n">
        <v>64</v>
      </c>
      <c r="F508" s="182" t="n">
        <v>80</v>
      </c>
      <c r="G508" s="172" t="inlineStr">
        <is>
          <t>No</t>
        </is>
      </c>
      <c r="H508" s="170">
        <f>IF(A508="","",IF(OR(NOT(ISNUMBER(C508)),C508=""),"No",IF(AND(HOUR(C508)&gt;=0,HOUR(C508)&lt;5),"Yes","No")))</f>
        <v/>
      </c>
      <c r="I508" s="183">
        <f>IF(OR(B508="",NOT(ISNUMBER(B508))),"",INT(B508))</f>
        <v/>
      </c>
    </row>
    <row r="509" ht="15" customHeight="1" s="122">
      <c r="A509" s="179" t="inlineStr">
        <is>
          <t>KBB 102Q</t>
        </is>
      </c>
      <c r="B509" s="180" t="n">
        <v>46267.74649305556</v>
      </c>
      <c r="C509" s="180" t="n">
        <v>46267.82303240741</v>
      </c>
      <c r="D509" s="173" t="inlineStr">
        <is>
          <t>100.54 Km</t>
        </is>
      </c>
      <c r="E509" s="181" t="n">
        <v>55</v>
      </c>
      <c r="F509" s="182" t="n">
        <v>79</v>
      </c>
      <c r="G509" s="172" t="inlineStr">
        <is>
          <t>No</t>
        </is>
      </c>
      <c r="H509" s="170">
        <f>IF(A509="","",IF(OR(NOT(ISNUMBER(C509)),C509=""),"No",IF(AND(HOUR(C509)&gt;=0,HOUR(C509)&lt;5),"Yes","No")))</f>
        <v/>
      </c>
      <c r="I509" s="183">
        <f>IF(OR(B509="",NOT(ISNUMBER(B509))),"",INT(B509))</f>
        <v/>
      </c>
    </row>
    <row r="510" ht="15" customHeight="1" s="122">
      <c r="A510" s="179" t="inlineStr">
        <is>
          <t>KBB 102Q</t>
        </is>
      </c>
      <c r="B510" s="180" t="n">
        <v>46267.82372685185</v>
      </c>
      <c r="C510" s="180" t="n">
        <v>46267.86129629629</v>
      </c>
      <c r="D510" s="173" t="inlineStr">
        <is>
          <t>48.77 Km</t>
        </is>
      </c>
      <c r="E510" s="181" t="n">
        <v>55</v>
      </c>
      <c r="F510" s="182" t="n">
        <v>82</v>
      </c>
      <c r="G510" s="172" t="inlineStr">
        <is>
          <t>No</t>
        </is>
      </c>
      <c r="H510" s="170">
        <f>IF(A510="","",IF(OR(NOT(ISNUMBER(C510)),C510=""),"No",IF(AND(HOUR(C510)&gt;=0,HOUR(C510)&lt;5),"Yes","No")))</f>
        <v/>
      </c>
      <c r="I510" s="183">
        <f>IF(OR(B510="",NOT(ISNUMBER(B510))),"",INT(B510))</f>
        <v/>
      </c>
    </row>
    <row r="511" ht="15" customHeight="1" s="122">
      <c r="A511" s="179" t="inlineStr">
        <is>
          <t>KBB 102Q</t>
        </is>
      </c>
      <c r="B511" s="180" t="n">
        <v>46267.86672453704</v>
      </c>
      <c r="C511" s="180" t="n">
        <v>46267.88412037037</v>
      </c>
      <c r="D511" s="173" t="inlineStr">
        <is>
          <t>12.44 Km</t>
        </is>
      </c>
      <c r="E511" s="181" t="n">
        <v>31</v>
      </c>
      <c r="F511" s="182" t="n">
        <v>81</v>
      </c>
      <c r="G511" s="172" t="inlineStr">
        <is>
          <t>No</t>
        </is>
      </c>
      <c r="H511" s="170">
        <f>IF(A511="","",IF(OR(NOT(ISNUMBER(C511)),C511=""),"No",IF(AND(HOUR(C511)&gt;=0,HOUR(C511)&lt;5),"Yes","No")))</f>
        <v/>
      </c>
      <c r="I511" s="183">
        <f>IF(OR(B511="",NOT(ISNUMBER(B511))),"",INT(B511))</f>
        <v/>
      </c>
    </row>
    <row r="512" ht="15" customHeight="1" s="122">
      <c r="A512" s="179" t="inlineStr">
        <is>
          <t>KBB 102Q</t>
        </is>
      </c>
      <c r="B512" s="180" t="n">
        <v>46267.89063657408</v>
      </c>
      <c r="C512" s="180" t="n">
        <v>46267.89690972222</v>
      </c>
      <c r="D512" s="173" t="inlineStr">
        <is>
          <t>2.88 Km</t>
        </is>
      </c>
      <c r="E512" s="181" t="n">
        <v>21</v>
      </c>
      <c r="F512" s="182" t="n">
        <v>39</v>
      </c>
      <c r="G512" s="172" t="inlineStr">
        <is>
          <t>No</t>
        </is>
      </c>
      <c r="H512" s="170">
        <f>IF(A512="","",IF(OR(NOT(ISNUMBER(C512)),C512=""),"No",IF(AND(HOUR(C512)&gt;=0,HOUR(C512)&lt;5),"Yes","No")))</f>
        <v/>
      </c>
      <c r="I512" s="183">
        <f>IF(OR(B512="",NOT(ISNUMBER(B512))),"",INT(B512))</f>
        <v/>
      </c>
    </row>
    <row r="513" ht="15" customHeight="1" s="122">
      <c r="A513" s="179" t="inlineStr">
        <is>
          <t>KBB 102Q</t>
        </is>
      </c>
      <c r="B513" s="180" t="n">
        <v>46297.48209490741</v>
      </c>
      <c r="C513" s="180" t="n">
        <v>46297.48487268519</v>
      </c>
      <c r="D513" s="173" t="inlineStr">
        <is>
          <t>1.25 Km</t>
        </is>
      </c>
      <c r="E513" s="181" t="n">
        <v>23</v>
      </c>
      <c r="F513" s="182" t="n">
        <v>31</v>
      </c>
      <c r="G513" s="172" t="inlineStr">
        <is>
          <t>No</t>
        </is>
      </c>
      <c r="H513" s="170">
        <f>IF(A513="","",IF(OR(NOT(ISNUMBER(C513)),C513=""),"No",IF(AND(HOUR(C513)&gt;=0,HOUR(C513)&lt;5),"Yes","No")))</f>
        <v/>
      </c>
      <c r="I513" s="183">
        <f>IF(OR(B513="",NOT(ISNUMBER(B513))),"",INT(B513))</f>
        <v/>
      </c>
    </row>
    <row r="514" ht="15" customHeight="1" s="122">
      <c r="A514" s="179" t="inlineStr">
        <is>
          <t>KBB 102Q</t>
        </is>
      </c>
      <c r="B514" s="180" t="n">
        <v>46297.48989583334</v>
      </c>
      <c r="C514" s="180" t="n">
        <v>46297.49128472222</v>
      </c>
      <c r="D514" s="173" t="inlineStr">
        <is>
          <t>1.13 Km</t>
        </is>
      </c>
      <c r="E514" s="181" t="n">
        <v>20</v>
      </c>
      <c r="F514" s="182" t="n">
        <v>24</v>
      </c>
      <c r="G514" s="172" t="inlineStr">
        <is>
          <t>No</t>
        </is>
      </c>
      <c r="H514" s="170">
        <f>IF(A514="","",IF(OR(NOT(ISNUMBER(C514)),C514=""),"No",IF(AND(HOUR(C514)&gt;=0,HOUR(C514)&lt;5),"Yes","No")))</f>
        <v/>
      </c>
      <c r="I514" s="183">
        <f>IF(OR(B514="",NOT(ISNUMBER(B514))),"",INT(B514))</f>
        <v/>
      </c>
    </row>
    <row r="515" ht="15" customHeight="1" s="122">
      <c r="A515" s="179" t="inlineStr">
        <is>
          <t>KBB 102Q</t>
        </is>
      </c>
      <c r="B515" s="180" t="n">
        <v>46297.59024305556</v>
      </c>
      <c r="C515" s="180" t="n">
        <v>46297.59440972222</v>
      </c>
      <c r="D515" s="173" t="inlineStr">
        <is>
          <t>0.98 Km</t>
        </is>
      </c>
      <c r="E515" s="181" t="n">
        <v>14</v>
      </c>
      <c r="F515" s="182" t="n">
        <v>18</v>
      </c>
      <c r="G515" s="172" t="inlineStr">
        <is>
          <t>No</t>
        </is>
      </c>
      <c r="H515" s="170">
        <f>IF(A515="","",IF(OR(NOT(ISNUMBER(C515)),C515=""),"No",IF(AND(HOUR(C515)&gt;=0,HOUR(C515)&lt;5),"Yes","No")))</f>
        <v/>
      </c>
      <c r="I515" s="183">
        <f>IF(OR(B515="",NOT(ISNUMBER(B515))),"",INT(B515))</f>
        <v/>
      </c>
    </row>
    <row r="516" ht="15" customHeight="1" s="122">
      <c r="A516" s="179" t="inlineStr">
        <is>
          <t>KBB 102Q</t>
        </is>
      </c>
      <c r="B516" s="180" t="n">
        <v>46297.59931712963</v>
      </c>
      <c r="C516" s="180" t="n">
        <v>46297.60209490741</v>
      </c>
      <c r="D516" s="173" t="inlineStr">
        <is>
          <t>2.18 Km</t>
        </is>
      </c>
      <c r="E516" s="181" t="n">
        <v>27</v>
      </c>
      <c r="F516" s="182" t="n">
        <v>39</v>
      </c>
      <c r="G516" s="172" t="inlineStr">
        <is>
          <t>No</t>
        </is>
      </c>
      <c r="H516" s="170">
        <f>IF(A516="","",IF(OR(NOT(ISNUMBER(C516)),C516=""),"No",IF(AND(HOUR(C516)&gt;=0,HOUR(C516)&lt;5),"Yes","No")))</f>
        <v/>
      </c>
      <c r="I516" s="183">
        <f>IF(OR(B516="",NOT(ISNUMBER(B516))),"",INT(B516))</f>
        <v/>
      </c>
    </row>
    <row r="517" ht="15" customHeight="1" s="122">
      <c r="A517" s="179" t="inlineStr">
        <is>
          <t>KBB 102Q</t>
        </is>
      </c>
      <c r="B517" s="180" t="n">
        <v>46297.60280092592</v>
      </c>
      <c r="C517" s="180" t="n">
        <v>46297.60417824074</v>
      </c>
      <c r="D517" s="173" t="inlineStr">
        <is>
          <t>0.47 Km</t>
        </is>
      </c>
      <c r="E517" s="181" t="n">
        <v>28</v>
      </c>
      <c r="F517" s="182" t="n">
        <v>37</v>
      </c>
      <c r="G517" s="172" t="inlineStr">
        <is>
          <t>No</t>
        </is>
      </c>
      <c r="H517" s="170">
        <f>IF(A517="","",IF(OR(NOT(ISNUMBER(C517)),C517=""),"No",IF(AND(HOUR(C517)&gt;=0,HOUR(C517)&lt;5),"Yes","No")))</f>
        <v/>
      </c>
      <c r="I517" s="183">
        <f>IF(OR(B517="",NOT(ISNUMBER(B517))),"",INT(B517))</f>
        <v/>
      </c>
    </row>
    <row r="518" ht="15" customHeight="1" s="122">
      <c r="A518" s="179" t="inlineStr">
        <is>
          <t>KBB 102Q</t>
        </is>
      </c>
      <c r="B518" s="180" t="n">
        <v>46297.7062962963</v>
      </c>
      <c r="C518" s="180" t="n">
        <v>46297.70908564814</v>
      </c>
      <c r="D518" s="173" t="inlineStr">
        <is>
          <t>0.81 Km</t>
        </is>
      </c>
      <c r="E518" s="181" t="n">
        <v>14</v>
      </c>
      <c r="F518" s="182" t="n">
        <v>19</v>
      </c>
      <c r="G518" s="172" t="inlineStr">
        <is>
          <t>No</t>
        </is>
      </c>
      <c r="H518" s="170">
        <f>IF(A518="","",IF(OR(NOT(ISNUMBER(C518)),C518=""),"No",IF(AND(HOUR(C518)&gt;=0,HOUR(C518)&lt;5),"Yes","No")))</f>
        <v/>
      </c>
      <c r="I518" s="183">
        <f>IF(OR(B518="",NOT(ISNUMBER(B518))),"",INT(B518))</f>
        <v/>
      </c>
    </row>
    <row r="519" ht="15" customHeight="1" s="122">
      <c r="A519" s="179" t="inlineStr">
        <is>
          <t>KBB 102Q</t>
        </is>
      </c>
      <c r="B519" s="180" t="n">
        <v>46297.88657407407</v>
      </c>
      <c r="C519" s="180" t="n">
        <v>46297.89770833333</v>
      </c>
      <c r="D519" s="173" t="inlineStr">
        <is>
          <t>4.67 Km</t>
        </is>
      </c>
      <c r="E519" s="181" t="n">
        <v>17</v>
      </c>
      <c r="F519" s="182" t="n">
        <v>28</v>
      </c>
      <c r="G519" s="172" t="inlineStr">
        <is>
          <t>No</t>
        </is>
      </c>
      <c r="H519" s="170">
        <f>IF(A519="","",IF(OR(NOT(ISNUMBER(C519)),C519=""),"No",IF(AND(HOUR(C519)&gt;=0,HOUR(C519)&lt;5),"Yes","No")))</f>
        <v/>
      </c>
      <c r="I519" s="183">
        <f>IF(OR(B519="",NOT(ISNUMBER(B519))),"",INT(B519))</f>
        <v/>
      </c>
    </row>
    <row r="520" ht="15" customHeight="1" s="122">
      <c r="A520" s="179" t="inlineStr">
        <is>
          <t>KBB 102Q</t>
        </is>
      </c>
      <c r="B520" s="180" t="n">
        <v>46297.89909722222</v>
      </c>
      <c r="C520" s="180" t="n">
        <v>46297.9171875</v>
      </c>
      <c r="D520" s="173" t="inlineStr">
        <is>
          <t>10.25 Km</t>
        </is>
      </c>
      <c r="E520" s="181" t="n">
        <v>30</v>
      </c>
      <c r="F520" s="182" t="n">
        <v>81</v>
      </c>
      <c r="G520" s="172" t="inlineStr">
        <is>
          <t>Yes</t>
        </is>
      </c>
      <c r="H520" s="170">
        <f>IF(A520="","",IF(OR(NOT(ISNUMBER(C520)),C520=""),"No",IF(AND(HOUR(C520)&gt;=0,HOUR(C520)&lt;5),"Yes","No")))</f>
        <v/>
      </c>
      <c r="I520" s="183">
        <f>IF(OR(B520="",NOT(ISNUMBER(B520))),"",INT(B520))</f>
        <v/>
      </c>
    </row>
    <row r="521" ht="15" customHeight="1" s="122">
      <c r="A521" s="179" t="inlineStr">
        <is>
          <t>KBB 102Q</t>
        </is>
      </c>
      <c r="B521" s="180" t="n">
        <v>46297.91787037037</v>
      </c>
      <c r="C521" s="180" t="n">
        <v>46297.92274305555</v>
      </c>
      <c r="D521" s="173" t="inlineStr">
        <is>
          <t>2.25 Km</t>
        </is>
      </c>
      <c r="E521" s="181" t="n">
        <v>19</v>
      </c>
      <c r="F521" s="182" t="n">
        <v>36</v>
      </c>
      <c r="G521" s="172" t="inlineStr">
        <is>
          <t>Yes</t>
        </is>
      </c>
      <c r="H521" s="170">
        <f>IF(A521="","",IF(OR(NOT(ISNUMBER(C521)),C521=""),"No",IF(AND(HOUR(C521)&gt;=0,HOUR(C521)&lt;5),"Yes","No")))</f>
        <v/>
      </c>
      <c r="I521" s="183">
        <f>IF(OR(B521="",NOT(ISNUMBER(B521))),"",INT(B521))</f>
        <v/>
      </c>
    </row>
    <row r="522" ht="15" customHeight="1" s="122">
      <c r="A522" s="179" t="inlineStr">
        <is>
          <t>KBB 102Q</t>
        </is>
      </c>
      <c r="B522" s="180" t="n">
        <v>46328.38318287037</v>
      </c>
      <c r="C522" s="180" t="n">
        <v>46328.39291666666</v>
      </c>
      <c r="D522" s="173" t="inlineStr">
        <is>
          <t>4.46 Km</t>
        </is>
      </c>
      <c r="E522" s="181" t="n">
        <v>22</v>
      </c>
      <c r="F522" s="182" t="n">
        <v>49</v>
      </c>
      <c r="G522" s="172" t="inlineStr">
        <is>
          <t>No</t>
        </is>
      </c>
      <c r="H522" s="170">
        <f>IF(A522="","",IF(OR(NOT(ISNUMBER(C522)),C522=""),"No",IF(AND(HOUR(C522)&gt;=0,HOUR(C522)&lt;5),"Yes","No")))</f>
        <v/>
      </c>
      <c r="I522" s="183">
        <f>IF(OR(B522="",NOT(ISNUMBER(B522))),"",INT(B522))</f>
        <v/>
      </c>
    </row>
    <row r="523" ht="15" customHeight="1" s="122">
      <c r="A523" s="179" t="inlineStr">
        <is>
          <t>KBB 102Q</t>
        </is>
      </c>
      <c r="B523" s="180" t="n">
        <v>46328.39362268519</v>
      </c>
      <c r="C523" s="180" t="n">
        <v>46328.39431712963</v>
      </c>
      <c r="D523" s="173" t="inlineStr">
        <is>
          <t>0.09 Km</t>
        </is>
      </c>
      <c r="E523" s="181" t="n">
        <v>8</v>
      </c>
      <c r="F523" s="182" t="n">
        <v>8</v>
      </c>
      <c r="G523" s="172" t="inlineStr">
        <is>
          <t>No</t>
        </is>
      </c>
      <c r="H523" s="170">
        <f>IF(A523="","",IF(OR(NOT(ISNUMBER(C523)),C523=""),"No",IF(AND(HOUR(C523)&gt;=0,HOUR(C523)&lt;5),"Yes","No")))</f>
        <v/>
      </c>
      <c r="I523" s="183">
        <f>IF(OR(B523="",NOT(ISNUMBER(B523))),"",INT(B523))</f>
        <v/>
      </c>
    </row>
    <row r="524" ht="15" customHeight="1" s="122">
      <c r="A524" s="179" t="inlineStr">
        <is>
          <t>KBB 102Q</t>
        </is>
      </c>
      <c r="B524" s="180" t="n">
        <v>46328.56679398148</v>
      </c>
      <c r="C524" s="180" t="n">
        <v>46328.56958333333</v>
      </c>
      <c r="D524" s="173" t="inlineStr">
        <is>
          <t>0.59 Km</t>
        </is>
      </c>
      <c r="E524" s="181" t="n">
        <v>15</v>
      </c>
      <c r="F524" s="182" t="n">
        <v>27</v>
      </c>
      <c r="G524" s="172" t="inlineStr">
        <is>
          <t>No</t>
        </is>
      </c>
      <c r="H524" s="170">
        <f>IF(A524="","",IF(OR(NOT(ISNUMBER(C524)),C524=""),"No",IF(AND(HOUR(C524)&gt;=0,HOUR(C524)&lt;5),"Yes","No")))</f>
        <v/>
      </c>
      <c r="I524" s="183">
        <f>IF(OR(B524="",NOT(ISNUMBER(B524))),"",INT(B524))</f>
        <v/>
      </c>
    </row>
    <row r="525" ht="15" customHeight="1" s="122">
      <c r="A525" s="179" t="inlineStr">
        <is>
          <t>KBB 102Q</t>
        </is>
      </c>
      <c r="B525" s="180" t="n">
        <v>46328.5746875</v>
      </c>
      <c r="C525" s="180" t="n">
        <v>46328.57678240741</v>
      </c>
      <c r="D525" s="173" t="inlineStr">
        <is>
          <t>2.57 Km</t>
        </is>
      </c>
      <c r="E525" s="181" t="n">
        <v>15</v>
      </c>
      <c r="F525" s="182" t="n">
        <v>18</v>
      </c>
      <c r="G525" s="172" t="inlineStr">
        <is>
          <t>No</t>
        </is>
      </c>
      <c r="H525" s="170">
        <f>IF(A525="","",IF(OR(NOT(ISNUMBER(C525)),C525=""),"No",IF(AND(HOUR(C525)&gt;=0,HOUR(C525)&lt;5),"Yes","No")))</f>
        <v/>
      </c>
      <c r="I525" s="183">
        <f>IF(OR(B525="",NOT(ISNUMBER(B525))),"",INT(B525))</f>
        <v/>
      </c>
    </row>
    <row r="526" ht="15" customHeight="1" s="122">
      <c r="A526" s="179" t="inlineStr">
        <is>
          <t>KBB 102Q</t>
        </is>
      </c>
      <c r="B526" s="180" t="n">
        <v>46328.57746527778</v>
      </c>
      <c r="C526" s="180" t="n">
        <v>46328.58025462963</v>
      </c>
      <c r="D526" s="173" t="inlineStr">
        <is>
          <t>0.78 Km</t>
        </is>
      </c>
      <c r="E526" s="181" t="n">
        <v>17</v>
      </c>
      <c r="F526" s="182" t="n">
        <v>30</v>
      </c>
      <c r="G526" s="172" t="inlineStr">
        <is>
          <t>No</t>
        </is>
      </c>
      <c r="H526" s="170">
        <f>IF(A526="","",IF(OR(NOT(ISNUMBER(C526)),C526=""),"No",IF(AND(HOUR(C526)&gt;=0,HOUR(C526)&lt;5),"Yes","No")))</f>
        <v/>
      </c>
      <c r="I526" s="183">
        <f>IF(OR(B526="",NOT(ISNUMBER(B526))),"",INT(B526))</f>
        <v/>
      </c>
    </row>
    <row r="527" ht="15" customHeight="1" s="122">
      <c r="A527" s="179" t="inlineStr">
        <is>
          <t>KBB 102Q</t>
        </is>
      </c>
      <c r="B527" s="180" t="n">
        <v>46328.8788425926</v>
      </c>
      <c r="C527" s="180" t="n">
        <v>46328.89761574074</v>
      </c>
      <c r="D527" s="173" t="inlineStr">
        <is>
          <t>10.56 Km</t>
        </is>
      </c>
      <c r="E527" s="181" t="n">
        <v>21</v>
      </c>
      <c r="F527" s="182" t="n">
        <v>74</v>
      </c>
      <c r="G527" s="172" t="inlineStr">
        <is>
          <t>No</t>
        </is>
      </c>
      <c r="H527" s="170">
        <f>IF(A527="","",IF(OR(NOT(ISNUMBER(C527)),C527=""),"No",IF(AND(HOUR(C527)&gt;=0,HOUR(C527)&lt;5),"Yes","No")))</f>
        <v/>
      </c>
      <c r="I527" s="183">
        <f>IF(OR(B527="",NOT(ISNUMBER(B527))),"",INT(B527))</f>
        <v/>
      </c>
    </row>
    <row r="528" ht="15" customHeight="1" s="122">
      <c r="A528" s="179" t="inlineStr">
        <is>
          <t>KBB 102Q</t>
        </is>
      </c>
      <c r="B528" s="180" t="n">
        <v>46328.90416666667</v>
      </c>
      <c r="C528" s="180" t="n">
        <v>46328.90694444445</v>
      </c>
      <c r="D528" s="173" t="inlineStr">
        <is>
          <t>1.63 Km</t>
        </is>
      </c>
      <c r="E528" s="181" t="n">
        <v>26</v>
      </c>
      <c r="F528" s="182" t="n">
        <v>39</v>
      </c>
      <c r="G528" s="172" t="inlineStr">
        <is>
          <t>No</t>
        </is>
      </c>
      <c r="H528" s="170">
        <f>IF(A528="","",IF(OR(NOT(ISNUMBER(C528)),C528=""),"No",IF(AND(HOUR(C528)&gt;=0,HOUR(C528)&lt;5),"Yes","No")))</f>
        <v/>
      </c>
      <c r="I528" s="183">
        <f>IF(OR(B528="",NOT(ISNUMBER(B528))),"",INT(B528))</f>
        <v/>
      </c>
    </row>
    <row r="529" ht="15" customHeight="1" s="122">
      <c r="A529" s="179" t="inlineStr">
        <is>
          <t>KBB 102Q</t>
        </is>
      </c>
      <c r="B529" s="180" t="n">
        <v>46328.91136574074</v>
      </c>
      <c r="C529" s="180" t="n">
        <v>46328.91276620371</v>
      </c>
      <c r="D529" s="173" t="inlineStr">
        <is>
          <t>3.39 Km</t>
        </is>
      </c>
      <c r="E529" s="181" t="n">
        <v>21</v>
      </c>
      <c r="F529" s="182" t="n">
        <v>30</v>
      </c>
      <c r="G529" s="172" t="inlineStr">
        <is>
          <t>No</t>
        </is>
      </c>
      <c r="H529" s="170">
        <f>IF(A529="","",IF(OR(NOT(ISNUMBER(C529)),C529=""),"No",IF(AND(HOUR(C529)&gt;=0,HOUR(C529)&lt;5),"Yes","No")))</f>
        <v/>
      </c>
      <c r="I529" s="183">
        <f>IF(OR(B529="",NOT(ISNUMBER(B529))),"",INT(B529))</f>
        <v/>
      </c>
    </row>
    <row r="530" ht="15" customHeight="1" s="122">
      <c r="A530" s="179" t="inlineStr">
        <is>
          <t>KBB 102Q</t>
        </is>
      </c>
      <c r="B530" s="180" t="n">
        <v>46328.91747685185</v>
      </c>
      <c r="C530" s="180" t="n">
        <v>46328.92443287037</v>
      </c>
      <c r="D530" s="173" t="inlineStr">
        <is>
          <t>3.43 Km</t>
        </is>
      </c>
      <c r="E530" s="181" t="n">
        <v>16</v>
      </c>
      <c r="F530" s="182" t="n">
        <v>28</v>
      </c>
      <c r="G530" s="172" t="inlineStr">
        <is>
          <t>Yes</t>
        </is>
      </c>
      <c r="H530" s="170">
        <f>IF(A530="","",IF(OR(NOT(ISNUMBER(C530)),C530=""),"No",IF(AND(HOUR(C530)&gt;=0,HOUR(C530)&lt;5),"Yes","No")))</f>
        <v/>
      </c>
      <c r="I530" s="183">
        <f>IF(OR(B530="",NOT(ISNUMBER(B530))),"",INT(B530))</f>
        <v/>
      </c>
    </row>
    <row r="531" ht="15" customHeight="1" s="122">
      <c r="A531" s="179" t="inlineStr">
        <is>
          <t>KBB 102Q</t>
        </is>
      </c>
      <c r="B531" s="180" t="n">
        <v>46328.92512731482</v>
      </c>
      <c r="C531" s="180" t="n">
        <v>46328.93208333333</v>
      </c>
      <c r="D531" s="173" t="inlineStr">
        <is>
          <t>2.75 Km</t>
        </is>
      </c>
      <c r="E531" s="181" t="n">
        <v>19</v>
      </c>
      <c r="F531" s="182" t="n">
        <v>31</v>
      </c>
      <c r="G531" s="172" t="inlineStr">
        <is>
          <t>Yes</t>
        </is>
      </c>
      <c r="H531" s="170">
        <f>IF(A531="","",IF(OR(NOT(ISNUMBER(C531)),C531=""),"No",IF(AND(HOUR(C531)&gt;=0,HOUR(C531)&lt;5),"Yes","No")))</f>
        <v/>
      </c>
      <c r="I531" s="183">
        <f>IF(OR(B531="",NOT(ISNUMBER(B531))),"",INT(B531))</f>
        <v/>
      </c>
    </row>
    <row r="532" ht="15" customHeight="1" s="122">
      <c r="A532" s="179" t="inlineStr">
        <is>
          <t>KBB 102Q</t>
        </is>
      </c>
      <c r="B532" s="180" t="n">
        <v>46328.93792824074</v>
      </c>
      <c r="C532" s="180" t="n">
        <v>46328.94278935185</v>
      </c>
      <c r="D532" s="173" t="inlineStr">
        <is>
          <t>2.08 Km</t>
        </is>
      </c>
      <c r="E532" s="181" t="n">
        <v>14</v>
      </c>
      <c r="F532" s="182" t="n">
        <v>30</v>
      </c>
      <c r="G532" s="172" t="inlineStr">
        <is>
          <t>Yes</t>
        </is>
      </c>
      <c r="H532" s="170">
        <f>IF(A532="","",IF(OR(NOT(ISNUMBER(C532)),C532=""),"No",IF(AND(HOUR(C532)&gt;=0,HOUR(C532)&lt;5),"Yes","No")))</f>
        <v/>
      </c>
      <c r="I532" s="183">
        <f>IF(OR(B532="",NOT(ISNUMBER(B532))),"",INT(B532))</f>
        <v/>
      </c>
    </row>
    <row r="533" ht="15" customHeight="1" s="122">
      <c r="A533" s="179" t="inlineStr">
        <is>
          <t>KBB 102Q</t>
        </is>
      </c>
      <c r="B533" s="172" t="inlineStr">
        <is>
          <t>16-02-2026 09:35:29</t>
        </is>
      </c>
      <c r="C533" s="172" t="inlineStr">
        <is>
          <t>16-02-2026 09:48:30</t>
        </is>
      </c>
      <c r="D533" s="173" t="inlineStr">
        <is>
          <t>4.76 Km</t>
        </is>
      </c>
      <c r="E533" s="181" t="n">
        <v>25</v>
      </c>
      <c r="F533" s="182" t="n">
        <v>49</v>
      </c>
      <c r="G533" s="172" t="inlineStr">
        <is>
          <t>No</t>
        </is>
      </c>
      <c r="H533" s="170">
        <f>IF(A533="","",IF(OR(NOT(ISNUMBER(C533)),C533=""),"No",IF(AND(HOUR(C533)&gt;=0,HOUR(C533)&lt;5),"Yes","No")))</f>
        <v/>
      </c>
      <c r="I533" s="183">
        <f>IF(OR(B533="",NOT(ISNUMBER(B533))),"",INT(B533))</f>
        <v/>
      </c>
    </row>
    <row r="534" ht="15" customHeight="1" s="122">
      <c r="A534" s="179" t="inlineStr">
        <is>
          <t>KBB 102Q</t>
        </is>
      </c>
      <c r="B534" s="172" t="inlineStr">
        <is>
          <t>16-02-2026 11:22:43</t>
        </is>
      </c>
      <c r="C534" s="172" t="inlineStr">
        <is>
          <t>16-02-2026 11:47:46</t>
        </is>
      </c>
      <c r="D534" s="173" t="inlineStr">
        <is>
          <t>10.91 Km</t>
        </is>
      </c>
      <c r="E534" s="181" t="n">
        <v>27</v>
      </c>
      <c r="F534" s="182" t="n">
        <v>59</v>
      </c>
      <c r="G534" s="172" t="inlineStr">
        <is>
          <t>No</t>
        </is>
      </c>
      <c r="H534" s="170">
        <f>IF(A534="","",IF(OR(NOT(ISNUMBER(C534)),C534=""),"No",IF(AND(HOUR(C534)&gt;=0,HOUR(C534)&lt;5),"Yes","No")))</f>
        <v/>
      </c>
      <c r="I534" s="183">
        <f>IF(OR(B534="",NOT(ISNUMBER(B534))),"",INT(B534))</f>
        <v/>
      </c>
    </row>
    <row r="535" ht="15" customHeight="1" s="122">
      <c r="A535" s="179" t="inlineStr">
        <is>
          <t>KBB 102Q</t>
        </is>
      </c>
      <c r="B535" s="172" t="inlineStr">
        <is>
          <t>16-02-2026 11:53:46</t>
        </is>
      </c>
      <c r="C535" s="172" t="inlineStr">
        <is>
          <t>16-02-2026 11:57:47</t>
        </is>
      </c>
      <c r="D535" s="173" t="inlineStr">
        <is>
          <t>1.85 Km</t>
        </is>
      </c>
      <c r="E535" s="181" t="n">
        <v>34</v>
      </c>
      <c r="F535" s="182" t="n">
        <v>62</v>
      </c>
      <c r="G535" s="172" t="inlineStr">
        <is>
          <t>No</t>
        </is>
      </c>
      <c r="H535" s="170">
        <f>IF(A535="","",IF(OR(NOT(ISNUMBER(C535)),C535=""),"No",IF(AND(HOUR(C535)&gt;=0,HOUR(C535)&lt;5),"Yes","No")))</f>
        <v/>
      </c>
      <c r="I535" s="183">
        <f>IF(OR(B535="",NOT(ISNUMBER(B535))),"",INT(B535))</f>
        <v/>
      </c>
    </row>
    <row r="536" ht="15" customHeight="1" s="122">
      <c r="A536" s="179" t="inlineStr">
        <is>
          <t>KBB 102Q</t>
        </is>
      </c>
      <c r="B536" s="172" t="inlineStr">
        <is>
          <t>16-02-2026 16:44:59</t>
        </is>
      </c>
      <c r="C536" s="172" t="inlineStr">
        <is>
          <t>16-02-2026 16:46:00</t>
        </is>
      </c>
      <c r="D536" s="173" t="inlineStr">
        <is>
          <t>1.46 Km</t>
        </is>
      </c>
      <c r="E536" s="181" t="n">
        <v>27</v>
      </c>
      <c r="F536" s="182" t="n">
        <v>27</v>
      </c>
      <c r="G536" s="172" t="inlineStr">
        <is>
          <t>No</t>
        </is>
      </c>
      <c r="H536" s="170">
        <f>IF(A536="","",IF(OR(NOT(ISNUMBER(C536)),C536=""),"No",IF(AND(HOUR(C536)&gt;=0,HOUR(C536)&lt;5),"Yes","No")))</f>
        <v/>
      </c>
      <c r="I536" s="183">
        <f>IF(OR(B536="",NOT(ISNUMBER(B536))),"",INT(B536))</f>
        <v/>
      </c>
    </row>
    <row r="537" ht="15" customHeight="1" s="122">
      <c r="A537" s="179" t="inlineStr">
        <is>
          <t>KBB 102Q</t>
        </is>
      </c>
      <c r="B537" s="172" t="inlineStr">
        <is>
          <t>16-02-2026 16:46:59</t>
        </is>
      </c>
      <c r="C537" s="172" t="inlineStr">
        <is>
          <t>16-02-2026 16:47:59</t>
        </is>
      </c>
      <c r="D537" s="173" t="inlineStr">
        <is>
          <t>0.07 Km</t>
        </is>
      </c>
      <c r="E537" s="181" t="n">
        <v>7</v>
      </c>
      <c r="F537" s="182" t="n">
        <v>7</v>
      </c>
      <c r="G537" s="172" t="inlineStr">
        <is>
          <t>No</t>
        </is>
      </c>
      <c r="H537" s="170">
        <f>IF(A537="","",IF(OR(NOT(ISNUMBER(C537)),C537=""),"No",IF(AND(HOUR(C537)&gt;=0,HOUR(C537)&lt;5),"Yes","No")))</f>
        <v/>
      </c>
      <c r="I537" s="183">
        <f>IF(OR(B537="",NOT(ISNUMBER(B537))),"",INT(B537))</f>
        <v/>
      </c>
    </row>
    <row r="538" ht="15" customHeight="1" s="122">
      <c r="A538" s="179" t="inlineStr">
        <is>
          <t>KBB 102Q</t>
        </is>
      </c>
      <c r="B538" s="172" t="inlineStr">
        <is>
          <t>16-02-2026 16:54:53</t>
        </is>
      </c>
      <c r="C538" s="172" t="inlineStr">
        <is>
          <t>16-02-2026 17:05:54</t>
        </is>
      </c>
      <c r="D538" s="173" t="inlineStr">
        <is>
          <t>3.33 Km</t>
        </is>
      </c>
      <c r="E538" s="181" t="n">
        <v>18</v>
      </c>
      <c r="F538" s="182" t="n">
        <v>42</v>
      </c>
      <c r="G538" s="172" t="inlineStr">
        <is>
          <t>No</t>
        </is>
      </c>
      <c r="H538" s="170">
        <f>IF(A538="","",IF(OR(NOT(ISNUMBER(C538)),C538=""),"No",IF(AND(HOUR(C538)&gt;=0,HOUR(C538)&lt;5),"Yes","No")))</f>
        <v/>
      </c>
      <c r="I538" s="183">
        <f>IF(OR(B538="",NOT(ISNUMBER(B538))),"",INT(B538))</f>
        <v/>
      </c>
    </row>
    <row r="539" ht="15" customHeight="1" s="122">
      <c r="A539" s="179" t="inlineStr">
        <is>
          <t>KBB 102Q</t>
        </is>
      </c>
      <c r="B539" s="172" t="inlineStr">
        <is>
          <t>16-02-2026 17:06:55</t>
        </is>
      </c>
      <c r="C539" s="172" t="inlineStr">
        <is>
          <t>16-02-2026 17:07:55</t>
        </is>
      </c>
      <c r="D539" s="173" t="inlineStr">
        <is>
          <t>0.28 Km</t>
        </is>
      </c>
      <c r="E539" s="181" t="n">
        <v>30</v>
      </c>
      <c r="F539" s="182" t="n">
        <v>30</v>
      </c>
      <c r="G539" s="172" t="inlineStr">
        <is>
          <t>No</t>
        </is>
      </c>
      <c r="H539" s="170">
        <f>IF(A539="","",IF(OR(NOT(ISNUMBER(C539)),C539=""),"No",IF(AND(HOUR(C539)&gt;=0,HOUR(C539)&lt;5),"Yes","No")))</f>
        <v/>
      </c>
      <c r="I539" s="183">
        <f>IF(OR(B539="",NOT(ISNUMBER(B539))),"",INT(B539))</f>
        <v/>
      </c>
    </row>
    <row r="540" ht="15" customHeight="1" s="122">
      <c r="A540" s="179" t="inlineStr">
        <is>
          <t>KBB 102Q</t>
        </is>
      </c>
      <c r="B540" s="172" t="inlineStr">
        <is>
          <t>16-02-2026 17:27:44</t>
        </is>
      </c>
      <c r="C540" s="172" t="inlineStr">
        <is>
          <t>16-02-2026 17:30:45</t>
        </is>
      </c>
      <c r="D540" s="173" t="inlineStr">
        <is>
          <t>1.43 Km</t>
        </is>
      </c>
      <c r="E540" s="181" t="n">
        <v>18</v>
      </c>
      <c r="F540" s="182" t="n">
        <v>26</v>
      </c>
      <c r="G540" s="172" t="inlineStr">
        <is>
          <t>No</t>
        </is>
      </c>
      <c r="H540" s="170">
        <f>IF(A540="","",IF(OR(NOT(ISNUMBER(C540)),C540=""),"No",IF(AND(HOUR(C540)&gt;=0,HOUR(C540)&lt;5),"Yes","No")))</f>
        <v/>
      </c>
      <c r="I540" s="183">
        <f>IF(OR(B540="",NOT(ISNUMBER(B540))),"",INT(B540))</f>
        <v/>
      </c>
    </row>
    <row r="541" ht="15" customHeight="1" s="122">
      <c r="A541" s="179" t="inlineStr">
        <is>
          <t>KBB 102Q</t>
        </is>
      </c>
      <c r="B541" s="172" t="inlineStr">
        <is>
          <t>16-02-2026 17:31:44</t>
        </is>
      </c>
      <c r="C541" s="172" t="inlineStr">
        <is>
          <t>16-02-2026 17:50:47</t>
        </is>
      </c>
      <c r="D541" s="173" t="inlineStr">
        <is>
          <t>5.93 Km</t>
        </is>
      </c>
      <c r="E541" s="181" t="n">
        <v>20</v>
      </c>
      <c r="F541" s="182" t="n">
        <v>60</v>
      </c>
      <c r="G541" s="172" t="inlineStr">
        <is>
          <t>No</t>
        </is>
      </c>
      <c r="H541" s="170">
        <f>IF(A541="","",IF(OR(NOT(ISNUMBER(C541)),C541=""),"No",IF(AND(HOUR(C541)&gt;=0,HOUR(C541)&lt;5),"Yes","No")))</f>
        <v/>
      </c>
      <c r="I541" s="183">
        <f>IF(OR(B541="",NOT(ISNUMBER(B541))),"",INT(B541))</f>
        <v/>
      </c>
    </row>
    <row r="542" ht="15" customHeight="1" s="122">
      <c r="A542" s="179" t="inlineStr">
        <is>
          <t>KBB 102Q</t>
        </is>
      </c>
      <c r="B542" s="172" t="inlineStr">
        <is>
          <t>16-02-2026 17:51:47</t>
        </is>
      </c>
      <c r="C542" s="172" t="inlineStr">
        <is>
          <t>16-02-2026 17:52:47</t>
        </is>
      </c>
      <c r="D542" s="173" t="inlineStr">
        <is>
          <t>0.32 Km</t>
        </is>
      </c>
      <c r="E542" s="181" t="n">
        <v>8</v>
      </c>
      <c r="F542" s="182" t="n">
        <v>8</v>
      </c>
      <c r="G542" s="172" t="inlineStr">
        <is>
          <t>No</t>
        </is>
      </c>
      <c r="H542" s="170">
        <f>IF(A542="","",IF(OR(NOT(ISNUMBER(C542)),C542=""),"No",IF(AND(HOUR(C542)&gt;=0,HOUR(C542)&lt;5),"Yes","No")))</f>
        <v/>
      </c>
      <c r="I542" s="183">
        <f>IF(OR(B542="",NOT(ISNUMBER(B542))),"",INT(B542))</f>
        <v/>
      </c>
    </row>
    <row r="543" ht="15" customHeight="1" s="122">
      <c r="A543" s="179" t="inlineStr">
        <is>
          <t>KBB 102Q</t>
        </is>
      </c>
      <c r="B543" s="172" t="inlineStr">
        <is>
          <t>16-02-2026 18:02:07</t>
        </is>
      </c>
      <c r="C543" s="172" t="inlineStr">
        <is>
          <t>16-02-2026 18:14:07</t>
        </is>
      </c>
      <c r="D543" s="173" t="inlineStr">
        <is>
          <t>3.04 Km</t>
        </is>
      </c>
      <c r="E543" s="181" t="n">
        <v>15</v>
      </c>
      <c r="F543" s="182" t="n">
        <v>31</v>
      </c>
      <c r="G543" s="172" t="inlineStr">
        <is>
          <t>No</t>
        </is>
      </c>
      <c r="H543" s="170">
        <f>IF(A543="","",IF(OR(NOT(ISNUMBER(C543)),C543=""),"No",IF(AND(HOUR(C543)&gt;=0,HOUR(C543)&lt;5),"Yes","No")))</f>
        <v/>
      </c>
      <c r="I543" s="183">
        <f>IF(OR(B543="",NOT(ISNUMBER(B543))),"",INT(B543))</f>
        <v/>
      </c>
    </row>
    <row r="544" ht="15" customHeight="1" s="122">
      <c r="A544" s="179" t="inlineStr">
        <is>
          <t>KBB 102Q</t>
        </is>
      </c>
      <c r="B544" s="172" t="inlineStr">
        <is>
          <t>16-02-2026 18:20:37</t>
        </is>
      </c>
      <c r="C544" s="172" t="inlineStr">
        <is>
          <t>16-02-2026 18:21:38</t>
        </is>
      </c>
      <c r="D544" s="173" t="inlineStr">
        <is>
          <t>0.47 Km</t>
        </is>
      </c>
      <c r="E544" s="181" t="n">
        <v>8</v>
      </c>
      <c r="F544" s="182" t="n">
        <v>8</v>
      </c>
      <c r="G544" s="172" t="inlineStr">
        <is>
          <t>No</t>
        </is>
      </c>
      <c r="H544" s="170">
        <f>IF(A544="","",IF(OR(NOT(ISNUMBER(C544)),C544=""),"No",IF(AND(HOUR(C544)&gt;=0,HOUR(C544)&lt;5),"Yes","No")))</f>
        <v/>
      </c>
      <c r="I544" s="183">
        <f>IF(OR(B544="",NOT(ISNUMBER(B544))),"",INT(B544))</f>
        <v/>
      </c>
    </row>
    <row r="545" ht="15" customHeight="1" s="122">
      <c r="A545" s="179" t="inlineStr">
        <is>
          <t>KBB 102Q</t>
        </is>
      </c>
      <c r="B545" s="172" t="inlineStr">
        <is>
          <t>17-02-2026 10:18:04</t>
        </is>
      </c>
      <c r="C545" s="172" t="inlineStr">
        <is>
          <t>17-02-2026 10:43:08</t>
        </is>
      </c>
      <c r="D545" s="173" t="inlineStr">
        <is>
          <t>9.7 Km</t>
        </is>
      </c>
      <c r="E545" s="181" t="n">
        <v>22</v>
      </c>
      <c r="F545" s="182" t="n">
        <v>48</v>
      </c>
      <c r="G545" s="172" t="inlineStr">
        <is>
          <t>No</t>
        </is>
      </c>
      <c r="H545" s="170">
        <f>IF(A545="","",IF(OR(NOT(ISNUMBER(C545)),C545=""),"No",IF(AND(HOUR(C545)&gt;=0,HOUR(C545)&lt;5),"Yes","No")))</f>
        <v/>
      </c>
      <c r="I545" s="183">
        <f>IF(OR(B545="",NOT(ISNUMBER(B545))),"",INT(B545))</f>
        <v/>
      </c>
    </row>
    <row r="546" ht="15" customHeight="1" s="122">
      <c r="A546" s="179" t="inlineStr">
        <is>
          <t>KBB 102Q</t>
        </is>
      </c>
      <c r="B546" s="172" t="inlineStr">
        <is>
          <t>17-02-2026 10:49:38</t>
        </is>
      </c>
      <c r="C546" s="172" t="inlineStr">
        <is>
          <t>17-02-2026 11:08:39</t>
        </is>
      </c>
      <c r="D546" s="173" t="inlineStr">
        <is>
          <t>20.41 Km</t>
        </is>
      </c>
      <c r="E546" s="181" t="n">
        <v>59</v>
      </c>
      <c r="F546" s="182" t="n">
        <v>80</v>
      </c>
      <c r="G546" s="172" t="inlineStr">
        <is>
          <t>No</t>
        </is>
      </c>
      <c r="H546" s="170">
        <f>IF(A546="","",IF(OR(NOT(ISNUMBER(C546)),C546=""),"No",IF(AND(HOUR(C546)&gt;=0,HOUR(C546)&lt;5),"Yes","No")))</f>
        <v/>
      </c>
      <c r="I546" s="183">
        <f>IF(OR(B546="",NOT(ISNUMBER(B546))),"",INT(B546))</f>
        <v/>
      </c>
    </row>
    <row r="547" ht="15" customHeight="1" s="122">
      <c r="A547" s="179" t="inlineStr">
        <is>
          <t>KBB 102Q</t>
        </is>
      </c>
      <c r="B547" s="172" t="inlineStr">
        <is>
          <t>17-02-2026 13:34:42</t>
        </is>
      </c>
      <c r="C547" s="172" t="inlineStr">
        <is>
          <t>17-02-2026 13:38:43</t>
        </is>
      </c>
      <c r="D547" s="173" t="inlineStr">
        <is>
          <t>0.69 Km</t>
        </is>
      </c>
      <c r="E547" s="181" t="n">
        <v>10</v>
      </c>
      <c r="F547" s="182" t="n">
        <v>17</v>
      </c>
      <c r="G547" s="172" t="inlineStr">
        <is>
          <t>No</t>
        </is>
      </c>
      <c r="H547" s="170">
        <f>IF(A547="","",IF(OR(NOT(ISNUMBER(C547)),C547=""),"No",IF(AND(HOUR(C547)&gt;=0,HOUR(C547)&lt;5),"Yes","No")))</f>
        <v/>
      </c>
      <c r="I547" s="183">
        <f>IF(OR(B547="",NOT(ISNUMBER(B547))),"",INT(B547))</f>
        <v/>
      </c>
    </row>
    <row r="548" ht="15" customHeight="1" s="122">
      <c r="A548" s="179" t="inlineStr">
        <is>
          <t>KBB 102Q</t>
        </is>
      </c>
      <c r="B548" s="172" t="inlineStr">
        <is>
          <t>17-02-2026 14:22:23</t>
        </is>
      </c>
      <c r="C548" s="172" t="inlineStr">
        <is>
          <t>17-02-2026 14:28:23</t>
        </is>
      </c>
      <c r="D548" s="173" t="inlineStr">
        <is>
          <t>4.04 Km</t>
        </is>
      </c>
      <c r="E548" s="181" t="n">
        <v>38</v>
      </c>
      <c r="F548" s="182" t="n">
        <v>72</v>
      </c>
      <c r="G548" s="172" t="inlineStr">
        <is>
          <t>No</t>
        </is>
      </c>
      <c r="H548" s="170">
        <f>IF(A548="","",IF(OR(NOT(ISNUMBER(C548)),C548=""),"No",IF(AND(HOUR(C548)&gt;=0,HOUR(C548)&lt;5),"Yes","No")))</f>
        <v/>
      </c>
      <c r="I548" s="183">
        <f>IF(OR(B548="",NOT(ISNUMBER(B548))),"",INT(B548))</f>
        <v/>
      </c>
    </row>
    <row r="549" ht="15" customHeight="1" s="122">
      <c r="A549" s="179" t="inlineStr">
        <is>
          <t>KBB 102Q</t>
        </is>
      </c>
      <c r="B549" s="172" t="inlineStr">
        <is>
          <t>17-02-2026 14:35:22</t>
        </is>
      </c>
      <c r="C549" s="172" t="inlineStr">
        <is>
          <t>17-02-2026 14:45:23</t>
        </is>
      </c>
      <c r="D549" s="173" t="inlineStr">
        <is>
          <t>10.3 Km</t>
        </is>
      </c>
      <c r="E549" s="181" t="n">
        <v>54</v>
      </c>
      <c r="F549" s="182" t="n">
        <v>81</v>
      </c>
      <c r="G549" s="172" t="inlineStr">
        <is>
          <t>No</t>
        </is>
      </c>
      <c r="H549" s="170">
        <f>IF(A549="","",IF(OR(NOT(ISNUMBER(C549)),C549=""),"No",IF(AND(HOUR(C549)&gt;=0,HOUR(C549)&lt;5),"Yes","No")))</f>
        <v/>
      </c>
      <c r="I549" s="183">
        <f>IF(OR(B549="",NOT(ISNUMBER(B549))),"",INT(B549))</f>
        <v/>
      </c>
    </row>
    <row r="550" ht="15" customHeight="1" s="122">
      <c r="A550" s="179" t="inlineStr">
        <is>
          <t>KBB 102Q</t>
        </is>
      </c>
      <c r="B550" s="172" t="inlineStr">
        <is>
          <t>17-02-2026 16:30:39</t>
        </is>
      </c>
      <c r="C550" s="172" t="inlineStr">
        <is>
          <t>17-02-2026 16:49:39</t>
        </is>
      </c>
      <c r="D550" s="173" t="inlineStr">
        <is>
          <t>15.46 Km</t>
        </is>
      </c>
      <c r="E550" s="181" t="n">
        <v>51</v>
      </c>
      <c r="F550" s="182" t="n">
        <v>80</v>
      </c>
      <c r="G550" s="172" t="inlineStr">
        <is>
          <t>No</t>
        </is>
      </c>
      <c r="H550" s="170">
        <f>IF(A550="","",IF(OR(NOT(ISNUMBER(C550)),C550=""),"No",IF(AND(HOUR(C550)&gt;=0,HOUR(C550)&lt;5),"Yes","No")))</f>
        <v/>
      </c>
      <c r="I550" s="183">
        <f>IF(OR(B550="",NOT(ISNUMBER(B550))),"",INT(B550))</f>
        <v/>
      </c>
    </row>
    <row r="551" ht="15" customHeight="1" s="122">
      <c r="A551" s="179" t="inlineStr">
        <is>
          <t>KBB 102Q</t>
        </is>
      </c>
      <c r="B551" s="172" t="inlineStr">
        <is>
          <t>17-02-2026 16:57:13</t>
        </is>
      </c>
      <c r="C551" s="172" t="inlineStr">
        <is>
          <t>17-02-2026 17:00:13</t>
        </is>
      </c>
      <c r="D551" s="173" t="inlineStr">
        <is>
          <t>0.95 Km</t>
        </is>
      </c>
      <c r="E551" s="181" t="n">
        <v>18</v>
      </c>
      <c r="F551" s="182" t="n">
        <v>29</v>
      </c>
      <c r="G551" s="172" t="inlineStr">
        <is>
          <t>No</t>
        </is>
      </c>
      <c r="H551" s="170">
        <f>IF(A551="","",IF(OR(NOT(ISNUMBER(C551)),C551=""),"No",IF(AND(HOUR(C551)&gt;=0,HOUR(C551)&lt;5),"Yes","No")))</f>
        <v/>
      </c>
      <c r="I551" s="183">
        <f>IF(OR(B551="",NOT(ISNUMBER(B551))),"",INT(B551))</f>
        <v/>
      </c>
    </row>
    <row r="552" ht="15" customHeight="1" s="122">
      <c r="A552" s="179" t="inlineStr">
        <is>
          <t>KBB 102Q</t>
        </is>
      </c>
      <c r="B552" s="172" t="inlineStr">
        <is>
          <t>17-02-2026 17:06:39</t>
        </is>
      </c>
      <c r="C552" s="172" t="inlineStr">
        <is>
          <t>17-02-2026 17:32:43</t>
        </is>
      </c>
      <c r="D552" s="173" t="inlineStr">
        <is>
          <t>20.12 Km</t>
        </is>
      </c>
      <c r="E552" s="181" t="n">
        <v>55</v>
      </c>
      <c r="F552" s="182" t="n">
        <v>82</v>
      </c>
      <c r="G552" s="172" t="inlineStr">
        <is>
          <t>No</t>
        </is>
      </c>
      <c r="H552" s="170">
        <f>IF(A552="","",IF(OR(NOT(ISNUMBER(C552)),C552=""),"No",IF(AND(HOUR(C552)&gt;=0,HOUR(C552)&lt;5),"Yes","No")))</f>
        <v/>
      </c>
      <c r="I552" s="183">
        <f>IF(OR(B552="",NOT(ISNUMBER(B552))),"",INT(B552))</f>
        <v/>
      </c>
    </row>
    <row r="553" ht="15" customHeight="1" s="122">
      <c r="A553" s="179" t="inlineStr">
        <is>
          <t>KBB 102Q</t>
        </is>
      </c>
      <c r="B553" s="172" t="inlineStr">
        <is>
          <t>17-02-2026 17:55:30</t>
        </is>
      </c>
      <c r="C553" s="172" t="inlineStr">
        <is>
          <t>17-02-2026 18:05:30</t>
        </is>
      </c>
      <c r="D553" s="173" t="inlineStr">
        <is>
          <t>3.18 Km</t>
        </is>
      </c>
      <c r="E553" s="181" t="n">
        <v>17</v>
      </c>
      <c r="F553" s="182" t="n">
        <v>30</v>
      </c>
      <c r="G553" s="172" t="inlineStr">
        <is>
          <t>No</t>
        </is>
      </c>
      <c r="H553" s="170">
        <f>IF(A553="","",IF(OR(NOT(ISNUMBER(C553)),C553=""),"No",IF(AND(HOUR(C553)&gt;=0,HOUR(C553)&lt;5),"Yes","No")))</f>
        <v/>
      </c>
      <c r="I553" s="183">
        <f>IF(OR(B553="",NOT(ISNUMBER(B553))),"",INT(B553))</f>
        <v/>
      </c>
    </row>
    <row r="554" ht="15" customHeight="1" s="122">
      <c r="A554" s="179" t="inlineStr">
        <is>
          <t>KBB 102Q</t>
        </is>
      </c>
      <c r="B554" s="172" t="inlineStr">
        <is>
          <t>17-02-2026 18:10:41</t>
        </is>
      </c>
      <c r="C554" s="172" t="inlineStr">
        <is>
          <t>17-02-2026 18:10:55</t>
        </is>
      </c>
      <c r="D554" s="173" t="inlineStr">
        <is>
          <t>1.14 Km</t>
        </is>
      </c>
      <c r="E554" s="181" t="n">
        <v>6</v>
      </c>
      <c r="F554" s="182" t="n">
        <v>6</v>
      </c>
      <c r="G554" s="172" t="inlineStr">
        <is>
          <t>No</t>
        </is>
      </c>
      <c r="H554" s="170">
        <f>IF(A554="","",IF(OR(NOT(ISNUMBER(C554)),C554=""),"No",IF(AND(HOUR(C554)&gt;=0,HOUR(C554)&lt;5),"Yes","No")))</f>
        <v/>
      </c>
      <c r="I554" s="183">
        <f>IF(OR(B554="",NOT(ISNUMBER(B554))),"",INT(B554))</f>
        <v/>
      </c>
    </row>
    <row r="555" ht="15" customHeight="1" s="122">
      <c r="A555" s="179" t="inlineStr">
        <is>
          <t>KBB 102Q</t>
        </is>
      </c>
      <c r="B555" s="172" t="inlineStr">
        <is>
          <t>17-02-2026 18:17:07</t>
        </is>
      </c>
      <c r="C555" s="172" t="inlineStr">
        <is>
          <t>17-02-2026 18:33:09</t>
        </is>
      </c>
      <c r="D555" s="173" t="inlineStr">
        <is>
          <t>6.64 Km</t>
        </is>
      </c>
      <c r="E555" s="181" t="n">
        <v>18</v>
      </c>
      <c r="F555" s="182" t="n">
        <v>47</v>
      </c>
      <c r="G555" s="172" t="inlineStr">
        <is>
          <t>No</t>
        </is>
      </c>
      <c r="H555" s="170">
        <f>IF(A555="","",IF(OR(NOT(ISNUMBER(C555)),C555=""),"No",IF(AND(HOUR(C555)&gt;=0,HOUR(C555)&lt;5),"Yes","No")))</f>
        <v/>
      </c>
      <c r="I555" s="183">
        <f>IF(OR(B555="",NOT(ISNUMBER(B555))),"",INT(B555))</f>
        <v/>
      </c>
    </row>
    <row r="556" ht="15" customHeight="1" s="122">
      <c r="A556" s="179" t="inlineStr">
        <is>
          <t>KBB 102Q</t>
        </is>
      </c>
      <c r="B556" s="172" t="inlineStr">
        <is>
          <t>17-02-2026 18:34:09</t>
        </is>
      </c>
      <c r="C556" s="172" t="inlineStr">
        <is>
          <t>17-02-2026 18:45:10</t>
        </is>
      </c>
      <c r="D556" s="173" t="inlineStr">
        <is>
          <t>3.42 Km</t>
        </is>
      </c>
      <c r="E556" s="181" t="n">
        <v>19</v>
      </c>
      <c r="F556" s="182" t="n">
        <v>30</v>
      </c>
      <c r="G556" s="172" t="inlineStr">
        <is>
          <t>No</t>
        </is>
      </c>
      <c r="H556" s="170">
        <f>IF(A556="","",IF(OR(NOT(ISNUMBER(C556)),C556=""),"No",IF(AND(HOUR(C556)&gt;=0,HOUR(C556)&lt;5),"Yes","No")))</f>
        <v/>
      </c>
      <c r="I556" s="183">
        <f>IF(OR(B556="",NOT(ISNUMBER(B556))),"",INT(B556))</f>
        <v/>
      </c>
    </row>
    <row r="557" ht="15" customHeight="1" s="122">
      <c r="A557" s="179" t="inlineStr">
        <is>
          <t>KBB 102Q</t>
        </is>
      </c>
      <c r="B557" s="172" t="inlineStr">
        <is>
          <t>18-02-2026 08:26:51</t>
        </is>
      </c>
      <c r="C557" s="172" t="inlineStr">
        <is>
          <t>18-02-2026 08:28:52</t>
        </is>
      </c>
      <c r="D557" s="173" t="inlineStr">
        <is>
          <t>0.37 Km</t>
        </is>
      </c>
      <c r="E557" s="181" t="n">
        <v>18</v>
      </c>
      <c r="F557" s="182" t="n">
        <v>22</v>
      </c>
      <c r="G557" s="172" t="inlineStr">
        <is>
          <t>No</t>
        </is>
      </c>
      <c r="H557" s="170">
        <f>IF(A557="","",IF(OR(NOT(ISNUMBER(C557)),C557=""),"No",IF(AND(HOUR(C557)&gt;=0,HOUR(C557)&lt;5),"Yes","No")))</f>
        <v/>
      </c>
      <c r="I557" s="183">
        <f>IF(OR(B557="",NOT(ISNUMBER(B557))),"",INT(B557))</f>
        <v/>
      </c>
    </row>
    <row r="558" ht="15" customHeight="1" s="122">
      <c r="A558" s="179" t="inlineStr">
        <is>
          <t>KBB 102Q</t>
        </is>
      </c>
      <c r="B558" s="172" t="inlineStr">
        <is>
          <t>18-02-2026 08:29:52</t>
        </is>
      </c>
      <c r="C558" s="172" t="inlineStr">
        <is>
          <t>18-02-2026 08:34:52</t>
        </is>
      </c>
      <c r="D558" s="173" t="inlineStr">
        <is>
          <t>2.4 Km</t>
        </is>
      </c>
      <c r="E558" s="181" t="n">
        <v>29</v>
      </c>
      <c r="F558" s="182" t="n">
        <v>37</v>
      </c>
      <c r="G558" s="172" t="inlineStr">
        <is>
          <t>No</t>
        </is>
      </c>
      <c r="H558" s="170">
        <f>IF(A558="","",IF(OR(NOT(ISNUMBER(C558)),C558=""),"No",IF(AND(HOUR(C558)&gt;=0,HOUR(C558)&lt;5),"Yes","No")))</f>
        <v/>
      </c>
      <c r="I558" s="183">
        <f>IF(OR(B558="",NOT(ISNUMBER(B558))),"",INT(B558))</f>
        <v/>
      </c>
    </row>
    <row r="559" ht="15" customHeight="1" s="122">
      <c r="A559" s="179" t="inlineStr">
        <is>
          <t>KBB 102Q</t>
        </is>
      </c>
      <c r="B559" s="172" t="inlineStr">
        <is>
          <t>18-02-2026 08:35:53</t>
        </is>
      </c>
      <c r="C559" s="172" t="inlineStr">
        <is>
          <t>18-02-2026 08:48:54</t>
        </is>
      </c>
      <c r="D559" s="173" t="inlineStr">
        <is>
          <t>4.13 Km</t>
        </is>
      </c>
      <c r="E559" s="181" t="n">
        <v>22</v>
      </c>
      <c r="F559" s="182" t="n">
        <v>43</v>
      </c>
      <c r="G559" s="172" t="inlineStr">
        <is>
          <t>No</t>
        </is>
      </c>
      <c r="H559" s="170">
        <f>IF(A559="","",IF(OR(NOT(ISNUMBER(C559)),C559=""),"No",IF(AND(HOUR(C559)&gt;=0,HOUR(C559)&lt;5),"Yes","No")))</f>
        <v/>
      </c>
      <c r="I559" s="183">
        <f>IF(OR(B559="",NOT(ISNUMBER(B559))),"",INT(B559))</f>
        <v/>
      </c>
    </row>
    <row r="560" ht="15" customHeight="1" s="122">
      <c r="A560" s="179" t="inlineStr">
        <is>
          <t>KBB 102Q</t>
        </is>
      </c>
      <c r="B560" s="172" t="inlineStr">
        <is>
          <t>18-02-2026 08:50:54</t>
        </is>
      </c>
      <c r="C560" s="172" t="inlineStr">
        <is>
          <t>18-02-2026 08:51:54</t>
        </is>
      </c>
      <c r="D560" s="173" t="inlineStr">
        <is>
          <t>0.18 Km</t>
        </is>
      </c>
      <c r="E560" s="181" t="n">
        <v>7</v>
      </c>
      <c r="F560" s="182" t="n">
        <v>7</v>
      </c>
      <c r="G560" s="172" t="inlineStr">
        <is>
          <t>No</t>
        </is>
      </c>
      <c r="H560" s="170">
        <f>IF(A560="","",IF(OR(NOT(ISNUMBER(C560)),C560=""),"No",IF(AND(HOUR(C560)&gt;=0,HOUR(C560)&lt;5),"Yes","No")))</f>
        <v/>
      </c>
      <c r="I560" s="183">
        <f>IF(OR(B560="",NOT(ISNUMBER(B560))),"",INT(B560))</f>
        <v/>
      </c>
    </row>
    <row r="561" ht="15" customHeight="1" s="122">
      <c r="A561" s="179" t="inlineStr">
        <is>
          <t>KBB 102Q</t>
        </is>
      </c>
      <c r="B561" s="172" t="inlineStr">
        <is>
          <t>18-02-2026 08:58:18</t>
        </is>
      </c>
      <c r="C561" s="172" t="inlineStr">
        <is>
          <t>18-02-2026 09:06:20</t>
        </is>
      </c>
      <c r="D561" s="173" t="inlineStr">
        <is>
          <t>1.67 Km</t>
        </is>
      </c>
      <c r="E561" s="181" t="n">
        <v>14</v>
      </c>
      <c r="F561" s="182" t="n">
        <v>27</v>
      </c>
      <c r="G561" s="172" t="inlineStr">
        <is>
          <t>No</t>
        </is>
      </c>
      <c r="H561" s="170">
        <f>IF(A561="","",IF(OR(NOT(ISNUMBER(C561)),C561=""),"No",IF(AND(HOUR(C561)&gt;=0,HOUR(C561)&lt;5),"Yes","No")))</f>
        <v/>
      </c>
      <c r="I561" s="183">
        <f>IF(OR(B561="",NOT(ISNUMBER(B561))),"",INT(B561))</f>
        <v/>
      </c>
    </row>
    <row r="562" ht="15" customHeight="1" s="122">
      <c r="A562" s="179" t="inlineStr">
        <is>
          <t>KBB 102Q</t>
        </is>
      </c>
      <c r="B562" s="172" t="inlineStr">
        <is>
          <t>18-02-2026 09:20:11</t>
        </is>
      </c>
      <c r="C562" s="172" t="inlineStr">
        <is>
          <t>18-02-2026 09:33:12</t>
        </is>
      </c>
      <c r="D562" s="173" t="inlineStr">
        <is>
          <t>15.69 Km</t>
        </is>
      </c>
      <c r="E562" s="181" t="n">
        <v>58</v>
      </c>
      <c r="F562" s="182" t="n">
        <v>80</v>
      </c>
      <c r="G562" s="172" t="inlineStr">
        <is>
          <t>No</t>
        </is>
      </c>
      <c r="H562" s="170">
        <f>IF(A562="","",IF(OR(NOT(ISNUMBER(C562)),C562=""),"No",IF(AND(HOUR(C562)&gt;=0,HOUR(C562)&lt;5),"Yes","No")))</f>
        <v/>
      </c>
      <c r="I562" s="183">
        <f>IF(OR(B562="",NOT(ISNUMBER(B562))),"",INT(B562))</f>
        <v/>
      </c>
    </row>
    <row r="563" ht="15" customHeight="1" s="122">
      <c r="A563" s="179" t="inlineStr">
        <is>
          <t>KBB 102Q</t>
        </is>
      </c>
      <c r="B563" s="172" t="inlineStr">
        <is>
          <t>18-02-2026 09:40:06</t>
        </is>
      </c>
      <c r="C563" s="172" t="inlineStr">
        <is>
          <t>18-02-2026 10:01:10</t>
        </is>
      </c>
      <c r="D563" s="173" t="inlineStr">
        <is>
          <t>19.01 Km</t>
        </is>
      </c>
      <c r="E563" s="181" t="n">
        <v>53</v>
      </c>
      <c r="F563" s="182" t="n">
        <v>81</v>
      </c>
      <c r="G563" s="172" t="inlineStr">
        <is>
          <t>No</t>
        </is>
      </c>
      <c r="H563" s="170">
        <f>IF(A563="","",IF(OR(NOT(ISNUMBER(C563)),C563=""),"No",IF(AND(HOUR(C563)&gt;=0,HOUR(C563)&lt;5),"Yes","No")))</f>
        <v/>
      </c>
      <c r="I563" s="183">
        <f>IF(OR(B563="",NOT(ISNUMBER(B563))),"",INT(B563))</f>
        <v/>
      </c>
    </row>
    <row r="564" ht="15" customHeight="1" s="122">
      <c r="A564" s="179" t="inlineStr">
        <is>
          <t>KBB 102Q</t>
        </is>
      </c>
      <c r="B564" s="172" t="inlineStr">
        <is>
          <t>18-02-2026 10:14:59</t>
        </is>
      </c>
      <c r="C564" s="172" t="inlineStr">
        <is>
          <t>18-02-2026 10:41:00</t>
        </is>
      </c>
      <c r="D564" s="173" t="inlineStr">
        <is>
          <t>26.38 Km</t>
        </is>
      </c>
      <c r="E564" s="181" t="n">
        <v>62</v>
      </c>
      <c r="F564" s="182" t="n">
        <v>80</v>
      </c>
      <c r="G564" s="172" t="inlineStr">
        <is>
          <t>No</t>
        </is>
      </c>
      <c r="H564" s="170">
        <f>IF(A564="","",IF(OR(NOT(ISNUMBER(C564)),C564=""),"No",IF(AND(HOUR(C564)&gt;=0,HOUR(C564)&lt;5),"Yes","No")))</f>
        <v/>
      </c>
      <c r="I564" s="183">
        <f>IF(OR(B564="",NOT(ISNUMBER(B564))),"",INT(B564))</f>
        <v/>
      </c>
    </row>
    <row r="565" ht="15" customHeight="1" s="122">
      <c r="A565" s="179" t="inlineStr">
        <is>
          <t>KBB 102Q</t>
        </is>
      </c>
      <c r="B565" s="172" t="inlineStr">
        <is>
          <t>18-02-2026 13:08:54</t>
        </is>
      </c>
      <c r="C565" s="172" t="inlineStr">
        <is>
          <t>18-02-2026 13:21:57</t>
        </is>
      </c>
      <c r="D565" s="173" t="inlineStr">
        <is>
          <t>14.94 Km</t>
        </is>
      </c>
      <c r="E565" s="181" t="n">
        <v>55</v>
      </c>
      <c r="F565" s="182" t="n">
        <v>87</v>
      </c>
      <c r="G565" s="172" t="inlineStr">
        <is>
          <t>No</t>
        </is>
      </c>
      <c r="H565" s="170">
        <f>IF(A565="","",IF(OR(NOT(ISNUMBER(C565)),C565=""),"No",IF(AND(HOUR(C565)&gt;=0,HOUR(C565)&lt;5),"Yes","No")))</f>
        <v/>
      </c>
      <c r="I565" s="183">
        <f>IF(OR(B565="",NOT(ISNUMBER(B565))),"",INT(B565))</f>
        <v/>
      </c>
    </row>
    <row r="566" ht="15" customHeight="1" s="122">
      <c r="A566" s="179" t="inlineStr">
        <is>
          <t>KBB 102Q</t>
        </is>
      </c>
      <c r="B566" s="172" t="inlineStr">
        <is>
          <t>18-02-2026 13:53:46</t>
        </is>
      </c>
      <c r="C566" s="172" t="inlineStr">
        <is>
          <t>18-02-2026 13:59:46</t>
        </is>
      </c>
      <c r="D566" s="173" t="inlineStr">
        <is>
          <t>4.33 Km</t>
        </is>
      </c>
      <c r="E566" s="181" t="n">
        <v>45</v>
      </c>
      <c r="F566" s="182" t="n">
        <v>75</v>
      </c>
      <c r="G566" s="172" t="inlineStr">
        <is>
          <t>No</t>
        </is>
      </c>
      <c r="H566" s="170">
        <f>IF(A566="","",IF(OR(NOT(ISNUMBER(C566)),C566=""),"No",IF(AND(HOUR(C566)&gt;=0,HOUR(C566)&lt;5),"Yes","No")))</f>
        <v/>
      </c>
      <c r="I566" s="183">
        <f>IF(OR(B566="",NOT(ISNUMBER(B566))),"",INT(B566))</f>
        <v/>
      </c>
    </row>
    <row r="567" ht="15" customHeight="1" s="122">
      <c r="A567" s="179" t="inlineStr">
        <is>
          <t>KBB 102Q</t>
        </is>
      </c>
      <c r="B567" s="172" t="inlineStr">
        <is>
          <t>18-02-2026 14:06:36</t>
        </is>
      </c>
      <c r="C567" s="172" t="inlineStr">
        <is>
          <t>18-02-2026 14:07:37</t>
        </is>
      </c>
      <c r="D567" s="173" t="inlineStr">
        <is>
          <t>0.09 Km</t>
        </is>
      </c>
      <c r="E567" s="181" t="n">
        <v>38</v>
      </c>
      <c r="F567" s="182" t="n">
        <v>38</v>
      </c>
      <c r="G567" s="172" t="inlineStr">
        <is>
          <t>No</t>
        </is>
      </c>
      <c r="H567" s="170">
        <f>IF(A567="","",IF(OR(NOT(ISNUMBER(C567)),C567=""),"No",IF(AND(HOUR(C567)&gt;=0,HOUR(C567)&lt;5),"Yes","No")))</f>
        <v/>
      </c>
      <c r="I567" s="183">
        <f>IF(OR(B567="",NOT(ISNUMBER(B567))),"",INT(B567))</f>
        <v/>
      </c>
    </row>
    <row r="568" ht="15" customHeight="1" s="122">
      <c r="A568" s="179" t="inlineStr">
        <is>
          <t>KBB 102Q</t>
        </is>
      </c>
      <c r="B568" s="172" t="inlineStr">
        <is>
          <t>18-02-2026 14:14:39</t>
        </is>
      </c>
      <c r="C568" s="172" t="inlineStr">
        <is>
          <t>18-02-2026 14:18:39</t>
        </is>
      </c>
      <c r="D568" s="173" t="inlineStr">
        <is>
          <t>6.02 Km</t>
        </is>
      </c>
      <c r="E568" s="181" t="n">
        <v>39</v>
      </c>
      <c r="F568" s="182" t="n">
        <v>56</v>
      </c>
      <c r="G568" s="172" t="inlineStr">
        <is>
          <t>No</t>
        </is>
      </c>
      <c r="H568" s="170">
        <f>IF(A568="","",IF(OR(NOT(ISNUMBER(C568)),C568=""),"No",IF(AND(HOUR(C568)&gt;=0,HOUR(C568)&lt;5),"Yes","No")))</f>
        <v/>
      </c>
      <c r="I568" s="183">
        <f>IF(OR(B568="",NOT(ISNUMBER(B568))),"",INT(B568))</f>
        <v/>
      </c>
    </row>
    <row r="569" ht="15" customHeight="1" s="122">
      <c r="A569" s="179" t="inlineStr">
        <is>
          <t>KBB 102Q</t>
        </is>
      </c>
      <c r="B569" s="172" t="inlineStr">
        <is>
          <t>18-02-2026 14:26:52</t>
        </is>
      </c>
      <c r="C569" s="172" t="inlineStr">
        <is>
          <t>18-02-2026 14:28:52</t>
        </is>
      </c>
      <c r="D569" s="173" t="inlineStr">
        <is>
          <t>0.81 Km</t>
        </is>
      </c>
      <c r="E569" s="181" t="n">
        <v>30</v>
      </c>
      <c r="F569" s="182" t="n">
        <v>49</v>
      </c>
      <c r="G569" s="172" t="inlineStr">
        <is>
          <t>No</t>
        </is>
      </c>
      <c r="H569" s="170">
        <f>IF(A569="","",IF(OR(NOT(ISNUMBER(C569)),C569=""),"No",IF(AND(HOUR(C569)&gt;=0,HOUR(C569)&lt;5),"Yes","No")))</f>
        <v/>
      </c>
      <c r="I569" s="183">
        <f>IF(OR(B569="",NOT(ISNUMBER(B569))),"",INT(B569))</f>
        <v/>
      </c>
    </row>
    <row r="570" ht="15" customHeight="1" s="122">
      <c r="A570" s="179" t="inlineStr">
        <is>
          <t>KBB 102Q</t>
        </is>
      </c>
      <c r="B570" s="172" t="inlineStr">
        <is>
          <t>18-02-2026 16:13:07</t>
        </is>
      </c>
      <c r="C570" s="172" t="inlineStr">
        <is>
          <t>18-02-2026 16:16:08</t>
        </is>
      </c>
      <c r="D570" s="173" t="inlineStr">
        <is>
          <t>4.43 Km</t>
        </is>
      </c>
      <c r="E570" s="181" t="n">
        <v>56</v>
      </c>
      <c r="F570" s="182" t="n">
        <v>70</v>
      </c>
      <c r="G570" s="172" t="inlineStr">
        <is>
          <t>No</t>
        </is>
      </c>
      <c r="H570" s="170">
        <f>IF(A570="","",IF(OR(NOT(ISNUMBER(C570)),C570=""),"No",IF(AND(HOUR(C570)&gt;=0,HOUR(C570)&lt;5),"Yes","No")))</f>
        <v/>
      </c>
      <c r="I570" s="183">
        <f>IF(OR(B570="",NOT(ISNUMBER(B570))),"",INT(B570))</f>
        <v/>
      </c>
    </row>
    <row r="571" ht="15" customHeight="1" s="122">
      <c r="A571" s="179" t="inlineStr">
        <is>
          <t>KBB 102Q</t>
        </is>
      </c>
      <c r="B571" s="172" t="inlineStr">
        <is>
          <t>18-02-2026 16:23:33</t>
        </is>
      </c>
      <c r="C571" s="172" t="inlineStr">
        <is>
          <t>18-02-2026 16:31:34</t>
        </is>
      </c>
      <c r="D571" s="173" t="inlineStr">
        <is>
          <t>10.89 Km</t>
        </is>
      </c>
      <c r="E571" s="181" t="n">
        <v>68</v>
      </c>
      <c r="F571" s="182" t="n">
        <v>81</v>
      </c>
      <c r="G571" s="172" t="inlineStr">
        <is>
          <t>No</t>
        </is>
      </c>
      <c r="H571" s="170">
        <f>IF(A571="","",IF(OR(NOT(ISNUMBER(C571)),C571=""),"No",IF(AND(HOUR(C571)&gt;=0,HOUR(C571)&lt;5),"Yes","No")))</f>
        <v/>
      </c>
      <c r="I571" s="183">
        <f>IF(OR(B571="",NOT(ISNUMBER(B571))),"",INT(B571))</f>
        <v/>
      </c>
    </row>
    <row r="572" ht="15" customHeight="1" s="122">
      <c r="A572" s="179" t="inlineStr">
        <is>
          <t>KBB 102Q</t>
        </is>
      </c>
      <c r="B572" s="172" t="inlineStr">
        <is>
          <t>18-02-2026 16:38:32</t>
        </is>
      </c>
      <c r="C572" s="172" t="inlineStr">
        <is>
          <t>18-02-2026 17:18:36</t>
        </is>
      </c>
      <c r="D572" s="173" t="inlineStr">
        <is>
          <t>40.42 Km</t>
        </is>
      </c>
      <c r="E572" s="181" t="n">
        <v>59</v>
      </c>
      <c r="F572" s="182" t="n">
        <v>83</v>
      </c>
      <c r="G572" s="172" t="inlineStr">
        <is>
          <t>No</t>
        </is>
      </c>
      <c r="H572" s="170">
        <f>IF(A572="","",IF(OR(NOT(ISNUMBER(C572)),C572=""),"No",IF(AND(HOUR(C572)&gt;=0,HOUR(C572)&lt;5),"Yes","No")))</f>
        <v/>
      </c>
      <c r="I572" s="183">
        <f>IF(OR(B572="",NOT(ISNUMBER(B572))),"",INT(B572))</f>
        <v/>
      </c>
    </row>
    <row r="573" ht="15" customHeight="1" s="122">
      <c r="A573" s="179" t="inlineStr">
        <is>
          <t>KBB 102Q</t>
        </is>
      </c>
      <c r="B573" s="172" t="inlineStr">
        <is>
          <t>18-02-2026 17:20:36</t>
        </is>
      </c>
      <c r="C573" s="172" t="inlineStr">
        <is>
          <t>18-02-2026 17:49:39</t>
        </is>
      </c>
      <c r="D573" s="173" t="inlineStr">
        <is>
          <t>21.86 Km</t>
        </is>
      </c>
      <c r="E573" s="181" t="n">
        <v>48</v>
      </c>
      <c r="F573" s="182" t="n">
        <v>81</v>
      </c>
      <c r="G573" s="172" t="inlineStr">
        <is>
          <t>No</t>
        </is>
      </c>
      <c r="H573" s="170">
        <f>IF(A573="","",IF(OR(NOT(ISNUMBER(C573)),C573=""),"No",IF(AND(HOUR(C573)&gt;=0,HOUR(C573)&lt;5),"Yes","No")))</f>
        <v/>
      </c>
      <c r="I573" s="183">
        <f>IF(OR(B573="",NOT(ISNUMBER(B573))),"",INT(B573))</f>
        <v/>
      </c>
    </row>
    <row r="574" ht="15" customHeight="1" s="122">
      <c r="A574" s="179" t="inlineStr">
        <is>
          <t>KBB 102Q</t>
        </is>
      </c>
      <c r="B574" s="172" t="inlineStr">
        <is>
          <t>18-02-2026 17:59:30</t>
        </is>
      </c>
      <c r="C574" s="172" t="inlineStr">
        <is>
          <t>18-02-2026 18:06:13</t>
        </is>
      </c>
      <c r="D574" s="173" t="inlineStr">
        <is>
          <t>2.92 Km</t>
        </is>
      </c>
      <c r="E574" s="181" t="n">
        <v>22</v>
      </c>
      <c r="F574" s="182" t="n">
        <v>41</v>
      </c>
      <c r="G574" s="172" t="inlineStr">
        <is>
          <t>No</t>
        </is>
      </c>
      <c r="H574" s="170">
        <f>IF(A574="","",IF(OR(NOT(ISNUMBER(C574)),C574=""),"No",IF(AND(HOUR(C574)&gt;=0,HOUR(C574)&lt;5),"Yes","No")))</f>
        <v/>
      </c>
      <c r="I574" s="183">
        <f>IF(OR(B574="",NOT(ISNUMBER(B574))),"",INT(B574))</f>
        <v/>
      </c>
    </row>
    <row r="575" ht="15" customHeight="1" s="122">
      <c r="A575" s="179" t="inlineStr">
        <is>
          <t>KBB 102Q</t>
        </is>
      </c>
      <c r="B575" s="172" t="inlineStr">
        <is>
          <t>18-02-2026 18:23:44</t>
        </is>
      </c>
      <c r="C575" s="172" t="inlineStr">
        <is>
          <t>18-02-2026 18:25:45</t>
        </is>
      </c>
      <c r="D575" s="173" t="inlineStr">
        <is>
          <t>1.51 Km</t>
        </is>
      </c>
      <c r="E575" s="181" t="n">
        <v>9</v>
      </c>
      <c r="F575" s="182" t="n">
        <v>11</v>
      </c>
      <c r="G575" s="172" t="inlineStr">
        <is>
          <t>No</t>
        </is>
      </c>
      <c r="H575" s="170">
        <f>IF(A575="","",IF(OR(NOT(ISNUMBER(C575)),C575=""),"No",IF(AND(HOUR(C575)&gt;=0,HOUR(C575)&lt;5),"Yes","No")))</f>
        <v/>
      </c>
      <c r="I575" s="183">
        <f>IF(OR(B575="",NOT(ISNUMBER(B575))),"",INT(B575))</f>
        <v/>
      </c>
    </row>
    <row r="576" ht="15" customHeight="1" s="122">
      <c r="A576" s="179" t="inlineStr">
        <is>
          <t>KBB 102Q</t>
        </is>
      </c>
      <c r="B576" s="172" t="inlineStr">
        <is>
          <t>18-02-2026 21:27:12</t>
        </is>
      </c>
      <c r="C576" s="172" t="inlineStr">
        <is>
          <t>18-02-2026 21:29:12</t>
        </is>
      </c>
      <c r="D576" s="173" t="inlineStr">
        <is>
          <t>0.28 Km</t>
        </is>
      </c>
      <c r="E576" s="181" t="n">
        <v>18</v>
      </c>
      <c r="F576" s="182" t="n">
        <v>22</v>
      </c>
      <c r="G576" s="172" t="inlineStr">
        <is>
          <t>No</t>
        </is>
      </c>
      <c r="H576" s="170">
        <f>IF(A576="","",IF(OR(NOT(ISNUMBER(C576)),C576=""),"No",IF(AND(HOUR(C576)&gt;=0,HOUR(C576)&lt;5),"Yes","No")))</f>
        <v/>
      </c>
      <c r="I576" s="183">
        <f>IF(OR(B576="",NOT(ISNUMBER(B576))),"",INT(B576))</f>
        <v/>
      </c>
    </row>
    <row r="577" ht="15" customHeight="1" s="122">
      <c r="A577" s="179" t="inlineStr">
        <is>
          <t>KBB 102Q</t>
        </is>
      </c>
      <c r="B577" s="172" t="inlineStr">
        <is>
          <t>18-02-2026 21:59:54</t>
        </is>
      </c>
      <c r="C577" s="172" t="inlineStr">
        <is>
          <t>18-02-2026 22:07:56</t>
        </is>
      </c>
      <c r="D577" s="173" t="inlineStr">
        <is>
          <t>3.49 Km</t>
        </is>
      </c>
      <c r="E577" s="181" t="n">
        <v>34</v>
      </c>
      <c r="F577" s="182" t="n">
        <v>60</v>
      </c>
      <c r="G577" s="172" t="inlineStr">
        <is>
          <t>Yes</t>
        </is>
      </c>
      <c r="H577" s="170">
        <f>IF(A577="","",IF(OR(NOT(ISNUMBER(C577)),C577=""),"No",IF(AND(HOUR(C577)&gt;=0,HOUR(C577)&lt;5),"Yes","No")))</f>
        <v/>
      </c>
      <c r="I577" s="183">
        <f>IF(OR(B577="",NOT(ISNUMBER(B577))),"",INT(B577))</f>
        <v/>
      </c>
    </row>
    <row r="578" ht="15" customHeight="1" s="122">
      <c r="A578" s="179" t="inlineStr">
        <is>
          <t>KBB 102Q</t>
        </is>
      </c>
      <c r="B578" s="172" t="inlineStr">
        <is>
          <t>19-02-2026 08:56:44</t>
        </is>
      </c>
      <c r="C578" s="172" t="inlineStr">
        <is>
          <t>19-02-2026 09:05:46</t>
        </is>
      </c>
      <c r="D578" s="173" t="inlineStr">
        <is>
          <t>3.58 Km</t>
        </is>
      </c>
      <c r="E578" s="181" t="n">
        <v>23</v>
      </c>
      <c r="F578" s="182" t="n">
        <v>37</v>
      </c>
      <c r="G578" s="172" t="inlineStr">
        <is>
          <t>No</t>
        </is>
      </c>
      <c r="H578" s="170">
        <f>IF(A578="","",IF(OR(NOT(ISNUMBER(C578)),C578=""),"No",IF(AND(HOUR(C578)&gt;=0,HOUR(C578)&lt;5),"Yes","No")))</f>
        <v/>
      </c>
      <c r="I578" s="183">
        <f>IF(OR(B578="",NOT(ISNUMBER(B578))),"",INT(B578))</f>
        <v/>
      </c>
    </row>
    <row r="579" ht="15" customHeight="1" s="122">
      <c r="A579" s="179" t="inlineStr">
        <is>
          <t>KBB 102Q</t>
        </is>
      </c>
      <c r="B579" s="172" t="inlineStr">
        <is>
          <t>19-02-2026 09:31:15</t>
        </is>
      </c>
      <c r="C579" s="172" t="inlineStr">
        <is>
          <t>19-02-2026 10:08:19</t>
        </is>
      </c>
      <c r="D579" s="173" t="inlineStr">
        <is>
          <t>22.59 Km</t>
        </is>
      </c>
      <c r="E579" s="181" t="n">
        <v>36</v>
      </c>
      <c r="F579" s="182" t="n">
        <v>74</v>
      </c>
      <c r="G579" s="172" t="inlineStr">
        <is>
          <t>No</t>
        </is>
      </c>
      <c r="H579" s="170">
        <f>IF(A579="","",IF(OR(NOT(ISNUMBER(C579)),C579=""),"No",IF(AND(HOUR(C579)&gt;=0,HOUR(C579)&lt;5),"Yes","No")))</f>
        <v/>
      </c>
      <c r="I579" s="183">
        <f>IF(OR(B579="",NOT(ISNUMBER(B579))),"",INT(B579))</f>
        <v/>
      </c>
    </row>
    <row r="580" ht="15" customHeight="1" s="122">
      <c r="A580" s="179" t="inlineStr">
        <is>
          <t>KBB 102Q</t>
        </is>
      </c>
      <c r="B580" s="172" t="inlineStr">
        <is>
          <t>19-02-2026 12:36:20</t>
        </is>
      </c>
      <c r="C580" s="172" t="inlineStr">
        <is>
          <t>19-02-2026 12:45:22</t>
        </is>
      </c>
      <c r="D580" s="173" t="inlineStr">
        <is>
          <t>4.51 Km</t>
        </is>
      </c>
      <c r="E580" s="181" t="n">
        <v>24</v>
      </c>
      <c r="F580" s="182" t="n">
        <v>35</v>
      </c>
      <c r="G580" s="172" t="inlineStr">
        <is>
          <t>No</t>
        </is>
      </c>
      <c r="H580" s="170">
        <f>IF(A580="","",IF(OR(NOT(ISNUMBER(C580)),C580=""),"No",IF(AND(HOUR(C580)&gt;=0,HOUR(C580)&lt;5),"Yes","No")))</f>
        <v/>
      </c>
      <c r="I580" s="183">
        <f>IF(OR(B580="",NOT(ISNUMBER(B580))),"",INT(B580))</f>
        <v/>
      </c>
    </row>
    <row r="581" ht="15" customHeight="1" s="122">
      <c r="A581" s="179" t="inlineStr">
        <is>
          <t>KBB 102Q</t>
        </is>
      </c>
      <c r="B581" s="172" t="inlineStr">
        <is>
          <t>19-02-2026 12:46:21</t>
        </is>
      </c>
      <c r="C581" s="172" t="inlineStr">
        <is>
          <t>19-02-2026 12:47:21</t>
        </is>
      </c>
      <c r="D581" s="173" t="inlineStr">
        <is>
          <t>0.01 Km</t>
        </is>
      </c>
      <c r="E581" s="181" t="n">
        <v>6</v>
      </c>
      <c r="F581" s="182" t="n">
        <v>6</v>
      </c>
      <c r="G581" s="172" t="inlineStr">
        <is>
          <t>No</t>
        </is>
      </c>
      <c r="H581" s="170">
        <f>IF(A581="","",IF(OR(NOT(ISNUMBER(C581)),C581=""),"No",IF(AND(HOUR(C581)&gt;=0,HOUR(C581)&lt;5),"Yes","No")))</f>
        <v/>
      </c>
      <c r="I581" s="183">
        <f>IF(OR(B581="",NOT(ISNUMBER(B581))),"",INT(B581))</f>
        <v/>
      </c>
    </row>
    <row r="582" ht="15" customHeight="1" s="122">
      <c r="A582" s="179" t="inlineStr">
        <is>
          <t>KBB 102Q</t>
        </is>
      </c>
      <c r="B582" s="172" t="inlineStr">
        <is>
          <t>19-02-2026 13:13:13</t>
        </is>
      </c>
      <c r="C582" s="172" t="inlineStr">
        <is>
          <t>19-02-2026 13:29:16</t>
        </is>
      </c>
      <c r="D582" s="173" t="inlineStr">
        <is>
          <t>8.01 Km</t>
        </is>
      </c>
      <c r="E582" s="181" t="n">
        <v>34</v>
      </c>
      <c r="F582" s="182" t="n">
        <v>74</v>
      </c>
      <c r="G582" s="172" t="inlineStr">
        <is>
          <t>No</t>
        </is>
      </c>
      <c r="H582" s="170">
        <f>IF(A582="","",IF(OR(NOT(ISNUMBER(C582)),C582=""),"No",IF(AND(HOUR(C582)&gt;=0,HOUR(C582)&lt;5),"Yes","No")))</f>
        <v/>
      </c>
      <c r="I582" s="183">
        <f>IF(OR(B582="",NOT(ISNUMBER(B582))),"",INT(B582))</f>
        <v/>
      </c>
    </row>
    <row r="583" ht="15" customHeight="1" s="122">
      <c r="A583" s="179" t="inlineStr">
        <is>
          <t>KBB 102Q</t>
        </is>
      </c>
      <c r="B583" s="172" t="inlineStr">
        <is>
          <t>19-02-2026 14:38:28</t>
        </is>
      </c>
      <c r="C583" s="172" t="inlineStr">
        <is>
          <t>19-02-2026 14:43:28</t>
        </is>
      </c>
      <c r="D583" s="173" t="inlineStr">
        <is>
          <t>4.74 Km</t>
        </is>
      </c>
      <c r="E583" s="181" t="n">
        <v>52</v>
      </c>
      <c r="F583" s="182" t="n">
        <v>75</v>
      </c>
      <c r="G583" s="172" t="inlineStr">
        <is>
          <t>No</t>
        </is>
      </c>
      <c r="H583" s="170">
        <f>IF(A583="","",IF(OR(NOT(ISNUMBER(C583)),C583=""),"No",IF(AND(HOUR(C583)&gt;=0,HOUR(C583)&lt;5),"Yes","No")))</f>
        <v/>
      </c>
      <c r="I583" s="183">
        <f>IF(OR(B583="",NOT(ISNUMBER(B583))),"",INT(B583))</f>
        <v/>
      </c>
    </row>
    <row r="584" ht="15" customHeight="1" s="122">
      <c r="A584" s="179" t="inlineStr">
        <is>
          <t>KBB 102Q</t>
        </is>
      </c>
      <c r="B584" s="172" t="inlineStr">
        <is>
          <t>19-02-2026 14:50:34</t>
        </is>
      </c>
      <c r="C584" s="172" t="inlineStr">
        <is>
          <t>19-02-2026 15:08:35</t>
        </is>
      </c>
      <c r="D584" s="173" t="inlineStr">
        <is>
          <t>18.53 Km</t>
        </is>
      </c>
      <c r="E584" s="181" t="n">
        <v>53</v>
      </c>
      <c r="F584" s="182" t="n">
        <v>79</v>
      </c>
      <c r="G584" s="172" t="inlineStr">
        <is>
          <t>No</t>
        </is>
      </c>
      <c r="H584" s="170">
        <f>IF(A584="","",IF(OR(NOT(ISNUMBER(C584)),C584=""),"No",IF(AND(HOUR(C584)&gt;=0,HOUR(C584)&lt;5),"Yes","No")))</f>
        <v/>
      </c>
      <c r="I584" s="183">
        <f>IF(OR(B584="",NOT(ISNUMBER(B584))),"",INT(B584))</f>
        <v/>
      </c>
    </row>
    <row r="585" ht="15" customHeight="1" s="122">
      <c r="A585" s="179" t="inlineStr">
        <is>
          <t>KBB 102Q</t>
        </is>
      </c>
      <c r="B585" s="172" t="inlineStr">
        <is>
          <t>19-02-2026 15:24:57</t>
        </is>
      </c>
      <c r="C585" s="172" t="inlineStr">
        <is>
          <t>19-02-2026 15:43:00</t>
        </is>
      </c>
      <c r="D585" s="173" t="inlineStr">
        <is>
          <t>14.67 Km</t>
        </is>
      </c>
      <c r="E585" s="181" t="n">
        <v>51</v>
      </c>
      <c r="F585" s="182" t="n">
        <v>77</v>
      </c>
      <c r="G585" s="172" t="inlineStr">
        <is>
          <t>No</t>
        </is>
      </c>
      <c r="H585" s="170">
        <f>IF(A585="","",IF(OR(NOT(ISNUMBER(C585)),C585=""),"No",IF(AND(HOUR(C585)&gt;=0,HOUR(C585)&lt;5),"Yes","No")))</f>
        <v/>
      </c>
      <c r="I585" s="183">
        <f>IF(OR(B585="",NOT(ISNUMBER(B585))),"",INT(B585))</f>
        <v/>
      </c>
    </row>
    <row r="586" ht="15" customHeight="1" s="122">
      <c r="A586" s="179" t="inlineStr">
        <is>
          <t>KBB 102Q</t>
        </is>
      </c>
      <c r="B586" s="172" t="inlineStr">
        <is>
          <t>19-02-2026 15:45:00</t>
        </is>
      </c>
      <c r="C586" s="172" t="inlineStr">
        <is>
          <t>19-02-2026 15:46:00</t>
        </is>
      </c>
      <c r="D586" s="173" t="inlineStr">
        <is>
          <t>0.19 Km</t>
        </is>
      </c>
      <c r="E586" s="181" t="n">
        <v>18</v>
      </c>
      <c r="F586" s="182" t="n">
        <v>18</v>
      </c>
      <c r="G586" s="172" t="inlineStr">
        <is>
          <t>No</t>
        </is>
      </c>
      <c r="H586" s="170">
        <f>IF(A586="","",IF(OR(NOT(ISNUMBER(C586)),C586=""),"No",IF(AND(HOUR(C586)&gt;=0,HOUR(C586)&lt;5),"Yes","No")))</f>
        <v/>
      </c>
      <c r="I586" s="183">
        <f>IF(OR(B586="",NOT(ISNUMBER(B586))),"",INT(B586))</f>
        <v/>
      </c>
    </row>
    <row r="587" ht="15" customHeight="1" s="122">
      <c r="A587" s="179" t="inlineStr">
        <is>
          <t>KBB 102Q</t>
        </is>
      </c>
      <c r="B587" s="172" t="inlineStr">
        <is>
          <t>19-02-2026 16:00:31</t>
        </is>
      </c>
      <c r="C587" s="172" t="inlineStr">
        <is>
          <t>19-02-2026 16:23:32</t>
        </is>
      </c>
      <c r="D587" s="173" t="inlineStr">
        <is>
          <t>19.03 Km</t>
        </is>
      </c>
      <c r="E587" s="181" t="n">
        <v>54</v>
      </c>
      <c r="F587" s="182" t="n">
        <v>76</v>
      </c>
      <c r="G587" s="172" t="inlineStr">
        <is>
          <t>No</t>
        </is>
      </c>
      <c r="H587" s="170">
        <f>IF(A587="","",IF(OR(NOT(ISNUMBER(C587)),C587=""),"No",IF(AND(HOUR(C587)&gt;=0,HOUR(C587)&lt;5),"Yes","No")))</f>
        <v/>
      </c>
      <c r="I587" s="183">
        <f>IF(OR(B587="",NOT(ISNUMBER(B587))),"",INT(B587))</f>
        <v/>
      </c>
    </row>
    <row r="588" ht="15" customHeight="1" s="122">
      <c r="A588" s="179" t="inlineStr">
        <is>
          <t>KBB 102Q</t>
        </is>
      </c>
      <c r="B588" s="172" t="inlineStr">
        <is>
          <t>19-02-2026 16:24:33</t>
        </is>
      </c>
      <c r="C588" s="172" t="inlineStr">
        <is>
          <t>19-02-2026 16:28:34</t>
        </is>
      </c>
      <c r="D588" s="173" t="inlineStr">
        <is>
          <t>1.61 Km</t>
        </is>
      </c>
      <c r="E588" s="181" t="n">
        <v>21</v>
      </c>
      <c r="F588" s="182" t="n">
        <v>34</v>
      </c>
      <c r="G588" s="172" t="inlineStr">
        <is>
          <t>No</t>
        </is>
      </c>
      <c r="H588" s="170">
        <f>IF(A588="","",IF(OR(NOT(ISNUMBER(C588)),C588=""),"No",IF(AND(HOUR(C588)&gt;=0,HOUR(C588)&lt;5),"Yes","No")))</f>
        <v/>
      </c>
      <c r="I588" s="183">
        <f>IF(OR(B588="",NOT(ISNUMBER(B588))),"",INT(B588))</f>
        <v/>
      </c>
    </row>
    <row r="589" ht="15" customHeight="1" s="122">
      <c r="A589" s="179" t="inlineStr">
        <is>
          <t>KBB 102Q</t>
        </is>
      </c>
      <c r="B589" s="172" t="inlineStr">
        <is>
          <t>19-02-2026 16:30:33</t>
        </is>
      </c>
      <c r="C589" s="172" t="inlineStr">
        <is>
          <t>19-02-2026 16:31:34</t>
        </is>
      </c>
      <c r="D589" s="173" t="inlineStr">
        <is>
          <t>0.03 Km</t>
        </is>
      </c>
      <c r="E589" s="181" t="n">
        <v>8</v>
      </c>
      <c r="F589" s="182" t="n">
        <v>8</v>
      </c>
      <c r="G589" s="172" t="inlineStr">
        <is>
          <t>No</t>
        </is>
      </c>
      <c r="H589" s="170">
        <f>IF(A589="","",IF(OR(NOT(ISNUMBER(C589)),C589=""),"No",IF(AND(HOUR(C589)&gt;=0,HOUR(C589)&lt;5),"Yes","No")))</f>
        <v/>
      </c>
      <c r="I589" s="183">
        <f>IF(OR(B589="",NOT(ISNUMBER(B589))),"",INT(B589))</f>
        <v/>
      </c>
    </row>
    <row r="590" ht="15" customHeight="1" s="122">
      <c r="A590" s="179" t="inlineStr">
        <is>
          <t>KBB 102Q</t>
        </is>
      </c>
      <c r="B590" s="172" t="inlineStr">
        <is>
          <t>19-02-2026 16:32:34</t>
        </is>
      </c>
      <c r="C590" s="172" t="inlineStr">
        <is>
          <t>19-02-2026 16:33:34</t>
        </is>
      </c>
      <c r="D590" s="173" t="inlineStr">
        <is>
          <t>0.13 Km</t>
        </is>
      </c>
      <c r="E590" s="181" t="n">
        <v>6</v>
      </c>
      <c r="F590" s="182" t="n">
        <v>6</v>
      </c>
      <c r="G590" s="172" t="inlineStr">
        <is>
          <t>No</t>
        </is>
      </c>
      <c r="H590" s="170">
        <f>IF(A590="","",IF(OR(NOT(ISNUMBER(C590)),C590=""),"No",IF(AND(HOUR(C590)&gt;=0,HOUR(C590)&lt;5),"Yes","No")))</f>
        <v/>
      </c>
      <c r="I590" s="183">
        <f>IF(OR(B590="",NOT(ISNUMBER(B590))),"",INT(B590))</f>
        <v/>
      </c>
    </row>
    <row r="591" ht="15" customHeight="1" s="122">
      <c r="A591" s="179" t="inlineStr">
        <is>
          <t>KBB 102Q</t>
        </is>
      </c>
      <c r="B591" s="172" t="inlineStr">
        <is>
          <t>19-02-2026 16:47:05</t>
        </is>
      </c>
      <c r="C591" s="172" t="inlineStr">
        <is>
          <t>19-02-2026 16:48:05</t>
        </is>
      </c>
      <c r="D591" s="173" t="inlineStr">
        <is>
          <t>0.12 Km</t>
        </is>
      </c>
      <c r="E591" s="181" t="n">
        <v>8</v>
      </c>
      <c r="F591" s="182" t="n">
        <v>8</v>
      </c>
      <c r="G591" s="172" t="inlineStr">
        <is>
          <t>No</t>
        </is>
      </c>
      <c r="H591" s="170">
        <f>IF(A591="","",IF(OR(NOT(ISNUMBER(C591)),C591=""),"No",IF(AND(HOUR(C591)&gt;=0,HOUR(C591)&lt;5),"Yes","No")))</f>
        <v/>
      </c>
      <c r="I591" s="183">
        <f>IF(OR(B591="",NOT(ISNUMBER(B591))),"",INT(B591))</f>
        <v/>
      </c>
    </row>
    <row r="592" ht="15" customHeight="1" s="122">
      <c r="A592" s="179" t="inlineStr">
        <is>
          <t>KBB 102Q</t>
        </is>
      </c>
      <c r="B592" s="172" t="inlineStr">
        <is>
          <t>19-02-2026 16:54:32</t>
        </is>
      </c>
      <c r="C592" s="172" t="inlineStr">
        <is>
          <t>19-02-2026 16:57:33</t>
        </is>
      </c>
      <c r="D592" s="173" t="inlineStr">
        <is>
          <t>0.96 Km</t>
        </is>
      </c>
      <c r="E592" s="181" t="n">
        <v>16</v>
      </c>
      <c r="F592" s="182" t="n">
        <v>32</v>
      </c>
      <c r="G592" s="172" t="inlineStr">
        <is>
          <t>No</t>
        </is>
      </c>
      <c r="H592" s="170">
        <f>IF(A592="","",IF(OR(NOT(ISNUMBER(C592)),C592=""),"No",IF(AND(HOUR(C592)&gt;=0,HOUR(C592)&lt;5),"Yes","No")))</f>
        <v/>
      </c>
      <c r="I592" s="183">
        <f>IF(OR(B592="",NOT(ISNUMBER(B592))),"",INT(B592))</f>
        <v/>
      </c>
    </row>
    <row r="593" ht="15" customHeight="1" s="122">
      <c r="A593" s="179" t="inlineStr">
        <is>
          <t>KBB 102Q</t>
        </is>
      </c>
      <c r="B593" s="172" t="inlineStr">
        <is>
          <t>19-02-2026 17:04:48</t>
        </is>
      </c>
      <c r="C593" s="172" t="inlineStr">
        <is>
          <t>19-02-2026 17:12:49</t>
        </is>
      </c>
      <c r="D593" s="173" t="inlineStr">
        <is>
          <t>3.91 Km</t>
        </is>
      </c>
      <c r="E593" s="181" t="n">
        <v>20</v>
      </c>
      <c r="F593" s="182" t="n">
        <v>30</v>
      </c>
      <c r="G593" s="172" t="inlineStr">
        <is>
          <t>No</t>
        </is>
      </c>
      <c r="H593" s="170">
        <f>IF(A593="","",IF(OR(NOT(ISNUMBER(C593)),C593=""),"No",IF(AND(HOUR(C593)&gt;=0,HOUR(C593)&lt;5),"Yes","No")))</f>
        <v/>
      </c>
      <c r="I593" s="183">
        <f>IF(OR(B593="",NOT(ISNUMBER(B593))),"",INT(B593))</f>
        <v/>
      </c>
    </row>
    <row r="594" ht="15" customHeight="1" s="122">
      <c r="A594" s="179" t="inlineStr">
        <is>
          <t>KBB 102Q</t>
        </is>
      </c>
      <c r="B594" s="172" t="inlineStr">
        <is>
          <t>19-02-2026 17:18:49</t>
        </is>
      </c>
      <c r="C594" s="172" t="inlineStr">
        <is>
          <t>19-02-2026 17:31:51</t>
        </is>
      </c>
      <c r="D594" s="173" t="inlineStr">
        <is>
          <t>3.18 Km</t>
        </is>
      </c>
      <c r="E594" s="181" t="n">
        <v>16</v>
      </c>
      <c r="F594" s="182" t="n">
        <v>29</v>
      </c>
      <c r="G594" s="172" t="inlineStr">
        <is>
          <t>No</t>
        </is>
      </c>
      <c r="H594" s="170">
        <f>IF(A594="","",IF(OR(NOT(ISNUMBER(C594)),C594=""),"No",IF(AND(HOUR(C594)&gt;=0,HOUR(C594)&lt;5),"Yes","No")))</f>
        <v/>
      </c>
      <c r="I594" s="183">
        <f>IF(OR(B594="",NOT(ISNUMBER(B594))),"",INT(B594))</f>
        <v/>
      </c>
    </row>
    <row r="595" ht="15" customHeight="1" s="122">
      <c r="A595" s="179" t="inlineStr">
        <is>
          <t>KBB 102Q</t>
        </is>
      </c>
      <c r="B595" s="172" t="inlineStr">
        <is>
          <t>19-02-2026 17:38:13</t>
        </is>
      </c>
      <c r="C595" s="172" t="inlineStr">
        <is>
          <t>19-02-2026 17:41:13</t>
        </is>
      </c>
      <c r="D595" s="173" t="inlineStr">
        <is>
          <t>1.63 Km</t>
        </is>
      </c>
      <c r="E595" s="181" t="n">
        <v>16</v>
      </c>
      <c r="F595" s="182" t="n">
        <v>21</v>
      </c>
      <c r="G595" s="172" t="inlineStr">
        <is>
          <t>No</t>
        </is>
      </c>
      <c r="H595" s="170">
        <f>IF(A595="","",IF(OR(NOT(ISNUMBER(C595)),C595=""),"No",IF(AND(HOUR(C595)&gt;=0,HOUR(C595)&lt;5),"Yes","No")))</f>
        <v/>
      </c>
      <c r="I595" s="183">
        <f>IF(OR(B595="",NOT(ISNUMBER(B595))),"",INT(B595))</f>
        <v/>
      </c>
    </row>
    <row r="596" ht="15" customHeight="1" s="122">
      <c r="A596" s="179" t="inlineStr">
        <is>
          <t>KBB 102Q</t>
        </is>
      </c>
      <c r="B596" s="172" t="inlineStr">
        <is>
          <t>20-02-2026 11:12:47</t>
        </is>
      </c>
      <c r="C596" s="172" t="inlineStr">
        <is>
          <t>20-02-2026 11:20:48</t>
        </is>
      </c>
      <c r="D596" s="173" t="inlineStr">
        <is>
          <t>2.94 Km</t>
        </is>
      </c>
      <c r="E596" s="181" t="n">
        <v>26</v>
      </c>
      <c r="F596" s="182" t="n">
        <v>38</v>
      </c>
      <c r="G596" s="172" t="inlineStr">
        <is>
          <t>No</t>
        </is>
      </c>
      <c r="H596" s="170">
        <f>IF(A596="","",IF(OR(NOT(ISNUMBER(C596)),C596=""),"No",IF(AND(HOUR(C596)&gt;=0,HOUR(C596)&lt;5),"Yes","No")))</f>
        <v/>
      </c>
      <c r="I596" s="183">
        <f>IF(OR(B596="",NOT(ISNUMBER(B596))),"",INT(B596))</f>
        <v/>
      </c>
    </row>
    <row r="597" ht="15" customHeight="1" s="122">
      <c r="A597" s="179" t="inlineStr">
        <is>
          <t>KBB 102Q</t>
        </is>
      </c>
      <c r="B597" s="172" t="inlineStr">
        <is>
          <t>20-02-2026 11:28:13</t>
        </is>
      </c>
      <c r="C597" s="172" t="inlineStr">
        <is>
          <t>20-02-2026 11:33:13</t>
        </is>
      </c>
      <c r="D597" s="173" t="inlineStr">
        <is>
          <t>1.47 Km</t>
        </is>
      </c>
      <c r="E597" s="181" t="n">
        <v>23</v>
      </c>
      <c r="F597" s="182" t="n">
        <v>41</v>
      </c>
      <c r="G597" s="172" t="inlineStr">
        <is>
          <t>No</t>
        </is>
      </c>
      <c r="H597" s="170">
        <f>IF(A597="","",IF(OR(NOT(ISNUMBER(C597)),C597=""),"No",IF(AND(HOUR(C597)&gt;=0,HOUR(C597)&lt;5),"Yes","No")))</f>
        <v/>
      </c>
      <c r="I597" s="183">
        <f>IF(OR(B597="",NOT(ISNUMBER(B597))),"",INT(B597))</f>
        <v/>
      </c>
    </row>
    <row r="598" ht="15" customHeight="1" s="122">
      <c r="A598" s="179" t="inlineStr">
        <is>
          <t>KBB 102Q</t>
        </is>
      </c>
      <c r="B598" s="172" t="inlineStr">
        <is>
          <t>20-02-2026 11:40:32</t>
        </is>
      </c>
      <c r="C598" s="172" t="inlineStr">
        <is>
          <t>20-02-2026 12:43:40</t>
        </is>
      </c>
      <c r="D598" s="173" t="inlineStr">
        <is>
          <t>48.57 Km</t>
        </is>
      </c>
      <c r="E598" s="181" t="n">
        <v>46</v>
      </c>
      <c r="F598" s="182" t="n">
        <v>80</v>
      </c>
      <c r="G598" s="172" t="inlineStr">
        <is>
          <t>No</t>
        </is>
      </c>
      <c r="H598" s="170">
        <f>IF(A598="","",IF(OR(NOT(ISNUMBER(C598)),C598=""),"No",IF(AND(HOUR(C598)&gt;=0,HOUR(C598)&lt;5),"Yes","No")))</f>
        <v/>
      </c>
      <c r="I598" s="183">
        <f>IF(OR(B598="",NOT(ISNUMBER(B598))),"",INT(B598))</f>
        <v/>
      </c>
    </row>
    <row r="599" ht="15" customHeight="1" s="122">
      <c r="A599" s="179" t="inlineStr">
        <is>
          <t>KBB 102Q</t>
        </is>
      </c>
      <c r="B599" s="172" t="inlineStr">
        <is>
          <t>20-02-2026 17:04:20</t>
        </is>
      </c>
      <c r="C599" s="172" t="inlineStr">
        <is>
          <t>20-02-2026 17:13:20</t>
        </is>
      </c>
      <c r="D599" s="173" t="inlineStr">
        <is>
          <t>6.83 Km</t>
        </is>
      </c>
      <c r="E599" s="181" t="n">
        <v>55</v>
      </c>
      <c r="F599" s="182" t="n">
        <v>83</v>
      </c>
      <c r="G599" s="172" t="inlineStr">
        <is>
          <t>No</t>
        </is>
      </c>
      <c r="H599" s="170">
        <f>IF(A599="","",IF(OR(NOT(ISNUMBER(C599)),C599=""),"No",IF(AND(HOUR(C599)&gt;=0,HOUR(C599)&lt;5),"Yes","No")))</f>
        <v/>
      </c>
      <c r="I599" s="183">
        <f>IF(OR(B599="",NOT(ISNUMBER(B599))),"",INT(B599))</f>
        <v/>
      </c>
    </row>
    <row r="600" ht="15" customHeight="1" s="122">
      <c r="A600" s="179" t="inlineStr">
        <is>
          <t>KBB 102Q</t>
        </is>
      </c>
      <c r="B600" s="172" t="inlineStr">
        <is>
          <t>20-02-2026 17:20:18</t>
        </is>
      </c>
      <c r="C600" s="172" t="inlineStr">
        <is>
          <t>20-02-2026 17:48:23</t>
        </is>
      </c>
      <c r="D600" s="173" t="inlineStr">
        <is>
          <t>27.84 Km</t>
        </is>
      </c>
      <c r="E600" s="181" t="n">
        <v>55</v>
      </c>
      <c r="F600" s="182" t="n">
        <v>84</v>
      </c>
      <c r="G600" s="172" t="inlineStr">
        <is>
          <t>No</t>
        </is>
      </c>
      <c r="H600" s="170">
        <f>IF(A600="","",IF(OR(NOT(ISNUMBER(C600)),C600=""),"No",IF(AND(HOUR(C600)&gt;=0,HOUR(C600)&lt;5),"Yes","No")))</f>
        <v/>
      </c>
      <c r="I600" s="183">
        <f>IF(OR(B600="",NOT(ISNUMBER(B600))),"",INT(B600))</f>
        <v/>
      </c>
    </row>
    <row r="601" ht="15" customHeight="1" s="122">
      <c r="A601" s="179" t="inlineStr">
        <is>
          <t>KBB 102Q</t>
        </is>
      </c>
      <c r="B601" s="172" t="inlineStr">
        <is>
          <t>20-02-2026 17:49:23</t>
        </is>
      </c>
      <c r="C601" s="172" t="inlineStr">
        <is>
          <t>20-02-2026 18:16:25</t>
        </is>
      </c>
      <c r="D601" s="173" t="inlineStr">
        <is>
          <t>12.11 Km</t>
        </is>
      </c>
      <c r="E601" s="181" t="n">
        <v>29</v>
      </c>
      <c r="F601" s="182" t="n">
        <v>50</v>
      </c>
      <c r="G601" s="172" t="inlineStr">
        <is>
          <t>No</t>
        </is>
      </c>
      <c r="H601" s="170">
        <f>IF(A601="","",IF(OR(NOT(ISNUMBER(C601)),C601=""),"No",IF(AND(HOUR(C601)&gt;=0,HOUR(C601)&lt;5),"Yes","No")))</f>
        <v/>
      </c>
      <c r="I601" s="183">
        <f>IF(OR(B601="",NOT(ISNUMBER(B601))),"",INT(B601))</f>
        <v/>
      </c>
    </row>
    <row r="602" ht="15" customHeight="1" s="122">
      <c r="A602" s="179" t="inlineStr">
        <is>
          <t>KBB 102Q</t>
        </is>
      </c>
      <c r="B602" s="172" t="inlineStr">
        <is>
          <t>20-02-2026 18:23:13</t>
        </is>
      </c>
      <c r="C602" s="172" t="inlineStr">
        <is>
          <t>20-02-2026 18:29:14</t>
        </is>
      </c>
      <c r="D602" s="173" t="inlineStr">
        <is>
          <t>2.28 Km</t>
        </is>
      </c>
      <c r="E602" s="181" t="n">
        <v>14</v>
      </c>
      <c r="F602" s="182" t="n">
        <v>18</v>
      </c>
      <c r="G602" s="172" t="inlineStr">
        <is>
          <t>No</t>
        </is>
      </c>
      <c r="H602" s="170">
        <f>IF(A602="","",IF(OR(NOT(ISNUMBER(C602)),C602=""),"No",IF(AND(HOUR(C602)&gt;=0,HOUR(C602)&lt;5),"Yes","No")))</f>
        <v/>
      </c>
      <c r="I602" s="183">
        <f>IF(OR(B602="",NOT(ISNUMBER(B602))),"",INT(B602))</f>
        <v/>
      </c>
    </row>
    <row r="603" ht="15" customHeight="1" s="122">
      <c r="A603" s="179" t="inlineStr">
        <is>
          <t>KBB 102Q</t>
        </is>
      </c>
      <c r="B603" s="172" t="inlineStr">
        <is>
          <t>20-02-2026 18:44:50</t>
        </is>
      </c>
      <c r="C603" s="172" t="inlineStr">
        <is>
          <t>20-02-2026 18:54:51</t>
        </is>
      </c>
      <c r="D603" s="173" t="inlineStr">
        <is>
          <t>3.19 Km</t>
        </is>
      </c>
      <c r="E603" s="181" t="n">
        <v>17</v>
      </c>
      <c r="F603" s="182" t="n">
        <v>22</v>
      </c>
      <c r="G603" s="172" t="inlineStr">
        <is>
          <t>No</t>
        </is>
      </c>
      <c r="H603" s="170">
        <f>IF(A603="","",IF(OR(NOT(ISNUMBER(C603)),C603=""),"No",IF(AND(HOUR(C603)&gt;=0,HOUR(C603)&lt;5),"Yes","No")))</f>
        <v/>
      </c>
      <c r="I603" s="183">
        <f>IF(OR(B603="",NOT(ISNUMBER(B603))),"",INT(B603))</f>
        <v/>
      </c>
    </row>
    <row r="604" ht="15" customHeight="1" s="122">
      <c r="A604" s="179" t="inlineStr">
        <is>
          <t>KBB 102Q</t>
        </is>
      </c>
      <c r="B604" s="172" t="inlineStr">
        <is>
          <t>20-02-2026 19:02:29</t>
        </is>
      </c>
      <c r="C604" s="172" t="inlineStr">
        <is>
          <t>20-02-2026 19:03:29</t>
        </is>
      </c>
      <c r="D604" s="173" t="inlineStr">
        <is>
          <t>0.09 Km</t>
        </is>
      </c>
      <c r="E604" s="181" t="n">
        <v>6</v>
      </c>
      <c r="F604" s="182" t="n">
        <v>6</v>
      </c>
      <c r="G604" s="172" t="inlineStr">
        <is>
          <t>No</t>
        </is>
      </c>
      <c r="H604" s="170">
        <f>IF(A604="","",IF(OR(NOT(ISNUMBER(C604)),C604=""),"No",IF(AND(HOUR(C604)&gt;=0,HOUR(C604)&lt;5),"Yes","No")))</f>
        <v/>
      </c>
      <c r="I604" s="183">
        <f>IF(OR(B604="",NOT(ISNUMBER(B604))),"",INT(B604))</f>
        <v/>
      </c>
    </row>
    <row r="605" ht="15" customHeight="1" s="122">
      <c r="A605" s="179" t="inlineStr">
        <is>
          <t>KBB 102Q</t>
        </is>
      </c>
      <c r="B605" s="172" t="inlineStr">
        <is>
          <t>21-02-2026 11:54:54</t>
        </is>
      </c>
      <c r="C605" s="172" t="inlineStr">
        <is>
          <t>21-02-2026 11:59:54</t>
        </is>
      </c>
      <c r="D605" s="173" t="inlineStr">
        <is>
          <t>3.23 Km</t>
        </is>
      </c>
      <c r="E605" s="181" t="n">
        <v>25</v>
      </c>
      <c r="F605" s="182" t="n">
        <v>39</v>
      </c>
      <c r="G605" s="172" t="inlineStr">
        <is>
          <t>No</t>
        </is>
      </c>
      <c r="H605" s="170">
        <f>IF(A605="","",IF(OR(NOT(ISNUMBER(C605)),C605=""),"No",IF(AND(HOUR(C605)&gt;=0,HOUR(C605)&lt;5),"Yes","No")))</f>
        <v/>
      </c>
      <c r="I605" s="183">
        <f>IF(OR(B605="",NOT(ISNUMBER(B605))),"",INT(B605))</f>
        <v/>
      </c>
    </row>
    <row r="606" ht="15" customHeight="1" s="122">
      <c r="A606" s="179" t="inlineStr">
        <is>
          <t>KBB 102Q</t>
        </is>
      </c>
      <c r="B606" s="172" t="inlineStr">
        <is>
          <t>21-02-2026 12:01:55</t>
        </is>
      </c>
      <c r="C606" s="172" t="inlineStr">
        <is>
          <t>21-02-2026 12:02:55</t>
        </is>
      </c>
      <c r="D606" s="173" t="inlineStr">
        <is>
          <t>0.12 Km</t>
        </is>
      </c>
      <c r="E606" s="181" t="n">
        <v>10</v>
      </c>
      <c r="F606" s="182" t="n">
        <v>10</v>
      </c>
      <c r="G606" s="172" t="inlineStr">
        <is>
          <t>No</t>
        </is>
      </c>
      <c r="H606" s="170">
        <f>IF(A606="","",IF(OR(NOT(ISNUMBER(C606)),C606=""),"No",IF(AND(HOUR(C606)&gt;=0,HOUR(C606)&lt;5),"Yes","No")))</f>
        <v/>
      </c>
      <c r="I606" s="183">
        <f>IF(OR(B606="",NOT(ISNUMBER(B606))),"",INT(B606))</f>
        <v/>
      </c>
    </row>
    <row r="607" ht="15" customHeight="1" s="122">
      <c r="A607" s="179" t="inlineStr">
        <is>
          <t>KBB 102Q</t>
        </is>
      </c>
      <c r="B607" s="172" t="inlineStr">
        <is>
          <t>21-02-2026 16:06:55</t>
        </is>
      </c>
      <c r="C607" s="172" t="inlineStr">
        <is>
          <t>21-02-2026 16:08:56</t>
        </is>
      </c>
      <c r="D607" s="173" t="inlineStr">
        <is>
          <t>0.35 Km</t>
        </is>
      </c>
      <c r="E607" s="181" t="n">
        <v>10</v>
      </c>
      <c r="F607" s="182" t="n">
        <v>13</v>
      </c>
      <c r="G607" s="172" t="inlineStr">
        <is>
          <t>No</t>
        </is>
      </c>
      <c r="H607" s="170">
        <f>IF(A607="","",IF(OR(NOT(ISNUMBER(C607)),C607=""),"No",IF(AND(HOUR(C607)&gt;=0,HOUR(C607)&lt;5),"Yes","No")))</f>
        <v/>
      </c>
      <c r="I607" s="183">
        <f>IF(OR(B607="",NOT(ISNUMBER(B607))),"",INT(B607))</f>
        <v/>
      </c>
    </row>
    <row r="608" ht="15" customHeight="1" s="122">
      <c r="A608" s="179" t="inlineStr">
        <is>
          <t>KBB 102Q</t>
        </is>
      </c>
      <c r="B608" s="172" t="inlineStr">
        <is>
          <t>21-02-2026 16:34:49</t>
        </is>
      </c>
      <c r="C608" s="172" t="inlineStr">
        <is>
          <t>21-02-2026 16:41:50</t>
        </is>
      </c>
      <c r="D608" s="173" t="inlineStr">
        <is>
          <t>2.04 Km</t>
        </is>
      </c>
      <c r="E608" s="181" t="n">
        <v>19</v>
      </c>
      <c r="F608" s="182" t="n">
        <v>27</v>
      </c>
      <c r="G608" s="172" t="inlineStr">
        <is>
          <t>No</t>
        </is>
      </c>
      <c r="H608" s="170">
        <f>IF(A608="","",IF(OR(NOT(ISNUMBER(C608)),C608=""),"No",IF(AND(HOUR(C608)&gt;=0,HOUR(C608)&lt;5),"Yes","No")))</f>
        <v/>
      </c>
      <c r="I608" s="183">
        <f>IF(OR(B608="",NOT(ISNUMBER(B608))),"",INT(B608))</f>
        <v/>
      </c>
    </row>
    <row r="609" ht="15" customHeight="1" s="122">
      <c r="A609" s="179" t="inlineStr">
        <is>
          <t>KBB 102Q</t>
        </is>
      </c>
      <c r="B609" s="172" t="inlineStr">
        <is>
          <t>21-02-2026 16:42:51</t>
        </is>
      </c>
      <c r="C609" s="172" t="inlineStr">
        <is>
          <t>21-02-2026 16:47:51</t>
        </is>
      </c>
      <c r="D609" s="173" t="inlineStr">
        <is>
          <t>1.04 Km</t>
        </is>
      </c>
      <c r="E609" s="181" t="n">
        <v>14</v>
      </c>
      <c r="F609" s="182" t="n">
        <v>17</v>
      </c>
      <c r="G609" s="172" t="inlineStr">
        <is>
          <t>No</t>
        </is>
      </c>
      <c r="H609" s="170">
        <f>IF(A609="","",IF(OR(NOT(ISNUMBER(C609)),C609=""),"No",IF(AND(HOUR(C609)&gt;=0,HOUR(C609)&lt;5),"Yes","No")))</f>
        <v/>
      </c>
      <c r="I609" s="183">
        <f>IF(OR(B609="",NOT(ISNUMBER(B609))),"",INT(B609))</f>
        <v/>
      </c>
    </row>
    <row r="610" ht="15" customHeight="1" s="122">
      <c r="A610" s="179" t="inlineStr">
        <is>
          <t>KBB 102Q</t>
        </is>
      </c>
      <c r="B610" s="172" t="inlineStr">
        <is>
          <t>21-02-2026 17:32:07</t>
        </is>
      </c>
      <c r="C610" s="172" t="inlineStr">
        <is>
          <t>21-02-2026 17:37:08</t>
        </is>
      </c>
      <c r="D610" s="173" t="inlineStr">
        <is>
          <t>1.52 Km</t>
        </is>
      </c>
      <c r="E610" s="181" t="n">
        <v>25</v>
      </c>
      <c r="F610" s="182" t="n">
        <v>49</v>
      </c>
      <c r="G610" s="172" t="inlineStr">
        <is>
          <t>No</t>
        </is>
      </c>
      <c r="H610" s="170">
        <f>IF(A610="","",IF(OR(NOT(ISNUMBER(C610)),C610=""),"No",IF(AND(HOUR(C610)&gt;=0,HOUR(C610)&lt;5),"Yes","No")))</f>
        <v/>
      </c>
      <c r="I610" s="183">
        <f>IF(OR(B610="",NOT(ISNUMBER(B610))),"",INT(B610))</f>
        <v/>
      </c>
    </row>
    <row r="611" ht="15" customHeight="1" s="122">
      <c r="A611" s="179" t="inlineStr">
        <is>
          <t>KBB 102Q</t>
        </is>
      </c>
      <c r="B611" s="172" t="inlineStr">
        <is>
          <t>21-02-2026 17:38:09</t>
        </is>
      </c>
      <c r="C611" s="172" t="inlineStr">
        <is>
          <t>21-02-2026 17:40:08</t>
        </is>
      </c>
      <c r="D611" s="173" t="inlineStr">
        <is>
          <t>0.88 Km</t>
        </is>
      </c>
      <c r="E611" s="181" t="n">
        <v>28</v>
      </c>
      <c r="F611" s="182" t="n">
        <v>29</v>
      </c>
      <c r="G611" s="172" t="inlineStr">
        <is>
          <t>No</t>
        </is>
      </c>
      <c r="H611" s="170">
        <f>IF(A611="","",IF(OR(NOT(ISNUMBER(C611)),C611=""),"No",IF(AND(HOUR(C611)&gt;=0,HOUR(C611)&lt;5),"Yes","No")))</f>
        <v/>
      </c>
      <c r="I611" s="183">
        <f>IF(OR(B611="",NOT(ISNUMBER(B611))),"",INT(B611))</f>
        <v/>
      </c>
    </row>
    <row r="612" ht="15" customHeight="1" s="122">
      <c r="A612" s="179" t="inlineStr">
        <is>
          <t>KBB 102Q</t>
        </is>
      </c>
      <c r="B612" s="172" t="inlineStr">
        <is>
          <t>21-02-2026 17:41:09</t>
        </is>
      </c>
      <c r="C612" s="172" t="inlineStr">
        <is>
          <t>21-02-2026 17:43:09</t>
        </is>
      </c>
      <c r="D612" s="173" t="inlineStr">
        <is>
          <t>0.42 Km</t>
        </is>
      </c>
      <c r="E612" s="181" t="n">
        <v>26</v>
      </c>
      <c r="F612" s="182" t="n">
        <v>35</v>
      </c>
      <c r="G612" s="172" t="inlineStr">
        <is>
          <t>No</t>
        </is>
      </c>
      <c r="H612" s="170">
        <f>IF(A612="","",IF(OR(NOT(ISNUMBER(C612)),C612=""),"No",IF(AND(HOUR(C612)&gt;=0,HOUR(C612)&lt;5),"Yes","No")))</f>
        <v/>
      </c>
      <c r="I612" s="183">
        <f>IF(OR(B612="",NOT(ISNUMBER(B612))),"",INT(B612))</f>
        <v/>
      </c>
    </row>
    <row r="613" ht="15" customHeight="1" s="122">
      <c r="A613" s="179" t="inlineStr">
        <is>
          <t>KBB 102Q</t>
        </is>
      </c>
      <c r="B613" s="172" t="inlineStr">
        <is>
          <t>21-02-2026 18:07:28</t>
        </is>
      </c>
      <c r="C613" s="172" t="inlineStr">
        <is>
          <t>21-02-2026 18:20:29</t>
        </is>
      </c>
      <c r="D613" s="173" t="inlineStr">
        <is>
          <t>3.65 Km</t>
        </is>
      </c>
      <c r="E613" s="181" t="n">
        <v>19</v>
      </c>
      <c r="F613" s="182" t="n">
        <v>41</v>
      </c>
      <c r="G613" s="172" t="inlineStr">
        <is>
          <t>No</t>
        </is>
      </c>
      <c r="H613" s="170">
        <f>IF(A613="","",IF(OR(NOT(ISNUMBER(C613)),C613=""),"No",IF(AND(HOUR(C613)&gt;=0,HOUR(C613)&lt;5),"Yes","No")))</f>
        <v/>
      </c>
      <c r="I613" s="183">
        <f>IF(OR(B613="",NOT(ISNUMBER(B613))),"",INT(B613))</f>
        <v/>
      </c>
    </row>
    <row r="614" ht="15" customHeight="1" s="122">
      <c r="A614" s="179" t="inlineStr">
        <is>
          <t>KBB 102Q</t>
        </is>
      </c>
      <c r="B614" s="172" t="inlineStr">
        <is>
          <t>21-02-2026 19:21:41</t>
        </is>
      </c>
      <c r="C614" s="172" t="inlineStr">
        <is>
          <t>21-02-2026 19:25:42</t>
        </is>
      </c>
      <c r="D614" s="173" t="inlineStr">
        <is>
          <t>1.69 Km</t>
        </is>
      </c>
      <c r="E614" s="181" t="n">
        <v>20</v>
      </c>
      <c r="F614" s="182" t="n">
        <v>25</v>
      </c>
      <c r="G614" s="172" t="inlineStr">
        <is>
          <t>No</t>
        </is>
      </c>
      <c r="H614" s="170">
        <f>IF(A614="","",IF(OR(NOT(ISNUMBER(C614)),C614=""),"No",IF(AND(HOUR(C614)&gt;=0,HOUR(C614)&lt;5),"Yes","No")))</f>
        <v/>
      </c>
      <c r="I614" s="183">
        <f>IF(OR(B614="",NOT(ISNUMBER(B614))),"",INT(B614))</f>
        <v/>
      </c>
    </row>
    <row r="615" ht="15" customHeight="1" s="122">
      <c r="A615" s="179" t="inlineStr">
        <is>
          <t>KBB 102Q</t>
        </is>
      </c>
      <c r="B615" s="172" t="inlineStr">
        <is>
          <t>21-02-2026 19:47:23</t>
        </is>
      </c>
      <c r="C615" s="172" t="inlineStr">
        <is>
          <t>21-02-2026 19:48:23</t>
        </is>
      </c>
      <c r="D615" s="173" t="inlineStr">
        <is>
          <t>0.93 Km</t>
        </is>
      </c>
      <c r="E615" s="181" t="n">
        <v>22</v>
      </c>
      <c r="F615" s="182" t="n">
        <v>22</v>
      </c>
      <c r="G615" s="172" t="inlineStr">
        <is>
          <t>No</t>
        </is>
      </c>
      <c r="H615" s="170">
        <f>IF(A615="","",IF(OR(NOT(ISNUMBER(C615)),C615=""),"No",IF(AND(HOUR(C615)&gt;=0,HOUR(C615)&lt;5),"Yes","No")))</f>
        <v/>
      </c>
      <c r="I615" s="183">
        <f>IF(OR(B615="",NOT(ISNUMBER(B615))),"",INT(B615))</f>
        <v/>
      </c>
    </row>
    <row r="616" ht="15" customHeight="1" s="122">
      <c r="A616" s="179" t="inlineStr">
        <is>
          <t>KBB 102Q</t>
        </is>
      </c>
      <c r="B616" s="172" t="inlineStr">
        <is>
          <t>21-02-2026 20:02:08</t>
        </is>
      </c>
      <c r="C616" s="172" t="inlineStr">
        <is>
          <t>21-02-2026 20:05:09</t>
        </is>
      </c>
      <c r="D616" s="173" t="inlineStr">
        <is>
          <t>1.36 Km</t>
        </is>
      </c>
      <c r="E616" s="181" t="n">
        <v>11</v>
      </c>
      <c r="F616" s="182" t="n">
        <v>12</v>
      </c>
      <c r="G616" s="172" t="inlineStr">
        <is>
          <t>No</t>
        </is>
      </c>
      <c r="H616" s="170">
        <f>IF(A616="","",IF(OR(NOT(ISNUMBER(C616)),C616=""),"No",IF(AND(HOUR(C616)&gt;=0,HOUR(C616)&lt;5),"Yes","No")))</f>
        <v/>
      </c>
      <c r="I616" s="183">
        <f>IF(OR(B616="",NOT(ISNUMBER(B616))),"",INT(B616))</f>
        <v/>
      </c>
    </row>
    <row r="617" ht="15" customHeight="1" s="122">
      <c r="A617" s="179" t="inlineStr">
        <is>
          <t>KBB 102Q</t>
        </is>
      </c>
      <c r="B617" s="172" t="inlineStr">
        <is>
          <t>21-02-2026 21:02:28</t>
        </is>
      </c>
      <c r="C617" s="172" t="inlineStr">
        <is>
          <t>21-02-2026 21:16:29</t>
        </is>
      </c>
      <c r="D617" s="173" t="inlineStr">
        <is>
          <t>3.98 Km</t>
        </is>
      </c>
      <c r="E617" s="181" t="n">
        <v>18</v>
      </c>
      <c r="F617" s="182" t="n">
        <v>40</v>
      </c>
      <c r="G617" s="172" t="inlineStr">
        <is>
          <t>No</t>
        </is>
      </c>
      <c r="H617" s="170">
        <f>IF(A617="","",IF(OR(NOT(ISNUMBER(C617)),C617=""),"No",IF(AND(HOUR(C617)&gt;=0,HOUR(C617)&lt;5),"Yes","No")))</f>
        <v/>
      </c>
      <c r="I617" s="183">
        <f>IF(OR(B617="",NOT(ISNUMBER(B617))),"",INT(B617))</f>
        <v/>
      </c>
    </row>
    <row r="618" ht="15" customHeight="1" s="122">
      <c r="A618" s="179" t="inlineStr">
        <is>
          <t>KBB 102Q</t>
        </is>
      </c>
      <c r="B618" s="172" t="inlineStr">
        <is>
          <t>21-02-2026 21:58:31</t>
        </is>
      </c>
      <c r="C618" s="172" t="inlineStr">
        <is>
          <t>21-02-2026 22:07:32</t>
        </is>
      </c>
      <c r="D618" s="173" t="inlineStr">
        <is>
          <t>3.07 Km</t>
        </is>
      </c>
      <c r="E618" s="181" t="n">
        <v>25</v>
      </c>
      <c r="F618" s="182" t="n">
        <v>33</v>
      </c>
      <c r="G618" s="172" t="inlineStr">
        <is>
          <t>Yes</t>
        </is>
      </c>
      <c r="H618" s="170">
        <f>IF(A618="","",IF(OR(NOT(ISNUMBER(C618)),C618=""),"No",IF(AND(HOUR(C618)&gt;=0,HOUR(C618)&lt;5),"Yes","No")))</f>
        <v/>
      </c>
      <c r="I618" s="183">
        <f>IF(OR(B618="",NOT(ISNUMBER(B618))),"",INT(B618))</f>
        <v/>
      </c>
    </row>
    <row r="619" ht="15" customHeight="1" s="122">
      <c r="A619" s="179" t="inlineStr">
        <is>
          <t>KBB 102Q</t>
        </is>
      </c>
      <c r="B619" s="172" t="inlineStr">
        <is>
          <t>21-02-2026 22:08:33</t>
        </is>
      </c>
      <c r="C619" s="172" t="inlineStr">
        <is>
          <t>21-02-2026 22:10:32</t>
        </is>
      </c>
      <c r="D619" s="173" t="inlineStr">
        <is>
          <t>0.54 Km</t>
        </is>
      </c>
      <c r="E619" s="181" t="n">
        <v>19</v>
      </c>
      <c r="F619" s="182" t="n">
        <v>20</v>
      </c>
      <c r="G619" s="172" t="inlineStr">
        <is>
          <t>Yes</t>
        </is>
      </c>
      <c r="H619" s="170">
        <f>IF(A619="","",IF(OR(NOT(ISNUMBER(C619)),C619=""),"No",IF(AND(HOUR(C619)&gt;=0,HOUR(C619)&lt;5),"Yes","No")))</f>
        <v/>
      </c>
      <c r="I619" s="183">
        <f>IF(OR(B619="",NOT(ISNUMBER(B619))),"",INT(B619))</f>
        <v/>
      </c>
    </row>
    <row r="620" ht="15" customHeight="1" s="122">
      <c r="A620" s="179" t="inlineStr">
        <is>
          <t>KBB 102Q</t>
        </is>
      </c>
      <c r="B620" s="172" t="inlineStr">
        <is>
          <t>23-02-2026 10:01:42</t>
        </is>
      </c>
      <c r="C620" s="172" t="inlineStr">
        <is>
          <t>23-02-2026 10:11:42</t>
        </is>
      </c>
      <c r="D620" s="173" t="inlineStr">
        <is>
          <t>2.69 Km</t>
        </is>
      </c>
      <c r="E620" s="181" t="n">
        <v>22</v>
      </c>
      <c r="F620" s="182" t="n">
        <v>51</v>
      </c>
      <c r="G620" s="172" t="inlineStr">
        <is>
          <t>No</t>
        </is>
      </c>
      <c r="H620" s="170">
        <f>IF(A620="","",IF(OR(NOT(ISNUMBER(C620)),C620=""),"No",IF(AND(HOUR(C620)&gt;=0,HOUR(C620)&lt;5),"Yes","No")))</f>
        <v/>
      </c>
      <c r="I620" s="183">
        <f>IF(OR(B620="",NOT(ISNUMBER(B620))),"",INT(B620))</f>
        <v/>
      </c>
    </row>
    <row r="621" ht="15" customHeight="1" s="122">
      <c r="A621" s="179" t="inlineStr">
        <is>
          <t>KBB 102Q</t>
        </is>
      </c>
      <c r="B621" s="172" t="inlineStr">
        <is>
          <t>23-02-2026 10:12:43</t>
        </is>
      </c>
      <c r="C621" s="172" t="inlineStr">
        <is>
          <t>23-02-2026 10:13:43</t>
        </is>
      </c>
      <c r="D621" s="173" t="inlineStr">
        <is>
          <t>0.08 Km</t>
        </is>
      </c>
      <c r="E621" s="181" t="n">
        <v>8</v>
      </c>
      <c r="F621" s="182" t="n">
        <v>8</v>
      </c>
      <c r="G621" s="172" t="inlineStr">
        <is>
          <t>No</t>
        </is>
      </c>
      <c r="H621" s="170">
        <f>IF(A621="","",IF(OR(NOT(ISNUMBER(C621)),C621=""),"No",IF(AND(HOUR(C621)&gt;=0,HOUR(C621)&lt;5),"Yes","No")))</f>
        <v/>
      </c>
      <c r="I621" s="183">
        <f>IF(OR(B621="",NOT(ISNUMBER(B621))),"",INT(B621))</f>
        <v/>
      </c>
    </row>
    <row r="622" ht="15" customHeight="1" s="122">
      <c r="A622" s="179" t="inlineStr">
        <is>
          <t>KBB 102Q</t>
        </is>
      </c>
      <c r="B622" s="172" t="inlineStr">
        <is>
          <t>23-02-2026 14:38:17</t>
        </is>
      </c>
      <c r="C622" s="172" t="inlineStr">
        <is>
          <t>23-02-2026 14:42:17</t>
        </is>
      </c>
      <c r="D622" s="173" t="inlineStr">
        <is>
          <t>0.89 Km</t>
        </is>
      </c>
      <c r="E622" s="181" t="n">
        <v>13</v>
      </c>
      <c r="F622" s="182" t="n">
        <v>21</v>
      </c>
      <c r="G622" s="172" t="inlineStr">
        <is>
          <t>No</t>
        </is>
      </c>
      <c r="H622" s="170">
        <f>IF(A622="","",IF(OR(NOT(ISNUMBER(C622)),C622=""),"No",IF(AND(HOUR(C622)&gt;=0,HOUR(C622)&lt;5),"Yes","No")))</f>
        <v/>
      </c>
      <c r="I622" s="183">
        <f>IF(OR(B622="",NOT(ISNUMBER(B622))),"",INT(B622))</f>
        <v/>
      </c>
    </row>
    <row r="623" ht="15" customHeight="1" s="122">
      <c r="A623" s="179" t="inlineStr">
        <is>
          <t>KBB 102Q</t>
        </is>
      </c>
      <c r="B623" s="172" t="inlineStr">
        <is>
          <t>23-02-2026 14:43:18</t>
        </is>
      </c>
      <c r="C623" s="172" t="inlineStr">
        <is>
          <t>23-02-2026 14:49:18</t>
        </is>
      </c>
      <c r="D623" s="173" t="inlineStr">
        <is>
          <t>1.29 Km</t>
        </is>
      </c>
      <c r="E623" s="181" t="n">
        <v>16</v>
      </c>
      <c r="F623" s="182" t="n">
        <v>28</v>
      </c>
      <c r="G623" s="172" t="inlineStr">
        <is>
          <t>No</t>
        </is>
      </c>
      <c r="H623" s="170">
        <f>IF(A623="","",IF(OR(NOT(ISNUMBER(C623)),C623=""),"No",IF(AND(HOUR(C623)&gt;=0,HOUR(C623)&lt;5),"Yes","No")))</f>
        <v/>
      </c>
      <c r="I623" s="183">
        <f>IF(OR(B623="",NOT(ISNUMBER(B623))),"",INT(B623))</f>
        <v/>
      </c>
    </row>
    <row r="624" ht="15" customHeight="1" s="122">
      <c r="A624" s="179" t="inlineStr">
        <is>
          <t>KBB 102Q</t>
        </is>
      </c>
      <c r="B624" s="172" t="inlineStr">
        <is>
          <t>24-02-2026 15:44:37</t>
        </is>
      </c>
      <c r="C624" s="172" t="inlineStr">
        <is>
          <t>24-02-2026 15:55:38</t>
        </is>
      </c>
      <c r="D624" s="173" t="inlineStr">
        <is>
          <t>3.25 Km</t>
        </is>
      </c>
      <c r="E624" s="181" t="n">
        <v>27</v>
      </c>
      <c r="F624" s="182" t="n">
        <v>60</v>
      </c>
      <c r="G624" s="172" t="inlineStr">
        <is>
          <t>No</t>
        </is>
      </c>
      <c r="H624" s="170">
        <f>IF(A624="","",IF(OR(NOT(ISNUMBER(C624)),C624=""),"No",IF(AND(HOUR(C624)&gt;=0,HOUR(C624)&lt;5),"Yes","No")))</f>
        <v/>
      </c>
      <c r="I624" s="183">
        <f>IF(OR(B624="",NOT(ISNUMBER(B624))),"",INT(B624))</f>
        <v/>
      </c>
    </row>
    <row r="625" ht="15" customHeight="1" s="122">
      <c r="A625" s="179" t="inlineStr">
        <is>
          <t>KBB 102Q</t>
        </is>
      </c>
      <c r="B625" s="172" t="inlineStr">
        <is>
          <t>24-02-2026 15:57:38</t>
        </is>
      </c>
      <c r="C625" s="172" t="inlineStr">
        <is>
          <t>24-02-2026 15:58:38</t>
        </is>
      </c>
      <c r="D625" s="173" t="inlineStr">
        <is>
          <t>0.09 Km</t>
        </is>
      </c>
      <c r="E625" s="181" t="n">
        <v>14</v>
      </c>
      <c r="F625" s="182" t="n">
        <v>14</v>
      </c>
      <c r="G625" s="172" t="inlineStr">
        <is>
          <t>No</t>
        </is>
      </c>
      <c r="H625" s="170">
        <f>IF(A625="","",IF(OR(NOT(ISNUMBER(C625)),C625=""),"No",IF(AND(HOUR(C625)&gt;=0,HOUR(C625)&lt;5),"Yes","No")))</f>
        <v/>
      </c>
      <c r="I625" s="183">
        <f>IF(OR(B625="",NOT(ISNUMBER(B625))),"",INT(B625))</f>
        <v/>
      </c>
    </row>
    <row r="626" ht="15" customHeight="1" s="122">
      <c r="A626" s="179" t="inlineStr">
        <is>
          <t>KBB 102Q</t>
        </is>
      </c>
      <c r="B626" s="172" t="inlineStr">
        <is>
          <t>24-02-2026 15:59:39</t>
        </is>
      </c>
      <c r="C626" s="172" t="inlineStr">
        <is>
          <t>24-02-2026 16:00:39</t>
        </is>
      </c>
      <c r="D626" s="173" t="inlineStr">
        <is>
          <t>0.06 Km</t>
        </is>
      </c>
      <c r="E626" s="181" t="n">
        <v>6</v>
      </c>
      <c r="F626" s="182" t="n">
        <v>6</v>
      </c>
      <c r="G626" s="172" t="inlineStr">
        <is>
          <t>No</t>
        </is>
      </c>
      <c r="H626" s="170">
        <f>IF(A626="","",IF(OR(NOT(ISNUMBER(C626)),C626=""),"No",IF(AND(HOUR(C626)&gt;=0,HOUR(C626)&lt;5),"Yes","No")))</f>
        <v/>
      </c>
      <c r="I626" s="183">
        <f>IF(OR(B626="",NOT(ISNUMBER(B626))),"",INT(B626))</f>
        <v/>
      </c>
    </row>
    <row r="627" ht="15" customHeight="1" s="122">
      <c r="A627" s="179" t="inlineStr">
        <is>
          <t>KBB 102Q</t>
        </is>
      </c>
      <c r="B627" s="172" t="inlineStr">
        <is>
          <t>24-02-2026 19:29:12</t>
        </is>
      </c>
      <c r="C627" s="172" t="inlineStr">
        <is>
          <t>24-02-2026 19:30:12</t>
        </is>
      </c>
      <c r="D627" s="173" t="inlineStr">
        <is>
          <t>0 Km</t>
        </is>
      </c>
      <c r="E627" s="181" t="n">
        <v>6</v>
      </c>
      <c r="F627" s="182" t="n">
        <v>6</v>
      </c>
      <c r="G627" s="172" t="inlineStr">
        <is>
          <t>No</t>
        </is>
      </c>
      <c r="H627" s="170">
        <f>IF(A627="","",IF(OR(NOT(ISNUMBER(C627)),C627=""),"No",IF(AND(HOUR(C627)&gt;=0,HOUR(C627)&lt;5),"Yes","No")))</f>
        <v/>
      </c>
      <c r="I627" s="183">
        <f>IF(OR(B627="",NOT(ISNUMBER(B627))),"",INT(B627))</f>
        <v/>
      </c>
    </row>
    <row r="628" ht="15" customHeight="1" s="122">
      <c r="A628" s="179" t="inlineStr">
        <is>
          <t>KBB 102Q</t>
        </is>
      </c>
      <c r="B628" s="172" t="inlineStr">
        <is>
          <t>24-02-2026 19:36:13</t>
        </is>
      </c>
      <c r="C628" s="172" t="inlineStr">
        <is>
          <t>24-02-2026 19:38:13</t>
        </is>
      </c>
      <c r="D628" s="173" t="inlineStr">
        <is>
          <t>0.62 Km</t>
        </is>
      </c>
      <c r="E628" s="181" t="n">
        <v>17</v>
      </c>
      <c r="F628" s="182" t="n">
        <v>20</v>
      </c>
      <c r="G628" s="172" t="inlineStr">
        <is>
          <t>No</t>
        </is>
      </c>
      <c r="H628" s="170">
        <f>IF(A628="","",IF(OR(NOT(ISNUMBER(C628)),C628=""),"No",IF(AND(HOUR(C628)&gt;=0,HOUR(C628)&lt;5),"Yes","No")))</f>
        <v/>
      </c>
      <c r="I628" s="183">
        <f>IF(OR(B628="",NOT(ISNUMBER(B628))),"",INT(B628))</f>
        <v/>
      </c>
    </row>
    <row r="629" ht="15" customHeight="1" s="122">
      <c r="A629" s="179" t="inlineStr">
        <is>
          <t>KBB 102Q</t>
        </is>
      </c>
      <c r="B629" s="172" t="inlineStr">
        <is>
          <t>24-02-2026 19:40:13</t>
        </is>
      </c>
      <c r="C629" s="172" t="inlineStr">
        <is>
          <t>24-02-2026 19:52:15</t>
        </is>
      </c>
      <c r="D629" s="173" t="inlineStr">
        <is>
          <t>3.22 Km</t>
        </is>
      </c>
      <c r="E629" s="181" t="n">
        <v>14</v>
      </c>
      <c r="F629" s="182" t="n">
        <v>23</v>
      </c>
      <c r="G629" s="172" t="inlineStr">
        <is>
          <t>No</t>
        </is>
      </c>
      <c r="H629" s="170">
        <f>IF(A629="","",IF(OR(NOT(ISNUMBER(C629)),C629=""),"No",IF(AND(HOUR(C629)&gt;=0,HOUR(C629)&lt;5),"Yes","No")))</f>
        <v/>
      </c>
      <c r="I629" s="183">
        <f>IF(OR(B629="",NOT(ISNUMBER(B629))),"",INT(B629))</f>
        <v/>
      </c>
    </row>
    <row r="630" ht="15" customHeight="1" s="122">
      <c r="A630" s="179" t="inlineStr">
        <is>
          <t>KBB 102Q</t>
        </is>
      </c>
      <c r="B630" s="172" t="inlineStr">
        <is>
          <t>25-02-2026 09:08:35</t>
        </is>
      </c>
      <c r="C630" s="172" t="inlineStr">
        <is>
          <t>25-02-2026 09:40:38</t>
        </is>
      </c>
      <c r="D630" s="173" t="inlineStr">
        <is>
          <t>13.12 Km</t>
        </is>
      </c>
      <c r="E630" s="181" t="n">
        <v>26</v>
      </c>
      <c r="F630" s="182" t="n">
        <v>62</v>
      </c>
      <c r="G630" s="172" t="inlineStr">
        <is>
          <t>No</t>
        </is>
      </c>
      <c r="H630" s="170">
        <f>IF(A630="","",IF(OR(NOT(ISNUMBER(C630)),C630=""),"No",IF(AND(HOUR(C630)&gt;=0,HOUR(C630)&lt;5),"Yes","No")))</f>
        <v/>
      </c>
      <c r="I630" s="183">
        <f>IF(OR(B630="",NOT(ISNUMBER(B630))),"",INT(B630))</f>
        <v/>
      </c>
    </row>
    <row r="631" ht="15" customHeight="1" s="122">
      <c r="A631" s="179" t="inlineStr">
        <is>
          <t>KBB 102Q</t>
        </is>
      </c>
      <c r="B631" s="172" t="inlineStr">
        <is>
          <t>25-02-2026 15:46:52</t>
        </is>
      </c>
      <c r="C631" s="172" t="inlineStr">
        <is>
          <t>25-02-2026 15:47:52</t>
        </is>
      </c>
      <c r="D631" s="173" t="inlineStr">
        <is>
          <t>0.03 Km</t>
        </is>
      </c>
      <c r="E631" s="181" t="n">
        <v>15</v>
      </c>
      <c r="F631" s="182" t="n">
        <v>15</v>
      </c>
      <c r="G631" s="172" t="inlineStr">
        <is>
          <t>No</t>
        </is>
      </c>
      <c r="H631" s="170">
        <f>IF(A631="","",IF(OR(NOT(ISNUMBER(C631)),C631=""),"No",IF(AND(HOUR(C631)&gt;=0,HOUR(C631)&lt;5),"Yes","No")))</f>
        <v/>
      </c>
      <c r="I631" s="183">
        <f>IF(OR(B631="",NOT(ISNUMBER(B631))),"",INT(B631))</f>
        <v/>
      </c>
    </row>
    <row r="632" ht="15" customHeight="1" s="122">
      <c r="A632" s="179" t="inlineStr">
        <is>
          <t>KBB 102Q</t>
        </is>
      </c>
      <c r="B632" s="172" t="inlineStr">
        <is>
          <t>25-02-2026 16:02:34</t>
        </is>
      </c>
      <c r="C632" s="172" t="inlineStr">
        <is>
          <t>25-02-2026 16:07:34</t>
        </is>
      </c>
      <c r="D632" s="173" t="inlineStr">
        <is>
          <t>1.11 Km</t>
        </is>
      </c>
      <c r="E632" s="181" t="n">
        <v>17</v>
      </c>
      <c r="F632" s="182" t="n">
        <v>32</v>
      </c>
      <c r="G632" s="172" t="inlineStr">
        <is>
          <t>No</t>
        </is>
      </c>
      <c r="H632" s="170">
        <f>IF(A632="","",IF(OR(NOT(ISNUMBER(C632)),C632=""),"No",IF(AND(HOUR(C632)&gt;=0,HOUR(C632)&lt;5),"Yes","No")))</f>
        <v/>
      </c>
      <c r="I632" s="183">
        <f>IF(OR(B632="",NOT(ISNUMBER(B632))),"",INT(B632))</f>
        <v/>
      </c>
    </row>
    <row r="633" ht="15" customHeight="1" s="122">
      <c r="A633" s="179" t="inlineStr">
        <is>
          <t>KBB 102Q</t>
        </is>
      </c>
      <c r="B633" s="172" t="inlineStr">
        <is>
          <t>25-02-2026 16:16:20</t>
        </is>
      </c>
      <c r="C633" s="172" t="inlineStr">
        <is>
          <t>25-02-2026 16:23:20</t>
        </is>
      </c>
      <c r="D633" s="173" t="inlineStr">
        <is>
          <t>2.09 Km</t>
        </is>
      </c>
      <c r="E633" s="181" t="n">
        <v>18</v>
      </c>
      <c r="F633" s="182" t="n">
        <v>26</v>
      </c>
      <c r="G633" s="172" t="inlineStr">
        <is>
          <t>No</t>
        </is>
      </c>
      <c r="H633" s="170">
        <f>IF(A633="","",IF(OR(NOT(ISNUMBER(C633)),C633=""),"No",IF(AND(HOUR(C633)&gt;=0,HOUR(C633)&lt;5),"Yes","No")))</f>
        <v/>
      </c>
      <c r="I633" s="183">
        <f>IF(OR(B633="",NOT(ISNUMBER(B633))),"",INT(B633))</f>
        <v/>
      </c>
    </row>
    <row r="634" ht="15" customHeight="1" s="122">
      <c r="A634" s="179" t="inlineStr">
        <is>
          <t>KBB 102Q</t>
        </is>
      </c>
      <c r="B634" s="172" t="inlineStr">
        <is>
          <t>25-02-2026 18:25:27</t>
        </is>
      </c>
      <c r="C634" s="172" t="inlineStr">
        <is>
          <t>25-02-2026 18:41:29</t>
        </is>
      </c>
      <c r="D634" s="173" t="inlineStr">
        <is>
          <t>5.62 Km</t>
        </is>
      </c>
      <c r="E634" s="181" t="n">
        <v>22</v>
      </c>
      <c r="F634" s="182" t="n">
        <v>53</v>
      </c>
      <c r="G634" s="172" t="inlineStr">
        <is>
          <t>No</t>
        </is>
      </c>
      <c r="H634" s="170">
        <f>IF(A634="","",IF(OR(NOT(ISNUMBER(C634)),C634=""),"No",IF(AND(HOUR(C634)&gt;=0,HOUR(C634)&lt;5),"Yes","No")))</f>
        <v/>
      </c>
      <c r="I634" s="183">
        <f>IF(OR(B634="",NOT(ISNUMBER(B634))),"",INT(B634))</f>
        <v/>
      </c>
    </row>
    <row r="635" ht="15" customHeight="1" s="122">
      <c r="A635" s="179" t="inlineStr">
        <is>
          <t>KBB 102Q</t>
        </is>
      </c>
      <c r="B635" s="172" t="inlineStr">
        <is>
          <t>25-02-2026 18:42:29</t>
        </is>
      </c>
      <c r="C635" s="172" t="inlineStr">
        <is>
          <t>25-02-2026 18:48:30</t>
        </is>
      </c>
      <c r="D635" s="173" t="inlineStr">
        <is>
          <t>1.35 Km</t>
        </is>
      </c>
      <c r="E635" s="181" t="n">
        <v>15</v>
      </c>
      <c r="F635" s="182" t="n">
        <v>21</v>
      </c>
      <c r="G635" s="172" t="inlineStr">
        <is>
          <t>No</t>
        </is>
      </c>
      <c r="H635" s="170">
        <f>IF(A635="","",IF(OR(NOT(ISNUMBER(C635)),C635=""),"No",IF(AND(HOUR(C635)&gt;=0,HOUR(C635)&lt;5),"Yes","No")))</f>
        <v/>
      </c>
      <c r="I635" s="183">
        <f>IF(OR(B635="",NOT(ISNUMBER(B635))),"",INT(B635))</f>
        <v/>
      </c>
    </row>
    <row r="636" ht="15" customHeight="1" s="122">
      <c r="A636" s="179" t="inlineStr">
        <is>
          <t>KBB 102Q</t>
        </is>
      </c>
      <c r="B636" s="172" t="inlineStr">
        <is>
          <t>25-02-2026 18:49:29</t>
        </is>
      </c>
      <c r="C636" s="172" t="inlineStr">
        <is>
          <t>25-02-2026 19:03:31</t>
        </is>
      </c>
      <c r="D636" s="173" t="inlineStr">
        <is>
          <t>3.66 Km</t>
        </is>
      </c>
      <c r="E636" s="181" t="n">
        <v>17</v>
      </c>
      <c r="F636" s="182" t="n">
        <v>36</v>
      </c>
      <c r="G636" s="172" t="inlineStr">
        <is>
          <t>No</t>
        </is>
      </c>
      <c r="H636" s="170">
        <f>IF(A636="","",IF(OR(NOT(ISNUMBER(C636)),C636=""),"No",IF(AND(HOUR(C636)&gt;=0,HOUR(C636)&lt;5),"Yes","No")))</f>
        <v/>
      </c>
      <c r="I636" s="183">
        <f>IF(OR(B636="",NOT(ISNUMBER(B636))),"",INT(B636))</f>
        <v/>
      </c>
    </row>
    <row r="637" ht="15" customHeight="1" s="122">
      <c r="A637" s="179" t="inlineStr">
        <is>
          <t>KBB 102Q</t>
        </is>
      </c>
      <c r="B637" s="172" t="inlineStr">
        <is>
          <t>26-02-2026 10:04:15</t>
        </is>
      </c>
      <c r="C637" s="172" t="inlineStr">
        <is>
          <t>26-02-2026 10:07:14</t>
        </is>
      </c>
      <c r="D637" s="173" t="inlineStr">
        <is>
          <t>1.67 Km</t>
        </is>
      </c>
      <c r="E637" s="181" t="n">
        <v>28</v>
      </c>
      <c r="F637" s="182" t="n">
        <v>41</v>
      </c>
      <c r="G637" s="172" t="inlineStr">
        <is>
          <t>No</t>
        </is>
      </c>
      <c r="H637" s="170">
        <f>IF(A637="","",IF(OR(NOT(ISNUMBER(C637)),C637=""),"No",IF(AND(HOUR(C637)&gt;=0,HOUR(C637)&lt;5),"Yes","No")))</f>
        <v/>
      </c>
      <c r="I637" s="183">
        <f>IF(OR(B637="",NOT(ISNUMBER(B637))),"",INT(B637))</f>
        <v/>
      </c>
    </row>
    <row r="638" ht="15" customHeight="1" s="122">
      <c r="A638" s="179" t="inlineStr">
        <is>
          <t>KBB 102Q</t>
        </is>
      </c>
      <c r="B638" s="172" t="inlineStr">
        <is>
          <t>26-02-2026 10:35:21</t>
        </is>
      </c>
      <c r="C638" s="172" t="inlineStr">
        <is>
          <t>26-02-2026 10:38:22</t>
        </is>
      </c>
      <c r="D638" s="173" t="inlineStr">
        <is>
          <t>1.44 Km</t>
        </is>
      </c>
      <c r="E638" s="181" t="n">
        <v>30</v>
      </c>
      <c r="F638" s="182" t="n">
        <v>44</v>
      </c>
      <c r="G638" s="172" t="inlineStr">
        <is>
          <t>No</t>
        </is>
      </c>
      <c r="H638" s="170">
        <f>IF(A638="","",IF(OR(NOT(ISNUMBER(C638)),C638=""),"No",IF(AND(HOUR(C638)&gt;=0,HOUR(C638)&lt;5),"Yes","No")))</f>
        <v/>
      </c>
      <c r="I638" s="183">
        <f>IF(OR(B638="",NOT(ISNUMBER(B638))),"",INT(B638))</f>
        <v/>
      </c>
    </row>
    <row r="639" ht="15" customHeight="1" s="122">
      <c r="A639" s="179" t="inlineStr">
        <is>
          <t>KBB 102Q</t>
        </is>
      </c>
      <c r="B639" s="172" t="inlineStr">
        <is>
          <t>26-02-2026 12:40:24</t>
        </is>
      </c>
      <c r="C639" s="172" t="inlineStr">
        <is>
          <t>26-02-2026 12:41:25</t>
        </is>
      </c>
      <c r="D639" s="173" t="inlineStr">
        <is>
          <t>0.38 Km</t>
        </is>
      </c>
      <c r="E639" s="181" t="n">
        <v>19</v>
      </c>
      <c r="F639" s="182" t="n">
        <v>19</v>
      </c>
      <c r="G639" s="172" t="inlineStr">
        <is>
          <t>No</t>
        </is>
      </c>
      <c r="H639" s="170">
        <f>IF(A639="","",IF(OR(NOT(ISNUMBER(C639)),C639=""),"No",IF(AND(HOUR(C639)&gt;=0,HOUR(C639)&lt;5),"Yes","No")))</f>
        <v/>
      </c>
      <c r="I639" s="183">
        <f>IF(OR(B639="",NOT(ISNUMBER(B639))),"",INT(B639))</f>
        <v/>
      </c>
    </row>
    <row r="640" ht="15" customHeight="1" s="122">
      <c r="A640" s="179" t="inlineStr">
        <is>
          <t>KBB 102Q</t>
        </is>
      </c>
      <c r="B640" s="172" t="inlineStr">
        <is>
          <t>26-02-2026 12:48:29</t>
        </is>
      </c>
      <c r="C640" s="172" t="inlineStr">
        <is>
          <t>26-02-2026 12:55:30</t>
        </is>
      </c>
      <c r="D640" s="173" t="inlineStr">
        <is>
          <t>2.41 Km</t>
        </is>
      </c>
      <c r="E640" s="181" t="n">
        <v>24</v>
      </c>
      <c r="F640" s="182" t="n">
        <v>42</v>
      </c>
      <c r="G640" s="172" t="inlineStr">
        <is>
          <t>No</t>
        </is>
      </c>
      <c r="H640" s="170">
        <f>IF(A640="","",IF(OR(NOT(ISNUMBER(C640)),C640=""),"No",IF(AND(HOUR(C640)&gt;=0,HOUR(C640)&lt;5),"Yes","No")))</f>
        <v/>
      </c>
      <c r="I640" s="183">
        <f>IF(OR(B640="",NOT(ISNUMBER(B640))),"",INT(B640))</f>
        <v/>
      </c>
    </row>
    <row r="641" ht="15" customHeight="1" s="122">
      <c r="A641" s="179" t="inlineStr">
        <is>
          <t>KBB 102Q</t>
        </is>
      </c>
      <c r="B641" s="172" t="inlineStr">
        <is>
          <t>26-02-2026 13:26:30</t>
        </is>
      </c>
      <c r="C641" s="172" t="inlineStr">
        <is>
          <t>26-02-2026 13:32:29</t>
        </is>
      </c>
      <c r="D641" s="173" t="inlineStr">
        <is>
          <t>1.46 Km</t>
        </is>
      </c>
      <c r="E641" s="181" t="n">
        <v>19</v>
      </c>
      <c r="F641" s="182" t="n">
        <v>33</v>
      </c>
      <c r="G641" s="172" t="inlineStr">
        <is>
          <t>No</t>
        </is>
      </c>
      <c r="H641" s="170">
        <f>IF(A641="","",IF(OR(NOT(ISNUMBER(C641)),C641=""),"No",IF(AND(HOUR(C641)&gt;=0,HOUR(C641)&lt;5),"Yes","No")))</f>
        <v/>
      </c>
      <c r="I641" s="183">
        <f>IF(OR(B641="",NOT(ISNUMBER(B641))),"",INT(B641))</f>
        <v/>
      </c>
    </row>
    <row r="642" ht="15" customHeight="1" s="122">
      <c r="A642" s="179" t="inlineStr">
        <is>
          <t>KBB 102Q</t>
        </is>
      </c>
      <c r="B642" s="172" t="inlineStr">
        <is>
          <t>26-02-2026 13:44:02</t>
        </is>
      </c>
      <c r="C642" s="172" t="inlineStr">
        <is>
          <t>26-02-2026 13:45:02</t>
        </is>
      </c>
      <c r="D642" s="173" t="inlineStr">
        <is>
          <t>0.14 Km</t>
        </is>
      </c>
      <c r="E642" s="181" t="n">
        <v>6</v>
      </c>
      <c r="F642" s="182" t="n">
        <v>6</v>
      </c>
      <c r="G642" s="172" t="inlineStr">
        <is>
          <t>No</t>
        </is>
      </c>
      <c r="H642" s="170">
        <f>IF(A642="","",IF(OR(NOT(ISNUMBER(C642)),C642=""),"No",IF(AND(HOUR(C642)&gt;=0,HOUR(C642)&lt;5),"Yes","No")))</f>
        <v/>
      </c>
      <c r="I642" s="183">
        <f>IF(OR(B642="",NOT(ISNUMBER(B642))),"",INT(B642))</f>
        <v/>
      </c>
    </row>
    <row r="643" ht="15" customHeight="1" s="122">
      <c r="A643" s="179" t="inlineStr">
        <is>
          <t>KBB 102Q</t>
        </is>
      </c>
      <c r="B643" s="172" t="inlineStr">
        <is>
          <t>26-02-2026 15:04:46</t>
        </is>
      </c>
      <c r="C643" s="172" t="inlineStr">
        <is>
          <t>26-02-2026 15:13:47</t>
        </is>
      </c>
      <c r="D643" s="173" t="inlineStr">
        <is>
          <t>4.72 Km</t>
        </is>
      </c>
      <c r="E643" s="181" t="n">
        <v>26</v>
      </c>
      <c r="F643" s="182" t="n">
        <v>74</v>
      </c>
      <c r="G643" s="172" t="inlineStr">
        <is>
          <t>No</t>
        </is>
      </c>
      <c r="H643" s="170">
        <f>IF(A643="","",IF(OR(NOT(ISNUMBER(C643)),C643=""),"No",IF(AND(HOUR(C643)&gt;=0,HOUR(C643)&lt;5),"Yes","No")))</f>
        <v/>
      </c>
      <c r="I643" s="183">
        <f>IF(OR(B643="",NOT(ISNUMBER(B643))),"",INT(B643))</f>
        <v/>
      </c>
    </row>
    <row r="644" ht="15" customHeight="1" s="122">
      <c r="A644" s="179" t="inlineStr">
        <is>
          <t>KBB 102Q</t>
        </is>
      </c>
      <c r="B644" s="172" t="inlineStr">
        <is>
          <t>26-02-2026 16:18:17</t>
        </is>
      </c>
      <c r="C644" s="172" t="inlineStr">
        <is>
          <t>26-02-2026 16:26:18</t>
        </is>
      </c>
      <c r="D644" s="173" t="inlineStr">
        <is>
          <t>4.05 Km</t>
        </is>
      </c>
      <c r="E644" s="181" t="n">
        <v>27</v>
      </c>
      <c r="F644" s="182" t="n">
        <v>37</v>
      </c>
      <c r="G644" s="172" t="inlineStr">
        <is>
          <t>No</t>
        </is>
      </c>
      <c r="H644" s="170">
        <f>IF(A644="","",IF(OR(NOT(ISNUMBER(C644)),C644=""),"No",IF(AND(HOUR(C644)&gt;=0,HOUR(C644)&lt;5),"Yes","No")))</f>
        <v/>
      </c>
      <c r="I644" s="183">
        <f>IF(OR(B644="",NOT(ISNUMBER(B644))),"",INT(B644))</f>
        <v/>
      </c>
    </row>
    <row r="645" ht="15" customHeight="1" s="122">
      <c r="A645" s="179" t="inlineStr">
        <is>
          <t>KBB 102Q</t>
        </is>
      </c>
      <c r="B645" s="172" t="inlineStr">
        <is>
          <t>26-02-2026 16:42:34</t>
        </is>
      </c>
      <c r="C645" s="172" t="inlineStr">
        <is>
          <t>26-02-2026 16:43:34</t>
        </is>
      </c>
      <c r="D645" s="173" t="inlineStr">
        <is>
          <t>0.7 Km</t>
        </is>
      </c>
      <c r="E645" s="181" t="n">
        <v>23</v>
      </c>
      <c r="F645" s="182" t="n">
        <v>23</v>
      </c>
      <c r="G645" s="172" t="inlineStr">
        <is>
          <t>No</t>
        </is>
      </c>
      <c r="H645" s="170">
        <f>IF(A645="","",IF(OR(NOT(ISNUMBER(C645)),C645=""),"No",IF(AND(HOUR(C645)&gt;=0,HOUR(C645)&lt;5),"Yes","No")))</f>
        <v/>
      </c>
      <c r="I645" s="183">
        <f>IF(OR(B645="",NOT(ISNUMBER(B645))),"",INT(B645))</f>
        <v/>
      </c>
    </row>
    <row r="646" ht="15" customHeight="1" s="122">
      <c r="A646" s="179" t="inlineStr">
        <is>
          <t>KBB 102Q</t>
        </is>
      </c>
      <c r="B646" s="172" t="inlineStr">
        <is>
          <t>26-02-2026 16:58:31</t>
        </is>
      </c>
      <c r="C646" s="172" t="inlineStr">
        <is>
          <t>26-02-2026 17:08:32</t>
        </is>
      </c>
      <c r="D646" s="173" t="inlineStr">
        <is>
          <t>2.17 Km</t>
        </is>
      </c>
      <c r="E646" s="181" t="n">
        <v>15</v>
      </c>
      <c r="F646" s="182" t="n">
        <v>21</v>
      </c>
      <c r="G646" s="172" t="inlineStr">
        <is>
          <t>No</t>
        </is>
      </c>
      <c r="H646" s="170">
        <f>IF(A646="","",IF(OR(NOT(ISNUMBER(C646)),C646=""),"No",IF(AND(HOUR(C646)&gt;=0,HOUR(C646)&lt;5),"Yes","No")))</f>
        <v/>
      </c>
      <c r="I646" s="183">
        <f>IF(OR(B646="",NOT(ISNUMBER(B646))),"",INT(B646))</f>
        <v/>
      </c>
    </row>
    <row r="647" ht="15" customHeight="1" s="122">
      <c r="A647" s="179" t="inlineStr">
        <is>
          <t>KBB 102Q</t>
        </is>
      </c>
      <c r="B647" s="172" t="inlineStr">
        <is>
          <t>26-02-2026 17:09:31</t>
        </is>
      </c>
      <c r="C647" s="172" t="inlineStr">
        <is>
          <t>26-02-2026 17:10:31</t>
        </is>
      </c>
      <c r="D647" s="173" t="inlineStr">
        <is>
          <t>0.07 Km</t>
        </is>
      </c>
      <c r="E647" s="181" t="n">
        <v>9</v>
      </c>
      <c r="F647" s="182" t="n">
        <v>9</v>
      </c>
      <c r="G647" s="172" t="inlineStr">
        <is>
          <t>No</t>
        </is>
      </c>
      <c r="H647" s="170">
        <f>IF(A647="","",IF(OR(NOT(ISNUMBER(C647)),C647=""),"No",IF(AND(HOUR(C647)&gt;=0,HOUR(C647)&lt;5),"Yes","No")))</f>
        <v/>
      </c>
      <c r="I647" s="183">
        <f>IF(OR(B647="",NOT(ISNUMBER(B647))),"",INT(B647))</f>
        <v/>
      </c>
    </row>
    <row r="648" ht="15" customHeight="1" s="122">
      <c r="A648" s="179" t="inlineStr">
        <is>
          <t>KBB 102Q</t>
        </is>
      </c>
      <c r="B648" s="172" t="inlineStr">
        <is>
          <t>27-02-2026 13:02:58</t>
        </is>
      </c>
      <c r="C648" s="172" t="inlineStr">
        <is>
          <t>27-02-2026 13:05:58</t>
        </is>
      </c>
      <c r="D648" s="173" t="inlineStr">
        <is>
          <t>0.56 Km</t>
        </is>
      </c>
      <c r="E648" s="181" t="n">
        <v>14</v>
      </c>
      <c r="F648" s="182" t="n">
        <v>15</v>
      </c>
      <c r="G648" s="172" t="inlineStr">
        <is>
          <t>No</t>
        </is>
      </c>
      <c r="H648" s="170">
        <f>IF(A648="","",IF(OR(NOT(ISNUMBER(C648)),C648=""),"No",IF(AND(HOUR(C648)&gt;=0,HOUR(C648)&lt;5),"Yes","No")))</f>
        <v/>
      </c>
      <c r="I648" s="183">
        <f>IF(OR(B648="",NOT(ISNUMBER(B648))),"",INT(B648))</f>
        <v/>
      </c>
    </row>
    <row r="649" ht="15" customHeight="1" s="122">
      <c r="A649" s="179" t="inlineStr">
        <is>
          <t>KBB 102Q</t>
        </is>
      </c>
      <c r="B649" s="172" t="inlineStr">
        <is>
          <t>27-02-2026 13:06:58</t>
        </is>
      </c>
      <c r="C649" s="172" t="inlineStr">
        <is>
          <t>27-02-2026 13:13:59</t>
        </is>
      </c>
      <c r="D649" s="173" t="inlineStr">
        <is>
          <t>1.63 Km</t>
        </is>
      </c>
      <c r="E649" s="181" t="n">
        <v>18</v>
      </c>
      <c r="F649" s="182" t="n">
        <v>31</v>
      </c>
      <c r="G649" s="172" t="inlineStr">
        <is>
          <t>No</t>
        </is>
      </c>
      <c r="H649" s="170">
        <f>IF(A649="","",IF(OR(NOT(ISNUMBER(C649)),C649=""),"No",IF(AND(HOUR(C649)&gt;=0,HOUR(C649)&lt;5),"Yes","No")))</f>
        <v/>
      </c>
      <c r="I649" s="183">
        <f>IF(OR(B649="",NOT(ISNUMBER(B649))),"",INT(B649))</f>
        <v/>
      </c>
    </row>
    <row r="650" ht="15" customHeight="1" s="122">
      <c r="A650" s="179" t="inlineStr">
        <is>
          <t>KBB 102Q</t>
        </is>
      </c>
      <c r="B650" s="172" t="inlineStr">
        <is>
          <t>27-02-2026 13:50:35</t>
        </is>
      </c>
      <c r="C650" s="172" t="inlineStr">
        <is>
          <t>27-02-2026 13:52:34</t>
        </is>
      </c>
      <c r="D650" s="173" t="inlineStr">
        <is>
          <t>2.01 Km</t>
        </is>
      </c>
      <c r="E650" s="181" t="n">
        <v>19</v>
      </c>
      <c r="F650" s="182" t="n">
        <v>26</v>
      </c>
      <c r="G650" s="172" t="inlineStr">
        <is>
          <t>No</t>
        </is>
      </c>
      <c r="H650" s="170">
        <f>IF(A650="","",IF(OR(NOT(ISNUMBER(C650)),C650=""),"No",IF(AND(HOUR(C650)&gt;=0,HOUR(C650)&lt;5),"Yes","No")))</f>
        <v/>
      </c>
      <c r="I650" s="183">
        <f>IF(OR(B650="",NOT(ISNUMBER(B650))),"",INT(B650))</f>
        <v/>
      </c>
    </row>
    <row r="651" ht="15" customHeight="1" s="122">
      <c r="A651" s="179" t="inlineStr">
        <is>
          <t>KBB 102Q</t>
        </is>
      </c>
      <c r="B651" s="172" t="inlineStr">
        <is>
          <t>27-02-2026 14:11:01</t>
        </is>
      </c>
      <c r="C651" s="172" t="inlineStr">
        <is>
          <t>27-02-2026 14:14:01</t>
        </is>
      </c>
      <c r="D651" s="173" t="inlineStr">
        <is>
          <t>0.55 Km</t>
        </is>
      </c>
      <c r="E651" s="181" t="n">
        <v>15</v>
      </c>
      <c r="F651" s="182" t="n">
        <v>16</v>
      </c>
      <c r="G651" s="172" t="inlineStr">
        <is>
          <t>No</t>
        </is>
      </c>
      <c r="H651" s="170">
        <f>IF(A651="","",IF(OR(NOT(ISNUMBER(C651)),C651=""),"No",IF(AND(HOUR(C651)&gt;=0,HOUR(C651)&lt;5),"Yes","No")))</f>
        <v/>
      </c>
      <c r="I651" s="183">
        <f>IF(OR(B651="",NOT(ISNUMBER(B651))),"",INT(B651))</f>
        <v/>
      </c>
    </row>
    <row r="652" ht="15" customHeight="1" s="122">
      <c r="A652" s="179" t="inlineStr">
        <is>
          <t>KBB 102Q</t>
        </is>
      </c>
      <c r="B652" s="172" t="inlineStr">
        <is>
          <t>27-02-2026 14:15:01</t>
        </is>
      </c>
      <c r="C652" s="172" t="inlineStr">
        <is>
          <t>27-02-2026 14:16:01</t>
        </is>
      </c>
      <c r="D652" s="173" t="inlineStr">
        <is>
          <t>0.1 Km</t>
        </is>
      </c>
      <c r="E652" s="181" t="n">
        <v>7</v>
      </c>
      <c r="F652" s="182" t="n">
        <v>7</v>
      </c>
      <c r="G652" s="172" t="inlineStr">
        <is>
          <t>No</t>
        </is>
      </c>
      <c r="H652" s="170">
        <f>IF(A652="","",IF(OR(NOT(ISNUMBER(C652)),C652=""),"No",IF(AND(HOUR(C652)&gt;=0,HOUR(C652)&lt;5),"Yes","No")))</f>
        <v/>
      </c>
      <c r="I652" s="183">
        <f>IF(OR(B652="",NOT(ISNUMBER(B652))),"",INT(B652))</f>
        <v/>
      </c>
    </row>
    <row r="653" ht="15" customHeight="1" s="122">
      <c r="A653" s="179" t="inlineStr">
        <is>
          <t>KBB 103Q</t>
        </is>
      </c>
      <c r="B653" s="180" t="n">
        <v>46024.36684027778</v>
      </c>
      <c r="C653" s="180" t="n">
        <v>46024.38960648148</v>
      </c>
      <c r="D653" s="173" t="inlineStr">
        <is>
          <t>23.03 Km</t>
        </is>
      </c>
      <c r="E653" s="181" t="n">
        <v>44</v>
      </c>
      <c r="F653" s="182" t="n">
        <v>92</v>
      </c>
      <c r="G653" s="172" t="inlineStr">
        <is>
          <t>No</t>
        </is>
      </c>
      <c r="H653" s="170">
        <f>IF(A653="","",IF(OR(NOT(ISNUMBER(C653)),C653=""),"No",IF(AND(HOUR(C653)&gt;=0,HOUR(C653)&lt;5),"Yes","No")))</f>
        <v/>
      </c>
      <c r="I653" s="183">
        <f>IF(OR(B653="",NOT(ISNUMBER(B653))),"",INT(B653))</f>
        <v/>
      </c>
    </row>
    <row r="654" ht="15" customHeight="1" s="122">
      <c r="A654" s="179" t="inlineStr">
        <is>
          <t>KBB 103Q</t>
        </is>
      </c>
      <c r="B654" s="180" t="n">
        <v>46024.56376157407</v>
      </c>
      <c r="C654" s="180" t="n">
        <v>46024.56466435185</v>
      </c>
      <c r="D654" s="173" t="inlineStr">
        <is>
          <t>0 Km</t>
        </is>
      </c>
      <c r="E654" s="181" t="n">
        <v>6</v>
      </c>
      <c r="F654" s="182" t="n">
        <v>6</v>
      </c>
      <c r="G654" s="172" t="inlineStr">
        <is>
          <t>No</t>
        </is>
      </c>
      <c r="H654" s="170">
        <f>IF(A654="","",IF(OR(NOT(ISNUMBER(C654)),C654=""),"No",IF(AND(HOUR(C654)&gt;=0,HOUR(C654)&lt;5),"Yes","No")))</f>
        <v/>
      </c>
      <c r="I654" s="183">
        <f>IF(OR(B654="",NOT(ISNUMBER(B654))),"",INT(B654))</f>
        <v/>
      </c>
    </row>
    <row r="655" ht="15" customHeight="1" s="122">
      <c r="A655" s="179" t="inlineStr">
        <is>
          <t>KBB 103Q</t>
        </is>
      </c>
      <c r="B655" s="180" t="n">
        <v>46024.56525462963</v>
      </c>
      <c r="C655" s="180" t="n">
        <v>46024.58288194444</v>
      </c>
      <c r="D655" s="173" t="inlineStr">
        <is>
          <t>16.46 Km</t>
        </is>
      </c>
      <c r="E655" s="181" t="n">
        <v>44</v>
      </c>
      <c r="F655" s="182" t="n">
        <v>78</v>
      </c>
      <c r="G655" s="172" t="inlineStr">
        <is>
          <t>No</t>
        </is>
      </c>
      <c r="H655" s="170">
        <f>IF(A655="","",IF(OR(NOT(ISNUMBER(C655)),C655=""),"No",IF(AND(HOUR(C655)&gt;=0,HOUR(C655)&lt;5),"Yes","No")))</f>
        <v/>
      </c>
      <c r="I655" s="183">
        <f>IF(OR(B655="",NOT(ISNUMBER(B655))),"",INT(B655))</f>
        <v/>
      </c>
    </row>
    <row r="656" ht="15" customHeight="1" s="122">
      <c r="A656" s="179" t="inlineStr">
        <is>
          <t>KBB 103Q</t>
        </is>
      </c>
      <c r="B656" s="180" t="n">
        <v>46024.58392361111</v>
      </c>
      <c r="C656" s="180" t="n">
        <v>46024.59277777778</v>
      </c>
      <c r="D656" s="173" t="inlineStr">
        <is>
          <t>7.02 Km</t>
        </is>
      </c>
      <c r="E656" s="181" t="n">
        <v>40</v>
      </c>
      <c r="F656" s="182" t="n">
        <v>77</v>
      </c>
      <c r="G656" s="172" t="inlineStr">
        <is>
          <t>No</t>
        </is>
      </c>
      <c r="H656" s="170">
        <f>IF(A656="","",IF(OR(NOT(ISNUMBER(C656)),C656=""),"No",IF(AND(HOUR(C656)&gt;=0,HOUR(C656)&lt;5),"Yes","No")))</f>
        <v/>
      </c>
      <c r="I656" s="183">
        <f>IF(OR(B656="",NOT(ISNUMBER(B656))),"",INT(B656))</f>
        <v/>
      </c>
    </row>
    <row r="657" ht="15" customHeight="1" s="122">
      <c r="A657" s="179" t="inlineStr">
        <is>
          <t>KBB 103Q</t>
        </is>
      </c>
      <c r="B657" s="180" t="n">
        <v>46024.59429398148</v>
      </c>
      <c r="C657" s="180" t="n">
        <v>46024.59686342593</v>
      </c>
      <c r="D657" s="173" t="inlineStr">
        <is>
          <t>0.49 Km</t>
        </is>
      </c>
      <c r="E657" s="181" t="n">
        <v>10</v>
      </c>
      <c r="F657" s="182" t="n">
        <v>18</v>
      </c>
      <c r="G657" s="172" t="inlineStr">
        <is>
          <t>No</t>
        </is>
      </c>
      <c r="H657" s="170">
        <f>IF(A657="","",IF(OR(NOT(ISNUMBER(C657)),C657=""),"No",IF(AND(HOUR(C657)&gt;=0,HOUR(C657)&lt;5),"Yes","No")))</f>
        <v/>
      </c>
      <c r="I657" s="183">
        <f>IF(OR(B657="",NOT(ISNUMBER(B657))),"",INT(B657))</f>
        <v/>
      </c>
    </row>
    <row r="658" ht="15" customHeight="1" s="122">
      <c r="A658" s="179" t="inlineStr">
        <is>
          <t>KBB 103Q</t>
        </is>
      </c>
      <c r="B658" s="180" t="n">
        <v>46024.80568287037</v>
      </c>
      <c r="C658" s="180" t="n">
        <v>46024.80634259259</v>
      </c>
      <c r="D658" s="173" t="inlineStr">
        <is>
          <t>0.09 Km</t>
        </is>
      </c>
      <c r="E658" s="181" t="n">
        <v>7</v>
      </c>
      <c r="F658" s="182" t="n">
        <v>10</v>
      </c>
      <c r="G658" s="172" t="inlineStr">
        <is>
          <t>No</t>
        </is>
      </c>
      <c r="H658" s="170">
        <f>IF(A658="","",IF(OR(NOT(ISNUMBER(C658)),C658=""),"No",IF(AND(HOUR(C658)&gt;=0,HOUR(C658)&lt;5),"Yes","No")))</f>
        <v/>
      </c>
      <c r="I658" s="183">
        <f>IF(OR(B658="",NOT(ISNUMBER(B658))),"",INT(B658))</f>
        <v/>
      </c>
    </row>
    <row r="659" ht="15" customHeight="1" s="122">
      <c r="A659" s="179" t="inlineStr">
        <is>
          <t>KBB 103Q</t>
        </is>
      </c>
      <c r="B659" s="180" t="n">
        <v>46024.8125462963</v>
      </c>
      <c r="C659" s="180" t="n">
        <v>46024.81570601852</v>
      </c>
      <c r="D659" s="173" t="inlineStr">
        <is>
          <t>0.57 Km</t>
        </is>
      </c>
      <c r="E659" s="181" t="n">
        <v>10</v>
      </c>
      <c r="F659" s="182" t="n">
        <v>17</v>
      </c>
      <c r="G659" s="172" t="inlineStr">
        <is>
          <t>No</t>
        </is>
      </c>
      <c r="H659" s="170">
        <f>IF(A659="","",IF(OR(NOT(ISNUMBER(C659)),C659=""),"No",IF(AND(HOUR(C659)&gt;=0,HOUR(C659)&lt;5),"Yes","No")))</f>
        <v/>
      </c>
      <c r="I659" s="183">
        <f>IF(OR(B659="",NOT(ISNUMBER(B659))),"",INT(B659))</f>
        <v/>
      </c>
    </row>
    <row r="660" ht="15" customHeight="1" s="122">
      <c r="A660" s="179" t="inlineStr">
        <is>
          <t>KBB 103Q</t>
        </is>
      </c>
      <c r="B660" s="180" t="n">
        <v>46024.81653935185</v>
      </c>
      <c r="C660" s="180" t="n">
        <v>46024.81819444444</v>
      </c>
      <c r="D660" s="173" t="inlineStr">
        <is>
          <t>0.01 Km</t>
        </is>
      </c>
      <c r="E660" s="181" t="n">
        <v>7</v>
      </c>
      <c r="F660" s="182" t="n">
        <v>10</v>
      </c>
      <c r="G660" s="172" t="inlineStr">
        <is>
          <t>No</t>
        </is>
      </c>
      <c r="H660" s="170">
        <f>IF(A660="","",IF(OR(NOT(ISNUMBER(C660)),C660=""),"No",IF(AND(HOUR(C660)&gt;=0,HOUR(C660)&lt;5),"Yes","No")))</f>
        <v/>
      </c>
      <c r="I660" s="183">
        <f>IF(OR(B660="",NOT(ISNUMBER(B660))),"",INT(B660))</f>
        <v/>
      </c>
    </row>
    <row r="661" ht="15" customHeight="1" s="122">
      <c r="A661" s="179" t="inlineStr">
        <is>
          <t>KBB 103Q</t>
        </is>
      </c>
      <c r="B661" s="180" t="n">
        <v>46055.42711805556</v>
      </c>
      <c r="C661" s="180" t="n">
        <v>46055.45091435185</v>
      </c>
      <c r="D661" s="173" t="inlineStr">
        <is>
          <t>17.67 Km</t>
        </is>
      </c>
      <c r="E661" s="181" t="n">
        <v>32</v>
      </c>
      <c r="F661" s="182" t="n">
        <v>76</v>
      </c>
      <c r="G661" s="172" t="inlineStr">
        <is>
          <t>No</t>
        </is>
      </c>
      <c r="H661" s="170">
        <f>IF(A661="","",IF(OR(NOT(ISNUMBER(C661)),C661=""),"No",IF(AND(HOUR(C661)&gt;=0,HOUR(C661)&lt;5),"Yes","No")))</f>
        <v/>
      </c>
      <c r="I661" s="183">
        <f>IF(OR(B661="",NOT(ISNUMBER(B661))),"",INT(B661))</f>
        <v/>
      </c>
    </row>
    <row r="662" ht="15" customHeight="1" s="122">
      <c r="A662" s="179" t="inlineStr">
        <is>
          <t>KBB 103Q</t>
        </is>
      </c>
      <c r="B662" s="180" t="n">
        <v>46055.45380787037</v>
      </c>
      <c r="C662" s="180" t="n">
        <v>46055.45450231482</v>
      </c>
      <c r="D662" s="173" t="inlineStr">
        <is>
          <t>0 Km</t>
        </is>
      </c>
      <c r="E662" s="181" t="n">
        <v>6</v>
      </c>
      <c r="F662" s="182" t="n">
        <v>6</v>
      </c>
      <c r="G662" s="172" t="inlineStr">
        <is>
          <t>No</t>
        </is>
      </c>
      <c r="H662" s="170">
        <f>IF(A662="","",IF(OR(NOT(ISNUMBER(C662)),C662=""),"No",IF(AND(HOUR(C662)&gt;=0,HOUR(C662)&lt;5),"Yes","No")))</f>
        <v/>
      </c>
      <c r="I662" s="183">
        <f>IF(OR(B662="",NOT(ISNUMBER(B662))),"",INT(B662))</f>
        <v/>
      </c>
    </row>
    <row r="663" ht="15" customHeight="1" s="122">
      <c r="A663" s="179" t="inlineStr">
        <is>
          <t>KBB 103Q</t>
        </is>
      </c>
      <c r="B663" s="180" t="n">
        <v>46055.46113425926</v>
      </c>
      <c r="C663" s="180" t="n">
        <v>46055.46439814815</v>
      </c>
      <c r="D663" s="173" t="inlineStr">
        <is>
          <t>1.16 Km</t>
        </is>
      </c>
      <c r="E663" s="181" t="n">
        <v>16</v>
      </c>
      <c r="F663" s="182" t="n">
        <v>39</v>
      </c>
      <c r="G663" s="172" t="inlineStr">
        <is>
          <t>No</t>
        </is>
      </c>
      <c r="H663" s="170">
        <f>IF(A663="","",IF(OR(NOT(ISNUMBER(C663)),C663=""),"No",IF(AND(HOUR(C663)&gt;=0,HOUR(C663)&lt;5),"Yes","No")))</f>
        <v/>
      </c>
      <c r="I663" s="183">
        <f>IF(OR(B663="",NOT(ISNUMBER(B663))),"",INT(B663))</f>
        <v/>
      </c>
    </row>
    <row r="664" ht="15" customHeight="1" s="122">
      <c r="A664" s="179" t="inlineStr">
        <is>
          <t>KBB 103Q</t>
        </is>
      </c>
      <c r="B664" s="180" t="n">
        <v>46055.54134259259</v>
      </c>
      <c r="C664" s="180" t="n">
        <v>46055.54329861111</v>
      </c>
      <c r="D664" s="173" t="inlineStr">
        <is>
          <t>0.19 Km</t>
        </is>
      </c>
      <c r="E664" s="181" t="n">
        <v>9</v>
      </c>
      <c r="F664" s="182" t="n">
        <v>13</v>
      </c>
      <c r="G664" s="172" t="inlineStr">
        <is>
          <t>No</t>
        </is>
      </c>
      <c r="H664" s="170">
        <f>IF(A664="","",IF(OR(NOT(ISNUMBER(C664)),C664=""),"No",IF(AND(HOUR(C664)&gt;=0,HOUR(C664)&lt;5),"Yes","No")))</f>
        <v/>
      </c>
      <c r="I664" s="183">
        <f>IF(OR(B664="",NOT(ISNUMBER(B664))),"",INT(B664))</f>
        <v/>
      </c>
    </row>
    <row r="665" ht="15" customHeight="1" s="122">
      <c r="A665" s="179" t="inlineStr">
        <is>
          <t>KBB 103Q</t>
        </is>
      </c>
      <c r="B665" s="180" t="n">
        <v>46055.54688657408</v>
      </c>
      <c r="C665" s="180" t="n">
        <v>46055.55021990741</v>
      </c>
      <c r="D665" s="173" t="inlineStr">
        <is>
          <t>0.21 Km</t>
        </is>
      </c>
      <c r="E665" s="181" t="n">
        <v>8</v>
      </c>
      <c r="F665" s="182" t="n">
        <v>12</v>
      </c>
      <c r="G665" s="172" t="inlineStr">
        <is>
          <t>No</t>
        </is>
      </c>
      <c r="H665" s="170">
        <f>IF(A665="","",IF(OR(NOT(ISNUMBER(C665)),C665=""),"No",IF(AND(HOUR(C665)&gt;=0,HOUR(C665)&lt;5),"Yes","No")))</f>
        <v/>
      </c>
      <c r="I665" s="183">
        <f>IF(OR(B665="",NOT(ISNUMBER(B665))),"",INT(B665))</f>
        <v/>
      </c>
    </row>
    <row r="666" ht="15" customHeight="1" s="122">
      <c r="A666" s="179" t="inlineStr">
        <is>
          <t>KBB 103Q</t>
        </is>
      </c>
      <c r="B666" s="180" t="n">
        <v>46055.55107638889</v>
      </c>
      <c r="C666" s="180" t="n">
        <v>46055.55412037037</v>
      </c>
      <c r="D666" s="173" t="inlineStr">
        <is>
          <t>1.16 Km</t>
        </is>
      </c>
      <c r="E666" s="181" t="n">
        <v>15</v>
      </c>
      <c r="F666" s="182" t="n">
        <v>35</v>
      </c>
      <c r="G666" s="172" t="inlineStr">
        <is>
          <t>No</t>
        </is>
      </c>
      <c r="H666" s="170">
        <f>IF(A666="","",IF(OR(NOT(ISNUMBER(C666)),C666=""),"No",IF(AND(HOUR(C666)&gt;=0,HOUR(C666)&lt;5),"Yes","No")))</f>
        <v/>
      </c>
      <c r="I666" s="183">
        <f>IF(OR(B666="",NOT(ISNUMBER(B666))),"",INT(B666))</f>
        <v/>
      </c>
    </row>
    <row r="667" ht="15" customHeight="1" s="122">
      <c r="A667" s="179" t="inlineStr">
        <is>
          <t>KBB 103Q</t>
        </is>
      </c>
      <c r="B667" s="180" t="n">
        <v>46055.55489583333</v>
      </c>
      <c r="C667" s="180" t="n">
        <v>46055.56601851852</v>
      </c>
      <c r="D667" s="173" t="inlineStr">
        <is>
          <t>3.35 Km</t>
        </is>
      </c>
      <c r="E667" s="181" t="n">
        <v>16</v>
      </c>
      <c r="F667" s="182" t="n">
        <v>42</v>
      </c>
      <c r="G667" s="172" t="inlineStr">
        <is>
          <t>No</t>
        </is>
      </c>
      <c r="H667" s="170">
        <f>IF(A667="","",IF(OR(NOT(ISNUMBER(C667)),C667=""),"No",IF(AND(HOUR(C667)&gt;=0,HOUR(C667)&lt;5),"Yes","No")))</f>
        <v/>
      </c>
      <c r="I667" s="183">
        <f>IF(OR(B667="",NOT(ISNUMBER(B667))),"",INT(B667))</f>
        <v/>
      </c>
    </row>
    <row r="668" ht="15" customHeight="1" s="122">
      <c r="A668" s="179" t="inlineStr">
        <is>
          <t>KBB 103Q</t>
        </is>
      </c>
      <c r="B668" s="180" t="n">
        <v>46055.5670949074</v>
      </c>
      <c r="C668" s="180" t="n">
        <v>46055.56719907407</v>
      </c>
      <c r="D668" s="173" t="inlineStr">
        <is>
          <t>0.01 Km</t>
        </is>
      </c>
      <c r="E668" s="181" t="n">
        <v>12</v>
      </c>
      <c r="F668" s="182" t="n">
        <v>12</v>
      </c>
      <c r="G668" s="172" t="inlineStr">
        <is>
          <t>No</t>
        </is>
      </c>
      <c r="H668" s="170">
        <f>IF(A668="","",IF(OR(NOT(ISNUMBER(C668)),C668=""),"No",IF(AND(HOUR(C668)&gt;=0,HOUR(C668)&lt;5),"Yes","No")))</f>
        <v/>
      </c>
      <c r="I668" s="183">
        <f>IF(OR(B668="",NOT(ISNUMBER(B668))),"",INT(B668))</f>
        <v/>
      </c>
    </row>
    <row r="669" ht="15" customHeight="1" s="122">
      <c r="A669" s="179" t="inlineStr">
        <is>
          <t>KBB 103Q</t>
        </is>
      </c>
      <c r="B669" s="180" t="n">
        <v>46055.56928240741</v>
      </c>
      <c r="C669" s="180" t="n">
        <v>46055.59826388889</v>
      </c>
      <c r="D669" s="173" t="inlineStr">
        <is>
          <t>13.82 Km</t>
        </is>
      </c>
      <c r="E669" s="181" t="n">
        <v>22</v>
      </c>
      <c r="F669" s="182" t="n">
        <v>75</v>
      </c>
      <c r="G669" s="172" t="inlineStr">
        <is>
          <t>No</t>
        </is>
      </c>
      <c r="H669" s="170">
        <f>IF(A669="","",IF(OR(NOT(ISNUMBER(C669)),C669=""),"No",IF(AND(HOUR(C669)&gt;=0,HOUR(C669)&lt;5),"Yes","No")))</f>
        <v/>
      </c>
      <c r="I669" s="183">
        <f>IF(OR(B669="",NOT(ISNUMBER(B669))),"",INT(B669))</f>
        <v/>
      </c>
    </row>
    <row r="670" ht="15" customHeight="1" s="122">
      <c r="A670" s="179" t="inlineStr">
        <is>
          <t>KBB 103Q</t>
        </is>
      </c>
      <c r="B670" s="180" t="n">
        <v>46055.59954861111</v>
      </c>
      <c r="C670" s="180" t="n">
        <v>46055.60327546296</v>
      </c>
      <c r="D670" s="173" t="inlineStr">
        <is>
          <t>0.27 Km</t>
        </is>
      </c>
      <c r="E670" s="181" t="n">
        <v>8</v>
      </c>
      <c r="F670" s="182" t="n">
        <v>13</v>
      </c>
      <c r="G670" s="172" t="inlineStr">
        <is>
          <t>No</t>
        </is>
      </c>
      <c r="H670" s="170">
        <f>IF(A670="","",IF(OR(NOT(ISNUMBER(C670)),C670=""),"No",IF(AND(HOUR(C670)&gt;=0,HOUR(C670)&lt;5),"Yes","No")))</f>
        <v/>
      </c>
      <c r="I670" s="183">
        <f>IF(OR(B670="",NOT(ISNUMBER(B670))),"",INT(B670))</f>
        <v/>
      </c>
    </row>
    <row r="671" ht="15" customHeight="1" s="122">
      <c r="A671" s="179" t="inlineStr">
        <is>
          <t>KBB 103Q</t>
        </is>
      </c>
      <c r="B671" s="180" t="n">
        <v>46055.60914351852</v>
      </c>
      <c r="C671" s="180" t="n">
        <v>46055.62445601852</v>
      </c>
      <c r="D671" s="173" t="inlineStr">
        <is>
          <t>4.96 Km</t>
        </is>
      </c>
      <c r="E671" s="181" t="n">
        <v>17</v>
      </c>
      <c r="F671" s="182" t="n">
        <v>42</v>
      </c>
      <c r="G671" s="172" t="inlineStr">
        <is>
          <t>No</t>
        </is>
      </c>
      <c r="H671" s="170">
        <f>IF(A671="","",IF(OR(NOT(ISNUMBER(C671)),C671=""),"No",IF(AND(HOUR(C671)&gt;=0,HOUR(C671)&lt;5),"Yes","No")))</f>
        <v/>
      </c>
      <c r="I671" s="183">
        <f>IF(OR(B671="",NOT(ISNUMBER(B671))),"",INT(B671))</f>
        <v/>
      </c>
    </row>
    <row r="672" ht="15" customHeight="1" s="122">
      <c r="A672" s="179" t="inlineStr">
        <is>
          <t>KBB 103Q</t>
        </is>
      </c>
      <c r="B672" s="180" t="n">
        <v>46055.76052083333</v>
      </c>
      <c r="C672" s="180" t="n">
        <v>46055.77896990741</v>
      </c>
      <c r="D672" s="173" t="inlineStr">
        <is>
          <t>10.08 Km</t>
        </is>
      </c>
      <c r="E672" s="181" t="n">
        <v>23</v>
      </c>
      <c r="F672" s="182" t="n">
        <v>67</v>
      </c>
      <c r="G672" s="172" t="inlineStr">
        <is>
          <t>No</t>
        </is>
      </c>
      <c r="H672" s="170">
        <f>IF(A672="","",IF(OR(NOT(ISNUMBER(C672)),C672=""),"No",IF(AND(HOUR(C672)&gt;=0,HOUR(C672)&lt;5),"Yes","No")))</f>
        <v/>
      </c>
      <c r="I672" s="183">
        <f>IF(OR(B672="",NOT(ISNUMBER(B672))),"",INT(B672))</f>
        <v/>
      </c>
    </row>
    <row r="673" ht="15" customHeight="1" s="122">
      <c r="A673" s="179" t="inlineStr">
        <is>
          <t>KBB 103Q</t>
        </is>
      </c>
      <c r="B673" s="180" t="n">
        <v>46055.78262731482</v>
      </c>
      <c r="C673" s="180" t="n">
        <v>46055.79204861111</v>
      </c>
      <c r="D673" s="173" t="inlineStr">
        <is>
          <t>3.27 Km</t>
        </is>
      </c>
      <c r="E673" s="181" t="n">
        <v>16</v>
      </c>
      <c r="F673" s="182" t="n">
        <v>37</v>
      </c>
      <c r="G673" s="172" t="inlineStr">
        <is>
          <t>No</t>
        </is>
      </c>
      <c r="H673" s="170">
        <f>IF(A673="","",IF(OR(NOT(ISNUMBER(C673)),C673=""),"No",IF(AND(HOUR(C673)&gt;=0,HOUR(C673)&lt;5),"Yes","No")))</f>
        <v/>
      </c>
      <c r="I673" s="183">
        <f>IF(OR(B673="",NOT(ISNUMBER(B673))),"",INT(B673))</f>
        <v/>
      </c>
    </row>
    <row r="674" ht="15" customHeight="1" s="122">
      <c r="A674" s="179" t="inlineStr">
        <is>
          <t>KBB 103Q</t>
        </is>
      </c>
      <c r="B674" s="180" t="n">
        <v>46055.79292824074</v>
      </c>
      <c r="C674" s="180" t="n">
        <v>46055.80222222222</v>
      </c>
      <c r="D674" s="173" t="inlineStr">
        <is>
          <t>4.32 Km</t>
        </is>
      </c>
      <c r="E674" s="181" t="n">
        <v>22</v>
      </c>
      <c r="F674" s="182" t="n">
        <v>69</v>
      </c>
      <c r="G674" s="172" t="inlineStr">
        <is>
          <t>No</t>
        </is>
      </c>
      <c r="H674" s="170">
        <f>IF(A674="","",IF(OR(NOT(ISNUMBER(C674)),C674=""),"No",IF(AND(HOUR(C674)&gt;=0,HOUR(C674)&lt;5),"Yes","No")))</f>
        <v/>
      </c>
      <c r="I674" s="183">
        <f>IF(OR(B674="",NOT(ISNUMBER(B674))),"",INT(B674))</f>
        <v/>
      </c>
    </row>
    <row r="675" ht="15" customHeight="1" s="122">
      <c r="A675" s="179" t="inlineStr">
        <is>
          <t>KBB 103Q</t>
        </is>
      </c>
      <c r="B675" s="180" t="n">
        <v>46055.80326388889</v>
      </c>
      <c r="C675" s="180" t="n">
        <v>46055.82259259259</v>
      </c>
      <c r="D675" s="173" t="inlineStr">
        <is>
          <t>11.14 Km</t>
        </is>
      </c>
      <c r="E675" s="181" t="n">
        <v>30</v>
      </c>
      <c r="F675" s="182" t="n">
        <v>73</v>
      </c>
      <c r="G675" s="172" t="inlineStr">
        <is>
          <t>No</t>
        </is>
      </c>
      <c r="H675" s="170">
        <f>IF(A675="","",IF(OR(NOT(ISNUMBER(C675)),C675=""),"No",IF(AND(HOUR(C675)&gt;=0,HOUR(C675)&lt;5),"Yes","No")))</f>
        <v/>
      </c>
      <c r="I675" s="183">
        <f>IF(OR(B675="",NOT(ISNUMBER(B675))),"",INT(B675))</f>
        <v/>
      </c>
    </row>
    <row r="676" ht="15" customHeight="1" s="122">
      <c r="A676" s="179" t="inlineStr">
        <is>
          <t>KBB 103Q</t>
        </is>
      </c>
      <c r="B676" s="180" t="n">
        <v>46055.82424768519</v>
      </c>
      <c r="C676" s="180" t="n">
        <v>46055.8278587963</v>
      </c>
      <c r="D676" s="173" t="inlineStr">
        <is>
          <t>0.84 Km</t>
        </is>
      </c>
      <c r="E676" s="181" t="n">
        <v>11</v>
      </c>
      <c r="F676" s="182" t="n">
        <v>23</v>
      </c>
      <c r="G676" s="172" t="inlineStr">
        <is>
          <t>No</t>
        </is>
      </c>
      <c r="H676" s="170">
        <f>IF(A676="","",IF(OR(NOT(ISNUMBER(C676)),C676=""),"No",IF(AND(HOUR(C676)&gt;=0,HOUR(C676)&lt;5),"Yes","No")))</f>
        <v/>
      </c>
      <c r="I676" s="183">
        <f>IF(OR(B676="",NOT(ISNUMBER(B676))),"",INT(B676))</f>
        <v/>
      </c>
    </row>
    <row r="677" ht="15" customHeight="1" s="122">
      <c r="A677" s="179" t="inlineStr">
        <is>
          <t>KBB 103Q</t>
        </is>
      </c>
      <c r="B677" s="180" t="n">
        <v>46055.82973379629</v>
      </c>
      <c r="C677" s="180" t="n">
        <v>46055.83768518519</v>
      </c>
      <c r="D677" s="173" t="inlineStr">
        <is>
          <t>4.16 Km</t>
        </is>
      </c>
      <c r="E677" s="181" t="n">
        <v>26</v>
      </c>
      <c r="F677" s="182" t="n">
        <v>77</v>
      </c>
      <c r="G677" s="172" t="inlineStr">
        <is>
          <t>No</t>
        </is>
      </c>
      <c r="H677" s="170">
        <f>IF(A677="","",IF(OR(NOT(ISNUMBER(C677)),C677=""),"No",IF(AND(HOUR(C677)&gt;=0,HOUR(C677)&lt;5),"Yes","No")))</f>
        <v/>
      </c>
      <c r="I677" s="183">
        <f>IF(OR(B677="",NOT(ISNUMBER(B677))),"",INT(B677))</f>
        <v/>
      </c>
    </row>
    <row r="678" ht="15" customHeight="1" s="122">
      <c r="A678" s="179" t="inlineStr">
        <is>
          <t>KBB 103Q</t>
        </is>
      </c>
      <c r="B678" s="180" t="n">
        <v>46055.83922453703</v>
      </c>
      <c r="C678" s="180" t="n">
        <v>46055.83991898148</v>
      </c>
      <c r="D678" s="173" t="inlineStr">
        <is>
          <t>0 Km</t>
        </is>
      </c>
      <c r="E678" s="181" t="n">
        <v>6</v>
      </c>
      <c r="F678" s="182" t="n">
        <v>6</v>
      </c>
      <c r="G678" s="172" t="inlineStr">
        <is>
          <t>No</t>
        </is>
      </c>
      <c r="H678" s="170">
        <f>IF(A678="","",IF(OR(NOT(ISNUMBER(C678)),C678=""),"No",IF(AND(HOUR(C678)&gt;=0,HOUR(C678)&lt;5),"Yes","No")))</f>
        <v/>
      </c>
      <c r="I678" s="183">
        <f>IF(OR(B678="",NOT(ISNUMBER(B678))),"",INT(B678))</f>
        <v/>
      </c>
    </row>
    <row r="679" ht="15" customHeight="1" s="122">
      <c r="A679" s="179" t="inlineStr">
        <is>
          <t>KBB 103Q</t>
        </is>
      </c>
      <c r="B679" s="180" t="n">
        <v>46083.55490740741</v>
      </c>
      <c r="C679" s="180" t="n">
        <v>46083.59244212963</v>
      </c>
      <c r="D679" s="173" t="inlineStr">
        <is>
          <t>42.26 Km</t>
        </is>
      </c>
      <c r="E679" s="181" t="n">
        <v>47</v>
      </c>
      <c r="F679" s="182" t="n">
        <v>83</v>
      </c>
      <c r="G679" s="172" t="inlineStr">
        <is>
          <t>No</t>
        </is>
      </c>
      <c r="H679" s="170">
        <f>IF(A679="","",IF(OR(NOT(ISNUMBER(C679)),C679=""),"No",IF(AND(HOUR(C679)&gt;=0,HOUR(C679)&lt;5),"Yes","No")))</f>
        <v/>
      </c>
      <c r="I679" s="183">
        <f>IF(OR(B679="",NOT(ISNUMBER(B679))),"",INT(B679))</f>
        <v/>
      </c>
    </row>
    <row r="680" ht="15" customHeight="1" s="122">
      <c r="A680" s="179" t="inlineStr">
        <is>
          <t>KBB 103Q</t>
        </is>
      </c>
      <c r="B680" s="180" t="n">
        <v>46083.66291666667</v>
      </c>
      <c r="C680" s="180" t="n">
        <v>46083.66599537037</v>
      </c>
      <c r="D680" s="173" t="inlineStr">
        <is>
          <t>0.55 Km</t>
        </is>
      </c>
      <c r="E680" s="181" t="n">
        <v>11</v>
      </c>
      <c r="F680" s="182" t="n">
        <v>23</v>
      </c>
      <c r="G680" s="172" t="inlineStr">
        <is>
          <t>No</t>
        </is>
      </c>
      <c r="H680" s="170">
        <f>IF(A680="","",IF(OR(NOT(ISNUMBER(C680)),C680=""),"No",IF(AND(HOUR(C680)&gt;=0,HOUR(C680)&lt;5),"Yes","No")))</f>
        <v/>
      </c>
      <c r="I680" s="183">
        <f>IF(OR(B680="",NOT(ISNUMBER(B680))),"",INT(B680))</f>
        <v/>
      </c>
    </row>
    <row r="681" ht="15" customHeight="1" s="122">
      <c r="A681" s="179" t="inlineStr">
        <is>
          <t>KBB 103Q</t>
        </is>
      </c>
      <c r="B681" s="180" t="n">
        <v>46083.69802083333</v>
      </c>
      <c r="C681" s="180" t="n">
        <v>46083.69988425926</v>
      </c>
      <c r="D681" s="173" t="inlineStr">
        <is>
          <t>0.41 Km</t>
        </is>
      </c>
      <c r="E681" s="181" t="n">
        <v>11</v>
      </c>
      <c r="F681" s="182" t="n">
        <v>26</v>
      </c>
      <c r="G681" s="172" t="inlineStr">
        <is>
          <t>No</t>
        </is>
      </c>
      <c r="H681" s="170">
        <f>IF(A681="","",IF(OR(NOT(ISNUMBER(C681)),C681=""),"No",IF(AND(HOUR(C681)&gt;=0,HOUR(C681)&lt;5),"Yes","No")))</f>
        <v/>
      </c>
      <c r="I681" s="183">
        <f>IF(OR(B681="",NOT(ISNUMBER(B681))),"",INT(B681))</f>
        <v/>
      </c>
    </row>
    <row r="682" ht="15" customHeight="1" s="122">
      <c r="A682" s="179" t="inlineStr">
        <is>
          <t>KBB 103Q</t>
        </is>
      </c>
      <c r="B682" s="180" t="n">
        <v>46083.74327546296</v>
      </c>
      <c r="C682" s="180" t="n">
        <v>46083.74560185185</v>
      </c>
      <c r="D682" s="173" t="inlineStr">
        <is>
          <t>0.25 Km</t>
        </is>
      </c>
      <c r="E682" s="181" t="n">
        <v>7</v>
      </c>
      <c r="F682" s="182" t="n">
        <v>10</v>
      </c>
      <c r="G682" s="172" t="inlineStr">
        <is>
          <t>No</t>
        </is>
      </c>
      <c r="H682" s="170">
        <f>IF(A682="","",IF(OR(NOT(ISNUMBER(C682)),C682=""),"No",IF(AND(HOUR(C682)&gt;=0,HOUR(C682)&lt;5),"Yes","No")))</f>
        <v/>
      </c>
      <c r="I682" s="183">
        <f>IF(OR(B682="",NOT(ISNUMBER(B682))),"",INT(B682))</f>
        <v/>
      </c>
    </row>
    <row r="683" ht="15" customHeight="1" s="122">
      <c r="A683" s="179" t="inlineStr">
        <is>
          <t>KBB 103Q</t>
        </is>
      </c>
      <c r="B683" s="180" t="n">
        <v>46083.74711805556</v>
      </c>
      <c r="C683" s="180" t="n">
        <v>46083.74782407407</v>
      </c>
      <c r="D683" s="173" t="inlineStr">
        <is>
          <t>0.01 Km</t>
        </is>
      </c>
      <c r="E683" s="181" t="n">
        <v>6</v>
      </c>
      <c r="F683" s="182" t="n">
        <v>6</v>
      </c>
      <c r="G683" s="172" t="inlineStr">
        <is>
          <t>No</t>
        </is>
      </c>
      <c r="H683" s="170">
        <f>IF(A683="","",IF(OR(NOT(ISNUMBER(C683)),C683=""),"No",IF(AND(HOUR(C683)&gt;=0,HOUR(C683)&lt;5),"Yes","No")))</f>
        <v/>
      </c>
      <c r="I683" s="183">
        <f>IF(OR(B683="",NOT(ISNUMBER(B683))),"",INT(B683))</f>
        <v/>
      </c>
    </row>
    <row r="684" ht="15" customHeight="1" s="122">
      <c r="A684" s="179" t="inlineStr">
        <is>
          <t>KBB 103Q</t>
        </is>
      </c>
      <c r="B684" s="180" t="n">
        <v>46083.74930555555</v>
      </c>
      <c r="C684" s="180" t="n">
        <v>46083.75001157408</v>
      </c>
      <c r="D684" s="173" t="inlineStr">
        <is>
          <t>0 Km</t>
        </is>
      </c>
      <c r="E684" s="181" t="n">
        <v>6</v>
      </c>
      <c r="F684" s="182" t="n">
        <v>6</v>
      </c>
      <c r="G684" s="172" t="inlineStr">
        <is>
          <t>No</t>
        </is>
      </c>
      <c r="H684" s="170">
        <f>IF(A684="","",IF(OR(NOT(ISNUMBER(C684)),C684=""),"No",IF(AND(HOUR(C684)&gt;=0,HOUR(C684)&lt;5),"Yes","No")))</f>
        <v/>
      </c>
      <c r="I684" s="183">
        <f>IF(OR(B684="",NOT(ISNUMBER(B684))),"",INT(B684))</f>
        <v/>
      </c>
    </row>
    <row r="685" ht="15" customHeight="1" s="122">
      <c r="A685" s="179" t="inlineStr">
        <is>
          <t>KBB 103Q</t>
        </is>
      </c>
      <c r="B685" s="180" t="n">
        <v>46083.87020833333</v>
      </c>
      <c r="C685" s="180" t="n">
        <v>46083.87091435185</v>
      </c>
      <c r="D685" s="173" t="inlineStr">
        <is>
          <t>0 Km</t>
        </is>
      </c>
      <c r="E685" s="181" t="n">
        <v>6</v>
      </c>
      <c r="F685" s="182" t="n">
        <v>6</v>
      </c>
      <c r="G685" s="172" t="inlineStr">
        <is>
          <t>No</t>
        </is>
      </c>
      <c r="H685" s="170">
        <f>IF(A685="","",IF(OR(NOT(ISNUMBER(C685)),C685=""),"No",IF(AND(HOUR(C685)&gt;=0,HOUR(C685)&lt;5),"Yes","No")))</f>
        <v/>
      </c>
      <c r="I685" s="183">
        <f>IF(OR(B685="",NOT(ISNUMBER(B685))),"",INT(B685))</f>
        <v/>
      </c>
    </row>
    <row r="686" ht="15" customHeight="1" s="122">
      <c r="A686" s="179" t="inlineStr">
        <is>
          <t>KBB 103Q</t>
        </is>
      </c>
      <c r="B686" s="180" t="n">
        <v>46083.87362268518</v>
      </c>
      <c r="C686" s="180" t="n">
        <v>46083.90738425926</v>
      </c>
      <c r="D686" s="173" t="inlineStr">
        <is>
          <t>42.81 Km</t>
        </is>
      </c>
      <c r="E686" s="181" t="n">
        <v>53</v>
      </c>
      <c r="F686" s="182" t="n">
        <v>81</v>
      </c>
      <c r="G686" s="172" t="inlineStr">
        <is>
          <t>No</t>
        </is>
      </c>
      <c r="H686" s="170">
        <f>IF(A686="","",IF(OR(NOT(ISNUMBER(C686)),C686=""),"No",IF(AND(HOUR(C686)&gt;=0,HOUR(C686)&lt;5),"Yes","No")))</f>
        <v/>
      </c>
      <c r="I686" s="183">
        <f>IF(OR(B686="",NOT(ISNUMBER(B686))),"",INT(B686))</f>
        <v/>
      </c>
    </row>
    <row r="687" ht="15" customHeight="1" s="122">
      <c r="A687" s="179" t="inlineStr">
        <is>
          <t>KBB 103Q</t>
        </is>
      </c>
      <c r="B687" s="180" t="n">
        <v>46114.5502662037</v>
      </c>
      <c r="C687" s="180" t="n">
        <v>46114.55237268518</v>
      </c>
      <c r="D687" s="173" t="inlineStr">
        <is>
          <t>0.07 Km</t>
        </is>
      </c>
      <c r="E687" s="181" t="n">
        <v>6</v>
      </c>
      <c r="F687" s="182" t="n">
        <v>8</v>
      </c>
      <c r="G687" s="172" t="inlineStr">
        <is>
          <t>No</t>
        </is>
      </c>
      <c r="H687" s="170">
        <f>IF(A687="","",IF(OR(NOT(ISNUMBER(C687)),C687=""),"No",IF(AND(HOUR(C687)&gt;=0,HOUR(C687)&lt;5),"Yes","No")))</f>
        <v/>
      </c>
      <c r="I687" s="183">
        <f>IF(OR(B687="",NOT(ISNUMBER(B687))),"",INT(B687))</f>
        <v/>
      </c>
    </row>
    <row r="688" ht="15" customHeight="1" s="122">
      <c r="A688" s="179" t="inlineStr">
        <is>
          <t>KBB 103Q</t>
        </is>
      </c>
      <c r="B688" s="180" t="n">
        <v>46114.55414351852</v>
      </c>
      <c r="C688" s="180" t="n">
        <v>46114.58721064815</v>
      </c>
      <c r="D688" s="173" t="inlineStr">
        <is>
          <t>40.67 Km</t>
        </is>
      </c>
      <c r="E688" s="181" t="n">
        <v>54</v>
      </c>
      <c r="F688" s="182" t="n">
        <v>85</v>
      </c>
      <c r="G688" s="172" t="inlineStr">
        <is>
          <t>No</t>
        </is>
      </c>
      <c r="H688" s="170">
        <f>IF(A688="","",IF(OR(NOT(ISNUMBER(C688)),C688=""),"No",IF(AND(HOUR(C688)&gt;=0,HOUR(C688)&lt;5),"Yes","No")))</f>
        <v/>
      </c>
      <c r="I688" s="183">
        <f>IF(OR(B688="",NOT(ISNUMBER(B688))),"",INT(B688))</f>
        <v/>
      </c>
    </row>
    <row r="689" ht="15" customHeight="1" s="122">
      <c r="A689" s="179" t="inlineStr">
        <is>
          <t>KBB 103Q</t>
        </is>
      </c>
      <c r="B689" s="180" t="n">
        <v>46114.59260416667</v>
      </c>
      <c r="C689" s="180" t="n">
        <v>46114.59887731481</v>
      </c>
      <c r="D689" s="173" t="inlineStr">
        <is>
          <t>2.36 Km</t>
        </is>
      </c>
      <c r="E689" s="181" t="n">
        <v>20</v>
      </c>
      <c r="F689" s="182" t="n">
        <v>39</v>
      </c>
      <c r="G689" s="172" t="inlineStr">
        <is>
          <t>No</t>
        </is>
      </c>
      <c r="H689" s="170">
        <f>IF(A689="","",IF(OR(NOT(ISNUMBER(C689)),C689=""),"No",IF(AND(HOUR(C689)&gt;=0,HOUR(C689)&lt;5),"Yes","No")))</f>
        <v/>
      </c>
      <c r="I689" s="183">
        <f>IF(OR(B689="",NOT(ISNUMBER(B689))),"",INT(B689))</f>
        <v/>
      </c>
    </row>
    <row r="690" ht="15" customHeight="1" s="122">
      <c r="A690" s="179" t="inlineStr">
        <is>
          <t>KBB 103Q</t>
        </is>
      </c>
      <c r="B690" s="180" t="n">
        <v>46114.60466435185</v>
      </c>
      <c r="C690" s="180" t="n">
        <v>46114.60702546296</v>
      </c>
      <c r="D690" s="173" t="inlineStr">
        <is>
          <t>0.37 Km</t>
        </is>
      </c>
      <c r="E690" s="181" t="n">
        <v>9</v>
      </c>
      <c r="F690" s="182" t="n">
        <v>23</v>
      </c>
      <c r="G690" s="172" t="inlineStr">
        <is>
          <t>No</t>
        </is>
      </c>
      <c r="H690" s="170">
        <f>IF(A690="","",IF(OR(NOT(ISNUMBER(C690)),C690=""),"No",IF(AND(HOUR(C690)&gt;=0,HOUR(C690)&lt;5),"Yes","No")))</f>
        <v/>
      </c>
      <c r="I690" s="183">
        <f>IF(OR(B690="",NOT(ISNUMBER(B690))),"",INT(B690))</f>
        <v/>
      </c>
    </row>
    <row r="691" ht="15" customHeight="1" s="122">
      <c r="A691" s="179" t="inlineStr">
        <is>
          <t>KBB 103Q</t>
        </is>
      </c>
      <c r="B691" s="180" t="n">
        <v>46114.61202546296</v>
      </c>
      <c r="C691" s="180" t="n">
        <v>46114.61222222223</v>
      </c>
      <c r="D691" s="173" t="inlineStr">
        <is>
          <t>0.01 Km</t>
        </is>
      </c>
      <c r="E691" s="181" t="n">
        <v>7</v>
      </c>
      <c r="F691" s="182" t="n">
        <v>7</v>
      </c>
      <c r="G691" s="172" t="inlineStr">
        <is>
          <t>No</t>
        </is>
      </c>
      <c r="H691" s="170">
        <f>IF(A691="","",IF(OR(NOT(ISNUMBER(C691)),C691=""),"No",IF(AND(HOUR(C691)&gt;=0,HOUR(C691)&lt;5),"Yes","No")))</f>
        <v/>
      </c>
      <c r="I691" s="183">
        <f>IF(OR(B691="",NOT(ISNUMBER(B691))),"",INT(B691))</f>
        <v/>
      </c>
    </row>
    <row r="692" ht="15" customHeight="1" s="122">
      <c r="A692" s="179" t="inlineStr">
        <is>
          <t>KBB 103Q</t>
        </is>
      </c>
      <c r="B692" s="180" t="n">
        <v>46114.6515625</v>
      </c>
      <c r="C692" s="180" t="n">
        <v>46114.66636574074</v>
      </c>
      <c r="D692" s="173" t="inlineStr">
        <is>
          <t>16.25 Km</t>
        </is>
      </c>
      <c r="E692" s="181" t="n">
        <v>48</v>
      </c>
      <c r="F692" s="182" t="n">
        <v>78</v>
      </c>
      <c r="G692" s="172" t="inlineStr">
        <is>
          <t>No</t>
        </is>
      </c>
      <c r="H692" s="170">
        <f>IF(A692="","",IF(OR(NOT(ISNUMBER(C692)),C692=""),"No",IF(AND(HOUR(C692)&gt;=0,HOUR(C692)&lt;5),"Yes","No")))</f>
        <v/>
      </c>
      <c r="I692" s="183">
        <f>IF(OR(B692="",NOT(ISNUMBER(B692))),"",INT(B692))</f>
        <v/>
      </c>
    </row>
    <row r="693" ht="15" customHeight="1" s="122">
      <c r="A693" s="179" t="inlineStr">
        <is>
          <t>KBB 103Q</t>
        </is>
      </c>
      <c r="B693" s="180" t="n">
        <v>46114.66792824074</v>
      </c>
      <c r="C693" s="180" t="n">
        <v>46114.68255787037</v>
      </c>
      <c r="D693" s="173" t="inlineStr">
        <is>
          <t>9.2 Km</t>
        </is>
      </c>
      <c r="E693" s="181" t="n">
        <v>31</v>
      </c>
      <c r="F693" s="182" t="n">
        <v>65</v>
      </c>
      <c r="G693" s="172" t="inlineStr">
        <is>
          <t>No</t>
        </is>
      </c>
      <c r="H693" s="170">
        <f>IF(A693="","",IF(OR(NOT(ISNUMBER(C693)),C693=""),"No",IF(AND(HOUR(C693)&gt;=0,HOUR(C693)&lt;5),"Yes","No")))</f>
        <v/>
      </c>
      <c r="I693" s="183">
        <f>IF(OR(B693="",NOT(ISNUMBER(B693))),"",INT(B693))</f>
        <v/>
      </c>
    </row>
    <row r="694" ht="15" customHeight="1" s="122">
      <c r="A694" s="179" t="inlineStr">
        <is>
          <t>KBB 103Q</t>
        </is>
      </c>
      <c r="B694" s="180" t="n">
        <v>46114.68461805556</v>
      </c>
      <c r="C694" s="180" t="n">
        <v>46114.6853125</v>
      </c>
      <c r="D694" s="173" t="inlineStr">
        <is>
          <t>0.04 Km</t>
        </is>
      </c>
      <c r="E694" s="181" t="n">
        <v>6</v>
      </c>
      <c r="F694" s="182" t="n">
        <v>6</v>
      </c>
      <c r="G694" s="172" t="inlineStr">
        <is>
          <t>No</t>
        </is>
      </c>
      <c r="H694" s="170">
        <f>IF(A694="","",IF(OR(NOT(ISNUMBER(C694)),C694=""),"No",IF(AND(HOUR(C694)&gt;=0,HOUR(C694)&lt;5),"Yes","No")))</f>
        <v/>
      </c>
      <c r="I694" s="183">
        <f>IF(OR(B694="",NOT(ISNUMBER(B694))),"",INT(B694))</f>
        <v/>
      </c>
    </row>
    <row r="695" ht="15" customHeight="1" s="122">
      <c r="A695" s="179" t="inlineStr">
        <is>
          <t>KBB 103Q</t>
        </is>
      </c>
      <c r="B695" s="180" t="n">
        <v>46114.68699074074</v>
      </c>
      <c r="C695" s="180" t="n">
        <v>46114.68835648148</v>
      </c>
      <c r="D695" s="173" t="inlineStr">
        <is>
          <t>0.14 Km</t>
        </is>
      </c>
      <c r="E695" s="181" t="n">
        <v>6</v>
      </c>
      <c r="F695" s="182" t="n">
        <v>6</v>
      </c>
      <c r="G695" s="172" t="inlineStr">
        <is>
          <t>No</t>
        </is>
      </c>
      <c r="H695" s="170">
        <f>IF(A695="","",IF(OR(NOT(ISNUMBER(C695)),C695=""),"No",IF(AND(HOUR(C695)&gt;=0,HOUR(C695)&lt;5),"Yes","No")))</f>
        <v/>
      </c>
      <c r="I695" s="183">
        <f>IF(OR(B695="",NOT(ISNUMBER(B695))),"",INT(B695))</f>
        <v/>
      </c>
    </row>
    <row r="696" ht="15" customHeight="1" s="122">
      <c r="A696" s="179" t="inlineStr">
        <is>
          <t>KBB 103Q</t>
        </is>
      </c>
      <c r="B696" s="180" t="n">
        <v>46114.69118055556</v>
      </c>
      <c r="C696" s="180" t="n">
        <v>46114.69702546296</v>
      </c>
      <c r="D696" s="173" t="inlineStr">
        <is>
          <t>2.02 Km</t>
        </is>
      </c>
      <c r="E696" s="181" t="n">
        <v>17</v>
      </c>
      <c r="F696" s="182" t="n">
        <v>50</v>
      </c>
      <c r="G696" s="172" t="inlineStr">
        <is>
          <t>No</t>
        </is>
      </c>
      <c r="H696" s="170">
        <f>IF(A696="","",IF(OR(NOT(ISNUMBER(C696)),C696=""),"No",IF(AND(HOUR(C696)&gt;=0,HOUR(C696)&lt;5),"Yes","No")))</f>
        <v/>
      </c>
      <c r="I696" s="183">
        <f>IF(OR(B696="",NOT(ISNUMBER(B696))),"",INT(B696))</f>
        <v/>
      </c>
    </row>
    <row r="697" ht="15" customHeight="1" s="122">
      <c r="A697" s="179" t="inlineStr">
        <is>
          <t>KBB 103Q</t>
        </is>
      </c>
      <c r="B697" s="180" t="n">
        <v>46114.69726851852</v>
      </c>
      <c r="C697" s="180" t="n">
        <v>46114.70061342593</v>
      </c>
      <c r="D697" s="173" t="inlineStr">
        <is>
          <t>0.19 Km</t>
        </is>
      </c>
      <c r="E697" s="181" t="n">
        <v>7</v>
      </c>
      <c r="F697" s="182" t="n">
        <v>10</v>
      </c>
      <c r="G697" s="172" t="inlineStr">
        <is>
          <t>No</t>
        </is>
      </c>
      <c r="H697" s="170">
        <f>IF(A697="","",IF(OR(NOT(ISNUMBER(C697)),C697=""),"No",IF(AND(HOUR(C697)&gt;=0,HOUR(C697)&lt;5),"Yes","No")))</f>
        <v/>
      </c>
      <c r="I697" s="183">
        <f>IF(OR(B697="",NOT(ISNUMBER(B697))),"",INT(B697))</f>
        <v/>
      </c>
    </row>
    <row r="698" ht="15" customHeight="1" s="122">
      <c r="A698" s="179" t="inlineStr">
        <is>
          <t>KBB 103Q</t>
        </is>
      </c>
      <c r="B698" s="180" t="n">
        <v>46114.70502314815</v>
      </c>
      <c r="C698" s="180" t="n">
        <v>46114.70571759259</v>
      </c>
      <c r="D698" s="173" t="inlineStr">
        <is>
          <t>0.01 Km</t>
        </is>
      </c>
      <c r="E698" s="181" t="n">
        <v>6</v>
      </c>
      <c r="F698" s="182" t="n">
        <v>6</v>
      </c>
      <c r="G698" s="172" t="inlineStr">
        <is>
          <t>No</t>
        </is>
      </c>
      <c r="H698" s="170">
        <f>IF(A698="","",IF(OR(NOT(ISNUMBER(C698)),C698=""),"No",IF(AND(HOUR(C698)&gt;=0,HOUR(C698)&lt;5),"Yes","No")))</f>
        <v/>
      </c>
      <c r="I698" s="183">
        <f>IF(OR(B698="",NOT(ISNUMBER(B698))),"",INT(B698))</f>
        <v/>
      </c>
    </row>
    <row r="699" ht="15" customHeight="1" s="122">
      <c r="A699" s="179" t="inlineStr">
        <is>
          <t>KBB 103Q</t>
        </is>
      </c>
      <c r="B699" s="180" t="n">
        <v>46114.70699074074</v>
      </c>
      <c r="C699" s="180" t="n">
        <v>46114.71136574074</v>
      </c>
      <c r="D699" s="173" t="inlineStr">
        <is>
          <t>1.15 Km</t>
        </is>
      </c>
      <c r="E699" s="181" t="n">
        <v>13</v>
      </c>
      <c r="F699" s="182" t="n">
        <v>26</v>
      </c>
      <c r="G699" s="172" t="inlineStr">
        <is>
          <t>No</t>
        </is>
      </c>
      <c r="H699" s="170">
        <f>IF(A699="","",IF(OR(NOT(ISNUMBER(C699)),C699=""),"No",IF(AND(HOUR(C699)&gt;=0,HOUR(C699)&lt;5),"Yes","No")))</f>
        <v/>
      </c>
      <c r="I699" s="183">
        <f>IF(OR(B699="",NOT(ISNUMBER(B699))),"",INT(B699))</f>
        <v/>
      </c>
    </row>
    <row r="700" ht="15" customHeight="1" s="122">
      <c r="A700" s="179" t="inlineStr">
        <is>
          <t>KBB 103Q</t>
        </is>
      </c>
      <c r="B700" s="180" t="n">
        <v>46114.71251157407</v>
      </c>
      <c r="C700" s="180" t="n">
        <v>46114.71782407408</v>
      </c>
      <c r="D700" s="173" t="inlineStr">
        <is>
          <t>0.95 Km</t>
        </is>
      </c>
      <c r="E700" s="181" t="n">
        <v>11</v>
      </c>
      <c r="F700" s="182" t="n">
        <v>23</v>
      </c>
      <c r="G700" s="172" t="inlineStr">
        <is>
          <t>No</t>
        </is>
      </c>
      <c r="H700" s="170">
        <f>IF(A700="","",IF(OR(NOT(ISNUMBER(C700)),C700=""),"No",IF(AND(HOUR(C700)&gt;=0,HOUR(C700)&lt;5),"Yes","No")))</f>
        <v/>
      </c>
      <c r="I700" s="183">
        <f>IF(OR(B700="",NOT(ISNUMBER(B700))),"",INT(B700))</f>
        <v/>
      </c>
    </row>
    <row r="701" ht="15" customHeight="1" s="122">
      <c r="A701" s="179" t="inlineStr">
        <is>
          <t>KBB 103Q</t>
        </is>
      </c>
      <c r="B701" s="180" t="n">
        <v>46114.71791666667</v>
      </c>
      <c r="C701" s="180" t="n">
        <v>46114.72078703704</v>
      </c>
      <c r="D701" s="173" t="inlineStr">
        <is>
          <t>1.13 Km</t>
        </is>
      </c>
      <c r="E701" s="181" t="n">
        <v>17</v>
      </c>
      <c r="F701" s="182" t="n">
        <v>30</v>
      </c>
      <c r="G701" s="172" t="inlineStr">
        <is>
          <t>No</t>
        </is>
      </c>
      <c r="H701" s="170">
        <f>IF(A701="","",IF(OR(NOT(ISNUMBER(C701)),C701=""),"No",IF(AND(HOUR(C701)&gt;=0,HOUR(C701)&lt;5),"Yes","No")))</f>
        <v/>
      </c>
      <c r="I701" s="183">
        <f>IF(OR(B701="",NOT(ISNUMBER(B701))),"",INT(B701))</f>
        <v/>
      </c>
    </row>
    <row r="702" ht="15" customHeight="1" s="122">
      <c r="A702" s="179" t="inlineStr">
        <is>
          <t>KBB 103Q</t>
        </is>
      </c>
      <c r="B702" s="180" t="n">
        <v>46114.7216087963</v>
      </c>
      <c r="C702" s="180" t="n">
        <v>46114.73444444445</v>
      </c>
      <c r="D702" s="173" t="inlineStr">
        <is>
          <t>7 Km</t>
        </is>
      </c>
      <c r="E702" s="181" t="n">
        <v>24</v>
      </c>
      <c r="F702" s="182" t="n">
        <v>54</v>
      </c>
      <c r="G702" s="172" t="inlineStr">
        <is>
          <t>No</t>
        </is>
      </c>
      <c r="H702" s="170">
        <f>IF(A702="","",IF(OR(NOT(ISNUMBER(C702)),C702=""),"No",IF(AND(HOUR(C702)&gt;=0,HOUR(C702)&lt;5),"Yes","No")))</f>
        <v/>
      </c>
      <c r="I702" s="183">
        <f>IF(OR(B702="",NOT(ISNUMBER(B702))),"",INT(B702))</f>
        <v/>
      </c>
    </row>
    <row r="703" ht="15" customHeight="1" s="122">
      <c r="A703" s="179" t="inlineStr">
        <is>
          <t>KBB 103Q</t>
        </is>
      </c>
      <c r="B703" s="180" t="n">
        <v>46114.73947916667</v>
      </c>
      <c r="C703" s="180" t="n">
        <v>46114.73965277777</v>
      </c>
      <c r="D703" s="173" t="inlineStr">
        <is>
          <t>0 Km</t>
        </is>
      </c>
      <c r="E703" s="181" t="n">
        <v>6</v>
      </c>
      <c r="F703" s="182" t="n">
        <v>6</v>
      </c>
      <c r="G703" s="172" t="inlineStr">
        <is>
          <t>No</t>
        </is>
      </c>
      <c r="H703" s="170">
        <f>IF(A703="","",IF(OR(NOT(ISNUMBER(C703)),C703=""),"No",IF(AND(HOUR(C703)&gt;=0,HOUR(C703)&lt;5),"Yes","No")))</f>
        <v/>
      </c>
      <c r="I703" s="183">
        <f>IF(OR(B703="",NOT(ISNUMBER(B703))),"",INT(B703))</f>
        <v/>
      </c>
    </row>
    <row r="704" ht="15" customHeight="1" s="122">
      <c r="A704" s="179" t="inlineStr">
        <is>
          <t>KBB 103Q</t>
        </is>
      </c>
      <c r="B704" s="180" t="n">
        <v>46114.76259259259</v>
      </c>
      <c r="C704" s="180" t="n">
        <v>46114.77449074074</v>
      </c>
      <c r="D704" s="173" t="inlineStr">
        <is>
          <t>6.49 Km</t>
        </is>
      </c>
      <c r="E704" s="181" t="n">
        <v>23</v>
      </c>
      <c r="F704" s="182" t="n">
        <v>53</v>
      </c>
      <c r="G704" s="172" t="inlineStr">
        <is>
          <t>No</t>
        </is>
      </c>
      <c r="H704" s="170">
        <f>IF(A704="","",IF(OR(NOT(ISNUMBER(C704)),C704=""),"No",IF(AND(HOUR(C704)&gt;=0,HOUR(C704)&lt;5),"Yes","No")))</f>
        <v/>
      </c>
      <c r="I704" s="183">
        <f>IF(OR(B704="",NOT(ISNUMBER(B704))),"",INT(B704))</f>
        <v/>
      </c>
    </row>
    <row r="705" ht="15" customHeight="1" s="122">
      <c r="A705" s="179" t="inlineStr">
        <is>
          <t>KBB 103Q</t>
        </is>
      </c>
      <c r="B705" s="180" t="n">
        <v>46114.77708333333</v>
      </c>
      <c r="C705" s="180" t="n">
        <v>46114.77850694444</v>
      </c>
      <c r="D705" s="173" t="inlineStr">
        <is>
          <t>0.27 Km</t>
        </is>
      </c>
      <c r="E705" s="181" t="n">
        <v>15</v>
      </c>
      <c r="F705" s="182" t="n">
        <v>31</v>
      </c>
      <c r="G705" s="172" t="inlineStr">
        <is>
          <t>No</t>
        </is>
      </c>
      <c r="H705" s="170">
        <f>IF(A705="","",IF(OR(NOT(ISNUMBER(C705)),C705=""),"No",IF(AND(HOUR(C705)&gt;=0,HOUR(C705)&lt;5),"Yes","No")))</f>
        <v/>
      </c>
      <c r="I705" s="183">
        <f>IF(OR(B705="",NOT(ISNUMBER(B705))),"",INT(B705))</f>
        <v/>
      </c>
    </row>
    <row r="706" ht="15" customHeight="1" s="122">
      <c r="A706" s="179" t="inlineStr">
        <is>
          <t>KBB 103Q</t>
        </is>
      </c>
      <c r="B706" s="180" t="n">
        <v>46114.77950231481</v>
      </c>
      <c r="C706" s="180" t="n">
        <v>46114.78019675926</v>
      </c>
      <c r="D706" s="173" t="inlineStr">
        <is>
          <t>0.01 Km</t>
        </is>
      </c>
      <c r="E706" s="181" t="n">
        <v>7</v>
      </c>
      <c r="F706" s="182" t="n">
        <v>7</v>
      </c>
      <c r="G706" s="172" t="inlineStr">
        <is>
          <t>No</t>
        </is>
      </c>
      <c r="H706" s="170">
        <f>IF(A706="","",IF(OR(NOT(ISNUMBER(C706)),C706=""),"No",IF(AND(HOUR(C706)&gt;=0,HOUR(C706)&lt;5),"Yes","No")))</f>
        <v/>
      </c>
      <c r="I706" s="183">
        <f>IF(OR(B706="",NOT(ISNUMBER(B706))),"",INT(B706))</f>
        <v/>
      </c>
    </row>
    <row r="707" ht="15" customHeight="1" s="122">
      <c r="A707" s="179" t="inlineStr">
        <is>
          <t>KBB 103Q</t>
        </is>
      </c>
      <c r="B707" s="180" t="n">
        <v>46114.78326388889</v>
      </c>
      <c r="C707" s="180" t="n">
        <v>46114.78819444445</v>
      </c>
      <c r="D707" s="173" t="inlineStr">
        <is>
          <t>0.85 Km</t>
        </is>
      </c>
      <c r="E707" s="181" t="n">
        <v>9</v>
      </c>
      <c r="F707" s="182" t="n">
        <v>18</v>
      </c>
      <c r="G707" s="172" t="inlineStr">
        <is>
          <t>No</t>
        </is>
      </c>
      <c r="H707" s="170">
        <f>IF(A707="","",IF(OR(NOT(ISNUMBER(C707)),C707=""),"No",IF(AND(HOUR(C707)&gt;=0,HOUR(C707)&lt;5),"Yes","No")))</f>
        <v/>
      </c>
      <c r="I707" s="183">
        <f>IF(OR(B707="",NOT(ISNUMBER(B707))),"",INT(B707))</f>
        <v/>
      </c>
    </row>
    <row r="708" ht="15" customHeight="1" s="122">
      <c r="A708" s="179" t="inlineStr">
        <is>
          <t>KBB 103Q</t>
        </is>
      </c>
      <c r="B708" s="180" t="n">
        <v>46114.78900462963</v>
      </c>
      <c r="C708" s="180" t="n">
        <v>46114.79053240741</v>
      </c>
      <c r="D708" s="173" t="inlineStr">
        <is>
          <t>0.01 Km</t>
        </is>
      </c>
      <c r="E708" s="181" t="n">
        <v>7</v>
      </c>
      <c r="F708" s="182" t="n">
        <v>7</v>
      </c>
      <c r="G708" s="172" t="inlineStr">
        <is>
          <t>No</t>
        </is>
      </c>
      <c r="H708" s="170">
        <f>IF(A708="","",IF(OR(NOT(ISNUMBER(C708)),C708=""),"No",IF(AND(HOUR(C708)&gt;=0,HOUR(C708)&lt;5),"Yes","No")))</f>
        <v/>
      </c>
      <c r="I708" s="183">
        <f>IF(OR(B708="",NOT(ISNUMBER(B708))),"",INT(B708))</f>
        <v/>
      </c>
    </row>
    <row r="709" ht="15" customHeight="1" s="122">
      <c r="A709" s="179" t="inlineStr">
        <is>
          <t>KBB 103Q</t>
        </is>
      </c>
      <c r="B709" s="180" t="n">
        <v>46114.79255787037</v>
      </c>
      <c r="C709" s="180" t="n">
        <v>46114.79326388889</v>
      </c>
      <c r="D709" s="173" t="inlineStr">
        <is>
          <t>0 Km</t>
        </is>
      </c>
      <c r="E709" s="181" t="n">
        <v>7</v>
      </c>
      <c r="F709" s="182" t="n">
        <v>7</v>
      </c>
      <c r="G709" s="172" t="inlineStr">
        <is>
          <t>No</t>
        </is>
      </c>
      <c r="H709" s="170">
        <f>IF(A709="","",IF(OR(NOT(ISNUMBER(C709)),C709=""),"No",IF(AND(HOUR(C709)&gt;=0,HOUR(C709)&lt;5),"Yes","No")))</f>
        <v/>
      </c>
      <c r="I709" s="183">
        <f>IF(OR(B709="",NOT(ISNUMBER(B709))),"",INT(B709))</f>
        <v/>
      </c>
    </row>
    <row r="710" ht="15" customHeight="1" s="122">
      <c r="A710" s="179" t="inlineStr">
        <is>
          <t>KBB 103Q</t>
        </is>
      </c>
      <c r="B710" s="180" t="n">
        <v>46114.79408564815</v>
      </c>
      <c r="C710" s="180" t="n">
        <v>46114.79429398148</v>
      </c>
      <c r="D710" s="173" t="inlineStr">
        <is>
          <t>0.01 Km</t>
        </is>
      </c>
      <c r="E710" s="181" t="n">
        <v>7</v>
      </c>
      <c r="F710" s="182" t="n">
        <v>7</v>
      </c>
      <c r="G710" s="172" t="inlineStr">
        <is>
          <t>No</t>
        </is>
      </c>
      <c r="H710" s="170">
        <f>IF(A710="","",IF(OR(NOT(ISNUMBER(C710)),C710=""),"No",IF(AND(HOUR(C710)&gt;=0,HOUR(C710)&lt;5),"Yes","No")))</f>
        <v/>
      </c>
      <c r="I710" s="183">
        <f>IF(OR(B710="",NOT(ISNUMBER(B710))),"",INT(B710))</f>
        <v/>
      </c>
    </row>
    <row r="711" ht="15" customHeight="1" s="122">
      <c r="A711" s="179" t="inlineStr">
        <is>
          <t>KBB 103Q</t>
        </is>
      </c>
      <c r="B711" s="180" t="n">
        <v>46144.45079861111</v>
      </c>
      <c r="C711" s="180" t="n">
        <v>46144.46956018519</v>
      </c>
      <c r="D711" s="173" t="inlineStr">
        <is>
          <t>22.3 Km</t>
        </is>
      </c>
      <c r="E711" s="181" t="n">
        <v>50</v>
      </c>
      <c r="F711" s="182" t="n">
        <v>77</v>
      </c>
      <c r="G711" s="172" t="inlineStr">
        <is>
          <t>No</t>
        </is>
      </c>
      <c r="H711" s="170">
        <f>IF(A711="","",IF(OR(NOT(ISNUMBER(C711)),C711=""),"No",IF(AND(HOUR(C711)&gt;=0,HOUR(C711)&lt;5),"Yes","No")))</f>
        <v/>
      </c>
      <c r="I711" s="183">
        <f>IF(OR(B711="",NOT(ISNUMBER(B711))),"",INT(B711))</f>
        <v/>
      </c>
    </row>
    <row r="712" ht="15" customHeight="1" s="122">
      <c r="A712" s="179" t="inlineStr">
        <is>
          <t>KBB 103Q</t>
        </is>
      </c>
      <c r="B712" s="180" t="n">
        <v>46144.51943287037</v>
      </c>
      <c r="C712" s="180" t="n">
        <v>46144.52012731481</v>
      </c>
      <c r="D712" s="173" t="inlineStr">
        <is>
          <t>0 Km</t>
        </is>
      </c>
      <c r="E712" s="181" t="n">
        <v>7</v>
      </c>
      <c r="F712" s="182" t="n">
        <v>7</v>
      </c>
      <c r="G712" s="172" t="inlineStr">
        <is>
          <t>No</t>
        </is>
      </c>
      <c r="H712" s="170">
        <f>IF(A712="","",IF(OR(NOT(ISNUMBER(C712)),C712=""),"No",IF(AND(HOUR(C712)&gt;=0,HOUR(C712)&lt;5),"Yes","No")))</f>
        <v/>
      </c>
      <c r="I712" s="183">
        <f>IF(OR(B712="",NOT(ISNUMBER(B712))),"",INT(B712))</f>
        <v/>
      </c>
    </row>
    <row r="713" ht="15" customHeight="1" s="122">
      <c r="A713" s="179" t="inlineStr">
        <is>
          <t>KBB 103Q</t>
        </is>
      </c>
      <c r="B713" s="180" t="n">
        <v>46144.53273148148</v>
      </c>
      <c r="C713" s="180" t="n">
        <v>46144.54371527778</v>
      </c>
      <c r="D713" s="173" t="inlineStr">
        <is>
          <t>10 Km</t>
        </is>
      </c>
      <c r="E713" s="181" t="n">
        <v>37</v>
      </c>
      <c r="F713" s="182" t="n">
        <v>59</v>
      </c>
      <c r="G713" s="172" t="inlineStr">
        <is>
          <t>No</t>
        </is>
      </c>
      <c r="H713" s="170">
        <f>IF(A713="","",IF(OR(NOT(ISNUMBER(C713)),C713=""),"No",IF(AND(HOUR(C713)&gt;=0,HOUR(C713)&lt;5),"Yes","No")))</f>
        <v/>
      </c>
      <c r="I713" s="183">
        <f>IF(OR(B713="",NOT(ISNUMBER(B713))),"",INT(B713))</f>
        <v/>
      </c>
    </row>
    <row r="714" ht="15" customHeight="1" s="122">
      <c r="A714" s="179" t="inlineStr">
        <is>
          <t>KBB 103Q</t>
        </is>
      </c>
      <c r="B714" s="180" t="n">
        <v>46144.68004629629</v>
      </c>
      <c r="C714" s="180" t="n">
        <v>46144.69142361111</v>
      </c>
      <c r="D714" s="173" t="inlineStr">
        <is>
          <t>11.38 Km</t>
        </is>
      </c>
      <c r="E714" s="181" t="n">
        <v>39</v>
      </c>
      <c r="F714" s="182" t="n">
        <v>68</v>
      </c>
      <c r="G714" s="172" t="inlineStr">
        <is>
          <t>No</t>
        </is>
      </c>
      <c r="H714" s="170">
        <f>IF(A714="","",IF(OR(NOT(ISNUMBER(C714)),C714=""),"No",IF(AND(HOUR(C714)&gt;=0,HOUR(C714)&lt;5),"Yes","No")))</f>
        <v/>
      </c>
      <c r="I714" s="183">
        <f>IF(OR(B714="",NOT(ISNUMBER(B714))),"",INT(B714))</f>
        <v/>
      </c>
    </row>
    <row r="715" ht="15" customHeight="1" s="122">
      <c r="A715" s="179" t="inlineStr">
        <is>
          <t>KBB 103Q</t>
        </is>
      </c>
      <c r="B715" s="180" t="n">
        <v>46144.69569444445</v>
      </c>
      <c r="C715" s="180" t="n">
        <v>46144.70293981482</v>
      </c>
      <c r="D715" s="173" t="inlineStr">
        <is>
          <t>3.88 Km</t>
        </is>
      </c>
      <c r="E715" s="181" t="n">
        <v>21</v>
      </c>
      <c r="F715" s="182" t="n">
        <v>42</v>
      </c>
      <c r="G715" s="172" t="inlineStr">
        <is>
          <t>No</t>
        </is>
      </c>
      <c r="H715" s="170">
        <f>IF(A715="","",IF(OR(NOT(ISNUMBER(C715)),C715=""),"No",IF(AND(HOUR(C715)&gt;=0,HOUR(C715)&lt;5),"Yes","No")))</f>
        <v/>
      </c>
      <c r="I715" s="183">
        <f>IF(OR(B715="",NOT(ISNUMBER(B715))),"",INT(B715))</f>
        <v/>
      </c>
    </row>
    <row r="716" ht="15" customHeight="1" s="122">
      <c r="A716" s="179" t="inlineStr">
        <is>
          <t>KBB 103Q</t>
        </is>
      </c>
      <c r="B716" s="180" t="n">
        <v>46144.70506944445</v>
      </c>
      <c r="C716" s="180" t="n">
        <v>46144.7058912037</v>
      </c>
      <c r="D716" s="173" t="inlineStr">
        <is>
          <t>0.05 Km</t>
        </is>
      </c>
      <c r="E716" s="181" t="n">
        <v>10</v>
      </c>
      <c r="F716" s="182" t="n">
        <v>13</v>
      </c>
      <c r="G716" s="172" t="inlineStr">
        <is>
          <t>No</t>
        </is>
      </c>
      <c r="H716" s="170">
        <f>IF(A716="","",IF(OR(NOT(ISNUMBER(C716)),C716=""),"No",IF(AND(HOUR(C716)&gt;=0,HOUR(C716)&lt;5),"Yes","No")))</f>
        <v/>
      </c>
      <c r="I716" s="183">
        <f>IF(OR(B716="",NOT(ISNUMBER(B716))),"",INT(B716))</f>
        <v/>
      </c>
    </row>
    <row r="717" ht="15" customHeight="1" s="122">
      <c r="A717" s="179" t="inlineStr">
        <is>
          <t>KBB 103Q</t>
        </is>
      </c>
      <c r="B717" s="180" t="n">
        <v>46144.70957175926</v>
      </c>
      <c r="C717" s="180" t="n">
        <v>46144.71162037037</v>
      </c>
      <c r="D717" s="173" t="inlineStr">
        <is>
          <t>0.07 Km</t>
        </is>
      </c>
      <c r="E717" s="181" t="n">
        <v>7</v>
      </c>
      <c r="F717" s="182" t="n">
        <v>9</v>
      </c>
      <c r="G717" s="172" t="inlineStr">
        <is>
          <t>No</t>
        </is>
      </c>
      <c r="H717" s="170">
        <f>IF(A717="","",IF(OR(NOT(ISNUMBER(C717)),C717=""),"No",IF(AND(HOUR(C717)&gt;=0,HOUR(C717)&lt;5),"Yes","No")))</f>
        <v/>
      </c>
      <c r="I717" s="183">
        <f>IF(OR(B717="",NOT(ISNUMBER(B717))),"",INT(B717))</f>
        <v/>
      </c>
    </row>
    <row r="718" ht="15" customHeight="1" s="122">
      <c r="A718" s="179" t="inlineStr">
        <is>
          <t>KBB 103Q</t>
        </is>
      </c>
      <c r="B718" s="180" t="n">
        <v>46144.7121412037</v>
      </c>
      <c r="C718" s="180" t="n">
        <v>46144.71320601852</v>
      </c>
      <c r="D718" s="173" t="inlineStr">
        <is>
          <t>0.07 Km</t>
        </is>
      </c>
      <c r="E718" s="181" t="n">
        <v>8</v>
      </c>
      <c r="F718" s="182" t="n">
        <v>11</v>
      </c>
      <c r="G718" s="172" t="inlineStr">
        <is>
          <t>No</t>
        </is>
      </c>
      <c r="H718" s="170">
        <f>IF(A718="","",IF(OR(NOT(ISNUMBER(C718)),C718=""),"No",IF(AND(HOUR(C718)&gt;=0,HOUR(C718)&lt;5),"Yes","No")))</f>
        <v/>
      </c>
      <c r="I718" s="183">
        <f>IF(OR(B718="",NOT(ISNUMBER(B718))),"",INT(B718))</f>
        <v/>
      </c>
    </row>
    <row r="719" ht="15" customHeight="1" s="122">
      <c r="A719" s="179" t="inlineStr">
        <is>
          <t>KBB 103Q</t>
        </is>
      </c>
      <c r="B719" s="180" t="n">
        <v>46144.71402777778</v>
      </c>
      <c r="C719" s="180" t="n">
        <v>46144.71899305555</v>
      </c>
      <c r="D719" s="173" t="inlineStr">
        <is>
          <t>0.15 Km</t>
        </is>
      </c>
      <c r="E719" s="181" t="n">
        <v>7</v>
      </c>
      <c r="F719" s="182" t="n">
        <v>13</v>
      </c>
      <c r="G719" s="172" t="inlineStr">
        <is>
          <t>No</t>
        </is>
      </c>
      <c r="H719" s="170">
        <f>IF(A719="","",IF(OR(NOT(ISNUMBER(C719)),C719=""),"No",IF(AND(HOUR(C719)&gt;=0,HOUR(C719)&lt;5),"Yes","No")))</f>
        <v/>
      </c>
      <c r="I719" s="183">
        <f>IF(OR(B719="",NOT(ISNUMBER(B719))),"",INT(B719))</f>
        <v/>
      </c>
    </row>
    <row r="720" ht="15" customHeight="1" s="122">
      <c r="A720" s="179" t="inlineStr">
        <is>
          <t>KBB 103Q</t>
        </is>
      </c>
      <c r="B720" s="180" t="n">
        <v>46144.71907407408</v>
      </c>
      <c r="C720" s="180" t="n">
        <v>46144.72130787037</v>
      </c>
      <c r="D720" s="173" t="inlineStr">
        <is>
          <t>0.16 Km</t>
        </is>
      </c>
      <c r="E720" s="181" t="n">
        <v>7</v>
      </c>
      <c r="F720" s="182" t="n">
        <v>9</v>
      </c>
      <c r="G720" s="172" t="inlineStr">
        <is>
          <t>No</t>
        </is>
      </c>
      <c r="H720" s="170">
        <f>IF(A720="","",IF(OR(NOT(ISNUMBER(C720)),C720=""),"No",IF(AND(HOUR(C720)&gt;=0,HOUR(C720)&lt;5),"Yes","No")))</f>
        <v/>
      </c>
      <c r="I720" s="183">
        <f>IF(OR(B720="",NOT(ISNUMBER(B720))),"",INT(B720))</f>
        <v/>
      </c>
    </row>
    <row r="721" ht="15" customHeight="1" s="122">
      <c r="A721" s="179" t="inlineStr">
        <is>
          <t>KBB 103Q</t>
        </is>
      </c>
      <c r="B721" s="180" t="n">
        <v>46144.72210648148</v>
      </c>
      <c r="C721" s="180" t="n">
        <v>46144.72479166667</v>
      </c>
      <c r="D721" s="173" t="inlineStr">
        <is>
          <t>0.34 Km</t>
        </is>
      </c>
      <c r="E721" s="181" t="n">
        <v>7</v>
      </c>
      <c r="F721" s="182" t="n">
        <v>11</v>
      </c>
      <c r="G721" s="172" t="inlineStr">
        <is>
          <t>No</t>
        </is>
      </c>
      <c r="H721" s="170">
        <f>IF(A721="","",IF(OR(NOT(ISNUMBER(C721)),C721=""),"No",IF(AND(HOUR(C721)&gt;=0,HOUR(C721)&lt;5),"Yes","No")))</f>
        <v/>
      </c>
      <c r="I721" s="183">
        <f>IF(OR(B721="",NOT(ISNUMBER(B721))),"",INT(B721))</f>
        <v/>
      </c>
    </row>
    <row r="722" ht="15" customHeight="1" s="122">
      <c r="A722" s="179" t="inlineStr">
        <is>
          <t>KBB 103Q</t>
        </is>
      </c>
      <c r="B722" s="180" t="n">
        <v>46144.72633101852</v>
      </c>
      <c r="C722" s="180" t="n">
        <v>46144.73020833333</v>
      </c>
      <c r="D722" s="173" t="inlineStr">
        <is>
          <t>0.61 Km</t>
        </is>
      </c>
      <c r="E722" s="181" t="n">
        <v>11</v>
      </c>
      <c r="F722" s="182" t="n">
        <v>19</v>
      </c>
      <c r="G722" s="172" t="inlineStr">
        <is>
          <t>No</t>
        </is>
      </c>
      <c r="H722" s="170">
        <f>IF(A722="","",IF(OR(NOT(ISNUMBER(C722)),C722=""),"No",IF(AND(HOUR(C722)&gt;=0,HOUR(C722)&lt;5),"Yes","No")))</f>
        <v/>
      </c>
      <c r="I722" s="183">
        <f>IF(OR(B722="",NOT(ISNUMBER(B722))),"",INT(B722))</f>
        <v/>
      </c>
    </row>
    <row r="723" ht="15" customHeight="1" s="122">
      <c r="A723" s="179" t="inlineStr">
        <is>
          <t>KBB 103Q</t>
        </is>
      </c>
      <c r="B723" s="180" t="n">
        <v>46144.73245370371</v>
      </c>
      <c r="C723" s="180" t="n">
        <v>46144.73248842593</v>
      </c>
      <c r="D723" s="173" t="inlineStr">
        <is>
          <t>0.02 Km</t>
        </is>
      </c>
      <c r="E723" s="181" t="n">
        <v>10</v>
      </c>
      <c r="F723" s="182" t="n">
        <v>10</v>
      </c>
      <c r="G723" s="172" t="inlineStr">
        <is>
          <t>No</t>
        </is>
      </c>
      <c r="H723" s="170">
        <f>IF(A723="","",IF(OR(NOT(ISNUMBER(C723)),C723=""),"No",IF(AND(HOUR(C723)&gt;=0,HOUR(C723)&lt;5),"Yes","No")))</f>
        <v/>
      </c>
      <c r="I723" s="183">
        <f>IF(OR(B723="",NOT(ISNUMBER(B723))),"",INT(B723))</f>
        <v/>
      </c>
    </row>
    <row r="724" ht="15" customHeight="1" s="122">
      <c r="A724" s="179" t="inlineStr">
        <is>
          <t>KBB 103Q</t>
        </is>
      </c>
      <c r="B724" s="180" t="n">
        <v>46144.73331018518</v>
      </c>
      <c r="C724" s="180" t="n">
        <v>46144.73553240741</v>
      </c>
      <c r="D724" s="173" t="inlineStr">
        <is>
          <t>0.08 Km</t>
        </is>
      </c>
      <c r="E724" s="181" t="n">
        <v>8</v>
      </c>
      <c r="F724" s="182" t="n">
        <v>17</v>
      </c>
      <c r="G724" s="172" t="inlineStr">
        <is>
          <t>No</t>
        </is>
      </c>
      <c r="H724" s="170">
        <f>IF(A724="","",IF(OR(NOT(ISNUMBER(C724)),C724=""),"No",IF(AND(HOUR(C724)&gt;=0,HOUR(C724)&lt;5),"Yes","No")))</f>
        <v/>
      </c>
      <c r="I724" s="183">
        <f>IF(OR(B724="",NOT(ISNUMBER(B724))),"",INT(B724))</f>
        <v/>
      </c>
    </row>
    <row r="725" ht="15" customHeight="1" s="122">
      <c r="A725" s="179" t="inlineStr">
        <is>
          <t>KBB 103Q</t>
        </is>
      </c>
      <c r="B725" s="180" t="n">
        <v>46144.73568287037</v>
      </c>
      <c r="C725" s="180" t="n">
        <v>46144.74710648148</v>
      </c>
      <c r="D725" s="173" t="inlineStr">
        <is>
          <t>2.82 Km</t>
        </is>
      </c>
      <c r="E725" s="181" t="n">
        <v>14</v>
      </c>
      <c r="F725" s="182" t="n">
        <v>39</v>
      </c>
      <c r="G725" s="172" t="inlineStr">
        <is>
          <t>No</t>
        </is>
      </c>
      <c r="H725" s="170">
        <f>IF(A725="","",IF(OR(NOT(ISNUMBER(C725)),C725=""),"No",IF(AND(HOUR(C725)&gt;=0,HOUR(C725)&lt;5),"Yes","No")))</f>
        <v/>
      </c>
      <c r="I725" s="183">
        <f>IF(OR(B725="",NOT(ISNUMBER(B725))),"",INT(B725))</f>
        <v/>
      </c>
    </row>
    <row r="726" ht="15" customHeight="1" s="122">
      <c r="A726" s="179" t="inlineStr">
        <is>
          <t>KBB 103Q</t>
        </is>
      </c>
      <c r="B726" s="180" t="n">
        <v>46144.74746527777</v>
      </c>
      <c r="C726" s="180" t="n">
        <v>46144.74898148148</v>
      </c>
      <c r="D726" s="173" t="inlineStr">
        <is>
          <t>0.7 Km</t>
        </is>
      </c>
      <c r="E726" s="181" t="n">
        <v>19</v>
      </c>
      <c r="F726" s="182" t="n">
        <v>42</v>
      </c>
      <c r="G726" s="172" t="inlineStr">
        <is>
          <t>No</t>
        </is>
      </c>
      <c r="H726" s="170">
        <f>IF(A726="","",IF(OR(NOT(ISNUMBER(C726)),C726=""),"No",IF(AND(HOUR(C726)&gt;=0,HOUR(C726)&lt;5),"Yes","No")))</f>
        <v/>
      </c>
      <c r="I726" s="183">
        <f>IF(OR(B726="",NOT(ISNUMBER(B726))),"",INT(B726))</f>
        <v/>
      </c>
    </row>
    <row r="727" ht="15" customHeight="1" s="122">
      <c r="A727" s="179" t="inlineStr">
        <is>
          <t>KBB 103Q</t>
        </is>
      </c>
      <c r="B727" s="180" t="n">
        <v>46144.74982638889</v>
      </c>
      <c r="C727" s="180" t="n">
        <v>46144.7508912037</v>
      </c>
      <c r="D727" s="173" t="inlineStr">
        <is>
          <t>0.14 Km</t>
        </is>
      </c>
      <c r="E727" s="181" t="n">
        <v>11</v>
      </c>
      <c r="F727" s="182" t="n">
        <v>19</v>
      </c>
      <c r="G727" s="172" t="inlineStr">
        <is>
          <t>No</t>
        </is>
      </c>
      <c r="H727" s="170">
        <f>IF(A727="","",IF(OR(NOT(ISNUMBER(C727)),C727=""),"No",IF(AND(HOUR(C727)&gt;=0,HOUR(C727)&lt;5),"Yes","No")))</f>
        <v/>
      </c>
      <c r="I727" s="183">
        <f>IF(OR(B727="",NOT(ISNUMBER(B727))),"",INT(B727))</f>
        <v/>
      </c>
    </row>
    <row r="728" ht="15" customHeight="1" s="122">
      <c r="A728" s="179" t="inlineStr">
        <is>
          <t>KBB 103Q</t>
        </is>
      </c>
      <c r="B728" s="180" t="n">
        <v>46144.75537037037</v>
      </c>
      <c r="C728" s="180" t="n">
        <v>46144.75771990741</v>
      </c>
      <c r="D728" s="173" t="inlineStr">
        <is>
          <t>0.06 Km</t>
        </is>
      </c>
      <c r="E728" s="181" t="n">
        <v>7</v>
      </c>
      <c r="F728" s="182" t="n">
        <v>10</v>
      </c>
      <c r="G728" s="172" t="inlineStr">
        <is>
          <t>No</t>
        </is>
      </c>
      <c r="H728" s="170">
        <f>IF(A728="","",IF(OR(NOT(ISNUMBER(C728)),C728=""),"No",IF(AND(HOUR(C728)&gt;=0,HOUR(C728)&lt;5),"Yes","No")))</f>
        <v/>
      </c>
      <c r="I728" s="183">
        <f>IF(OR(B728="",NOT(ISNUMBER(B728))),"",INT(B728))</f>
        <v/>
      </c>
    </row>
    <row r="729" ht="15" customHeight="1" s="122">
      <c r="A729" s="179" t="inlineStr">
        <is>
          <t>KBB 103Q</t>
        </is>
      </c>
      <c r="B729" s="180" t="n">
        <v>46144.75927083333</v>
      </c>
      <c r="C729" s="180" t="n">
        <v>46144.76194444444</v>
      </c>
      <c r="D729" s="173" t="inlineStr">
        <is>
          <t>0.13 Km</t>
        </is>
      </c>
      <c r="E729" s="181" t="n">
        <v>11</v>
      </c>
      <c r="F729" s="182" t="n">
        <v>21</v>
      </c>
      <c r="G729" s="172" t="inlineStr">
        <is>
          <t>No</t>
        </is>
      </c>
      <c r="H729" s="170">
        <f>IF(A729="","",IF(OR(NOT(ISNUMBER(C729)),C729=""),"No",IF(AND(HOUR(C729)&gt;=0,HOUR(C729)&lt;5),"Yes","No")))</f>
        <v/>
      </c>
      <c r="I729" s="183">
        <f>IF(OR(B729="",NOT(ISNUMBER(B729))),"",INT(B729))</f>
        <v/>
      </c>
    </row>
    <row r="730" ht="15" customHeight="1" s="122">
      <c r="A730" s="179" t="inlineStr">
        <is>
          <t>KBB 103Q</t>
        </is>
      </c>
      <c r="B730" s="180" t="n">
        <v>46144.76268518518</v>
      </c>
      <c r="C730" s="180" t="n">
        <v>46144.76355324074</v>
      </c>
      <c r="D730" s="173" t="inlineStr">
        <is>
          <t>0.06 Km</t>
        </is>
      </c>
      <c r="E730" s="181" t="n">
        <v>12</v>
      </c>
      <c r="F730" s="182" t="n">
        <v>16</v>
      </c>
      <c r="G730" s="172" t="inlineStr">
        <is>
          <t>No</t>
        </is>
      </c>
      <c r="H730" s="170">
        <f>IF(A730="","",IF(OR(NOT(ISNUMBER(C730)),C730=""),"No",IF(AND(HOUR(C730)&gt;=0,HOUR(C730)&lt;5),"Yes","No")))</f>
        <v/>
      </c>
      <c r="I730" s="183">
        <f>IF(OR(B730="",NOT(ISNUMBER(B730))),"",INT(B730))</f>
        <v/>
      </c>
    </row>
    <row r="731" ht="15" customHeight="1" s="122">
      <c r="A731" s="179" t="inlineStr">
        <is>
          <t>KBB 103Q</t>
        </is>
      </c>
      <c r="B731" s="180" t="n">
        <v>46144.76474537037</v>
      </c>
      <c r="C731" s="180" t="n">
        <v>46144.76922453703</v>
      </c>
      <c r="D731" s="173" t="inlineStr">
        <is>
          <t>0.99 Km</t>
        </is>
      </c>
      <c r="E731" s="181" t="n">
        <v>12</v>
      </c>
      <c r="F731" s="182" t="n">
        <v>25</v>
      </c>
      <c r="G731" s="172" t="inlineStr">
        <is>
          <t>No</t>
        </is>
      </c>
      <c r="H731" s="170">
        <f>IF(A731="","",IF(OR(NOT(ISNUMBER(C731)),C731=""),"No",IF(AND(HOUR(C731)&gt;=0,HOUR(C731)&lt;5),"Yes","No")))</f>
        <v/>
      </c>
      <c r="I731" s="183">
        <f>IF(OR(B731="",NOT(ISNUMBER(B731))),"",INT(B731))</f>
        <v/>
      </c>
    </row>
    <row r="732" ht="15" customHeight="1" s="122">
      <c r="A732" s="179" t="inlineStr">
        <is>
          <t>KBB 103Q</t>
        </is>
      </c>
      <c r="B732" s="180" t="n">
        <v>46144.77144675926</v>
      </c>
      <c r="C732" s="180" t="n">
        <v>46144.77435185185</v>
      </c>
      <c r="D732" s="173" t="inlineStr">
        <is>
          <t>0.19 Km</t>
        </is>
      </c>
      <c r="E732" s="181" t="n">
        <v>15</v>
      </c>
      <c r="F732" s="182" t="n">
        <v>35</v>
      </c>
      <c r="G732" s="172" t="inlineStr">
        <is>
          <t>No</t>
        </is>
      </c>
      <c r="H732" s="170">
        <f>IF(A732="","",IF(OR(NOT(ISNUMBER(C732)),C732=""),"No",IF(AND(HOUR(C732)&gt;=0,HOUR(C732)&lt;5),"Yes","No")))</f>
        <v/>
      </c>
      <c r="I732" s="183">
        <f>IF(OR(B732="",NOT(ISNUMBER(B732))),"",INT(B732))</f>
        <v/>
      </c>
    </row>
    <row r="733" ht="15" customHeight="1" s="122">
      <c r="A733" s="179" t="inlineStr">
        <is>
          <t>KBB 103Q</t>
        </is>
      </c>
      <c r="B733" s="180" t="n">
        <v>46144.85811342593</v>
      </c>
      <c r="C733" s="180" t="n">
        <v>46144.87326388889</v>
      </c>
      <c r="D733" s="173" t="inlineStr">
        <is>
          <t>13.18 Km</t>
        </is>
      </c>
      <c r="E733" s="181" t="n">
        <v>35</v>
      </c>
      <c r="F733" s="182" t="n">
        <v>72</v>
      </c>
      <c r="G733" s="172" t="inlineStr">
        <is>
          <t>No</t>
        </is>
      </c>
      <c r="H733" s="170">
        <f>IF(A733="","",IF(OR(NOT(ISNUMBER(C733)),C733=""),"No",IF(AND(HOUR(C733)&gt;=0,HOUR(C733)&lt;5),"Yes","No")))</f>
        <v/>
      </c>
      <c r="I733" s="183">
        <f>IF(OR(B733="",NOT(ISNUMBER(B733))),"",INT(B733))</f>
        <v/>
      </c>
    </row>
    <row r="734" ht="15" customHeight="1" s="122">
      <c r="A734" s="179" t="inlineStr">
        <is>
          <t>KBB 103Q</t>
        </is>
      </c>
      <c r="B734" s="180" t="n">
        <v>46144.87619212963</v>
      </c>
      <c r="C734" s="180" t="n">
        <v>46144.87638888889</v>
      </c>
      <c r="D734" s="173" t="inlineStr">
        <is>
          <t>0 Km</t>
        </is>
      </c>
      <c r="E734" s="181" t="n">
        <v>6</v>
      </c>
      <c r="F734" s="182" t="n">
        <v>6</v>
      </c>
      <c r="G734" s="172" t="inlineStr">
        <is>
          <t>No</t>
        </is>
      </c>
      <c r="H734" s="170">
        <f>IF(A734="","",IF(OR(NOT(ISNUMBER(C734)),C734=""),"No",IF(AND(HOUR(C734)&gt;=0,HOUR(C734)&lt;5),"Yes","No")))</f>
        <v/>
      </c>
      <c r="I734" s="183">
        <f>IF(OR(B734="",NOT(ISNUMBER(B734))),"",INT(B734))</f>
        <v/>
      </c>
    </row>
    <row r="735" ht="15" customHeight="1" s="122">
      <c r="A735" s="179" t="inlineStr">
        <is>
          <t>KBB 103Q</t>
        </is>
      </c>
      <c r="B735" s="180" t="n">
        <v>46175.52525462963</v>
      </c>
      <c r="C735" s="180" t="n">
        <v>46175.53940972222</v>
      </c>
      <c r="D735" s="173" t="inlineStr">
        <is>
          <t>13.39 Km</t>
        </is>
      </c>
      <c r="E735" s="181" t="n">
        <v>39</v>
      </c>
      <c r="F735" s="182" t="n">
        <v>74</v>
      </c>
      <c r="G735" s="172" t="inlineStr">
        <is>
          <t>No</t>
        </is>
      </c>
      <c r="H735" s="170">
        <f>IF(A735="","",IF(OR(NOT(ISNUMBER(C735)),C735=""),"No",IF(AND(HOUR(C735)&gt;=0,HOUR(C735)&lt;5),"Yes","No")))</f>
        <v/>
      </c>
      <c r="I735" s="183">
        <f>IF(OR(B735="",NOT(ISNUMBER(B735))),"",INT(B735))</f>
        <v/>
      </c>
    </row>
    <row r="736" ht="15" customHeight="1" s="122">
      <c r="A736" s="179" t="inlineStr">
        <is>
          <t>KBB 103Q</t>
        </is>
      </c>
      <c r="B736" s="180" t="n">
        <v>46175.54170138889</v>
      </c>
      <c r="C736" s="180" t="n">
        <v>46175.54246527778</v>
      </c>
      <c r="D736" s="173" t="inlineStr">
        <is>
          <t>0.02 Km</t>
        </is>
      </c>
      <c r="E736" s="181" t="n">
        <v>10</v>
      </c>
      <c r="F736" s="182" t="n">
        <v>17</v>
      </c>
      <c r="G736" s="172" t="inlineStr">
        <is>
          <t>No</t>
        </is>
      </c>
      <c r="H736" s="170">
        <f>IF(A736="","",IF(OR(NOT(ISNUMBER(C736)),C736=""),"No",IF(AND(HOUR(C736)&gt;=0,HOUR(C736)&lt;5),"Yes","No")))</f>
        <v/>
      </c>
      <c r="I736" s="183">
        <f>IF(OR(B736="",NOT(ISNUMBER(B736))),"",INT(B736))</f>
        <v/>
      </c>
    </row>
    <row r="737" ht="15" customHeight="1" s="122">
      <c r="A737" s="179" t="inlineStr">
        <is>
          <t>KBB 103Q</t>
        </is>
      </c>
      <c r="B737" s="180" t="n">
        <v>46175.54295138889</v>
      </c>
      <c r="C737" s="180" t="n">
        <v>46175.54967592593</v>
      </c>
      <c r="D737" s="173" t="inlineStr">
        <is>
          <t>0.55 Km</t>
        </is>
      </c>
      <c r="E737" s="181" t="n">
        <v>9</v>
      </c>
      <c r="F737" s="182" t="n">
        <v>16</v>
      </c>
      <c r="G737" s="172" t="inlineStr">
        <is>
          <t>No</t>
        </is>
      </c>
      <c r="H737" s="170">
        <f>IF(A737="","",IF(OR(NOT(ISNUMBER(C737)),C737=""),"No",IF(AND(HOUR(C737)&gt;=0,HOUR(C737)&lt;5),"Yes","No")))</f>
        <v/>
      </c>
      <c r="I737" s="183">
        <f>IF(OR(B737="",NOT(ISNUMBER(B737))),"",INT(B737))</f>
        <v/>
      </c>
    </row>
    <row r="738" ht="15" customHeight="1" s="122">
      <c r="A738" s="179" t="inlineStr">
        <is>
          <t>KBB 103Q</t>
        </is>
      </c>
      <c r="B738" s="180" t="n">
        <v>46175.55116898148</v>
      </c>
      <c r="C738" s="180" t="n">
        <v>46175.551875</v>
      </c>
      <c r="D738" s="173" t="inlineStr">
        <is>
          <t>0 Km</t>
        </is>
      </c>
      <c r="E738" s="181" t="n">
        <v>6</v>
      </c>
      <c r="F738" s="182" t="n">
        <v>6</v>
      </c>
      <c r="G738" s="172" t="inlineStr">
        <is>
          <t>No</t>
        </is>
      </c>
      <c r="H738" s="170">
        <f>IF(A738="","",IF(OR(NOT(ISNUMBER(C738)),C738=""),"No",IF(AND(HOUR(C738)&gt;=0,HOUR(C738)&lt;5),"Yes","No")))</f>
        <v/>
      </c>
      <c r="I738" s="183">
        <f>IF(OR(B738="",NOT(ISNUMBER(B738))),"",INT(B738))</f>
        <v/>
      </c>
    </row>
    <row r="739" ht="15" customHeight="1" s="122">
      <c r="A739" s="179" t="inlineStr">
        <is>
          <t>KBB 103Q</t>
        </is>
      </c>
      <c r="B739" s="180" t="n">
        <v>46175.55200231481</v>
      </c>
      <c r="C739" s="180" t="n">
        <v>46175.56996527778</v>
      </c>
      <c r="D739" s="173" t="inlineStr">
        <is>
          <t>6 Km</t>
        </is>
      </c>
      <c r="E739" s="181" t="n">
        <v>16</v>
      </c>
      <c r="F739" s="182" t="n">
        <v>30</v>
      </c>
      <c r="G739" s="172" t="inlineStr">
        <is>
          <t>No</t>
        </is>
      </c>
      <c r="H739" s="170">
        <f>IF(A739="","",IF(OR(NOT(ISNUMBER(C739)),C739=""),"No",IF(AND(HOUR(C739)&gt;=0,HOUR(C739)&lt;5),"Yes","No")))</f>
        <v/>
      </c>
      <c r="I739" s="183">
        <f>IF(OR(B739="",NOT(ISNUMBER(B739))),"",INT(B739))</f>
        <v/>
      </c>
    </row>
    <row r="740" ht="15" customHeight="1" s="122">
      <c r="A740" s="179" t="inlineStr">
        <is>
          <t>KBB 103Q</t>
        </is>
      </c>
      <c r="B740" s="180" t="n">
        <v>46175.62532407408</v>
      </c>
      <c r="C740" s="180" t="n">
        <v>46175.65033564815</v>
      </c>
      <c r="D740" s="173" t="inlineStr">
        <is>
          <t>10.94 Km</t>
        </is>
      </c>
      <c r="E740" s="181" t="n">
        <v>18</v>
      </c>
      <c r="F740" s="182" t="n">
        <v>59</v>
      </c>
      <c r="G740" s="172" t="inlineStr">
        <is>
          <t>No</t>
        </is>
      </c>
      <c r="H740" s="170">
        <f>IF(A740="","",IF(OR(NOT(ISNUMBER(C740)),C740=""),"No",IF(AND(HOUR(C740)&gt;=0,HOUR(C740)&lt;5),"Yes","No")))</f>
        <v/>
      </c>
      <c r="I740" s="183">
        <f>IF(OR(B740="",NOT(ISNUMBER(B740))),"",INT(B740))</f>
        <v/>
      </c>
    </row>
    <row r="741" ht="15" customHeight="1" s="122">
      <c r="A741" s="179" t="inlineStr">
        <is>
          <t>KBB 103Q</t>
        </is>
      </c>
      <c r="B741" s="180" t="n">
        <v>46175.65464120371</v>
      </c>
      <c r="C741" s="180" t="n">
        <v>46175.6546875</v>
      </c>
      <c r="D741" s="173" t="inlineStr">
        <is>
          <t>0.01 Km</t>
        </is>
      </c>
      <c r="E741" s="181" t="n">
        <v>11</v>
      </c>
      <c r="F741" s="182" t="n">
        <v>12</v>
      </c>
      <c r="G741" s="172" t="inlineStr">
        <is>
          <t>No</t>
        </is>
      </c>
      <c r="H741" s="170">
        <f>IF(A741="","",IF(OR(NOT(ISNUMBER(C741)),C741=""),"No",IF(AND(HOUR(C741)&gt;=0,HOUR(C741)&lt;5),"Yes","No")))</f>
        <v/>
      </c>
      <c r="I741" s="183">
        <f>IF(OR(B741="",NOT(ISNUMBER(B741))),"",INT(B741))</f>
        <v/>
      </c>
    </row>
    <row r="742" ht="15" customHeight="1" s="122">
      <c r="A742" s="179" t="inlineStr">
        <is>
          <t>KBB 103Q</t>
        </is>
      </c>
      <c r="B742" s="180" t="n">
        <v>46175.65622685185</v>
      </c>
      <c r="C742" s="180" t="n">
        <v>46175.65690972222</v>
      </c>
      <c r="D742" s="173" t="inlineStr">
        <is>
          <t>0 Km</t>
        </is>
      </c>
      <c r="E742" s="181" t="n">
        <v>8</v>
      </c>
      <c r="F742" s="182" t="n">
        <v>8</v>
      </c>
      <c r="G742" s="172" t="inlineStr">
        <is>
          <t>No</t>
        </is>
      </c>
      <c r="H742" s="170">
        <f>IF(A742="","",IF(OR(NOT(ISNUMBER(C742)),C742=""),"No",IF(AND(HOUR(C742)&gt;=0,HOUR(C742)&lt;5),"Yes","No")))</f>
        <v/>
      </c>
      <c r="I742" s="183">
        <f>IF(OR(B742="",NOT(ISNUMBER(B742))),"",INT(B742))</f>
        <v/>
      </c>
    </row>
    <row r="743" ht="15" customHeight="1" s="122">
      <c r="A743" s="179" t="inlineStr">
        <is>
          <t>KBB 103Q</t>
        </is>
      </c>
      <c r="B743" s="180" t="n">
        <v>46175.65844907407</v>
      </c>
      <c r="C743" s="180" t="n">
        <v>46175.66008101852</v>
      </c>
      <c r="D743" s="173" t="inlineStr">
        <is>
          <t>0.01 Km</t>
        </is>
      </c>
      <c r="E743" s="181" t="n">
        <v>7</v>
      </c>
      <c r="F743" s="182" t="n">
        <v>7</v>
      </c>
      <c r="G743" s="172" t="inlineStr">
        <is>
          <t>No</t>
        </is>
      </c>
      <c r="H743" s="170">
        <f>IF(A743="","",IF(OR(NOT(ISNUMBER(C743)),C743=""),"No",IF(AND(HOUR(C743)&gt;=0,HOUR(C743)&lt;5),"Yes","No")))</f>
        <v/>
      </c>
      <c r="I743" s="183">
        <f>IF(OR(B743="",NOT(ISNUMBER(B743))),"",INT(B743))</f>
        <v/>
      </c>
    </row>
    <row r="744" ht="15" customHeight="1" s="122">
      <c r="A744" s="179" t="inlineStr">
        <is>
          <t>KBB 103Q</t>
        </is>
      </c>
      <c r="B744" s="180" t="n">
        <v>46175.70890046296</v>
      </c>
      <c r="C744" s="180" t="n">
        <v>46175.73072916667</v>
      </c>
      <c r="D744" s="173" t="inlineStr">
        <is>
          <t>10.6 Km</t>
        </is>
      </c>
      <c r="E744" s="181" t="n">
        <v>20</v>
      </c>
      <c r="F744" s="182" t="n">
        <v>57</v>
      </c>
      <c r="G744" s="172" t="inlineStr">
        <is>
          <t>No</t>
        </is>
      </c>
      <c r="H744" s="170">
        <f>IF(A744="","",IF(OR(NOT(ISNUMBER(C744)),C744=""),"No",IF(AND(HOUR(C744)&gt;=0,HOUR(C744)&lt;5),"Yes","No")))</f>
        <v/>
      </c>
      <c r="I744" s="183">
        <f>IF(OR(B744="",NOT(ISNUMBER(B744))),"",INT(B744))</f>
        <v/>
      </c>
    </row>
    <row r="745" ht="15" customHeight="1" s="122">
      <c r="A745" s="179" t="inlineStr">
        <is>
          <t>KBB 103Q</t>
        </is>
      </c>
      <c r="B745" s="180" t="n">
        <v>46175.7494212963</v>
      </c>
      <c r="C745" s="180" t="n">
        <v>46175.76645833333</v>
      </c>
      <c r="D745" s="173" t="inlineStr">
        <is>
          <t>7.13 Km</t>
        </is>
      </c>
      <c r="E745" s="181" t="n">
        <v>17</v>
      </c>
      <c r="F745" s="182" t="n">
        <v>52</v>
      </c>
      <c r="G745" s="172" t="inlineStr">
        <is>
          <t>No</t>
        </is>
      </c>
      <c r="H745" s="170">
        <f>IF(A745="","",IF(OR(NOT(ISNUMBER(C745)),C745=""),"No",IF(AND(HOUR(C745)&gt;=0,HOUR(C745)&lt;5),"Yes","No")))</f>
        <v/>
      </c>
      <c r="I745" s="183">
        <f>IF(OR(B745="",NOT(ISNUMBER(B745))),"",INT(B745))</f>
        <v/>
      </c>
    </row>
    <row r="746" ht="15" customHeight="1" s="122">
      <c r="A746" s="179" t="inlineStr">
        <is>
          <t>KBB 103Q</t>
        </is>
      </c>
      <c r="B746" s="180" t="n">
        <v>46175.76729166666</v>
      </c>
      <c r="C746" s="180" t="n">
        <v>46175.77131944444</v>
      </c>
      <c r="D746" s="173" t="inlineStr">
        <is>
          <t>1.12 Km</t>
        </is>
      </c>
      <c r="E746" s="181" t="n">
        <v>17</v>
      </c>
      <c r="F746" s="182" t="n">
        <v>34</v>
      </c>
      <c r="G746" s="172" t="inlineStr">
        <is>
          <t>No</t>
        </is>
      </c>
      <c r="H746" s="170">
        <f>IF(A746="","",IF(OR(NOT(ISNUMBER(C746)),C746=""),"No",IF(AND(HOUR(C746)&gt;=0,HOUR(C746)&lt;5),"Yes","No")))</f>
        <v/>
      </c>
      <c r="I746" s="183">
        <f>IF(OR(B746="",NOT(ISNUMBER(B746))),"",INT(B746))</f>
        <v/>
      </c>
    </row>
    <row r="747" ht="15" customHeight="1" s="122">
      <c r="A747" s="179" t="inlineStr">
        <is>
          <t>KBB 103Q</t>
        </is>
      </c>
      <c r="B747" s="180" t="n">
        <v>46175.77214120371</v>
      </c>
      <c r="C747" s="180" t="n">
        <v>46175.77410879629</v>
      </c>
      <c r="D747" s="173" t="inlineStr">
        <is>
          <t>0.11 Km</t>
        </is>
      </c>
      <c r="E747" s="181" t="n">
        <v>10</v>
      </c>
      <c r="F747" s="182" t="n">
        <v>13</v>
      </c>
      <c r="G747" s="172" t="inlineStr">
        <is>
          <t>No</t>
        </is>
      </c>
      <c r="H747" s="170">
        <f>IF(A747="","",IF(OR(NOT(ISNUMBER(C747)),C747=""),"No",IF(AND(HOUR(C747)&gt;=0,HOUR(C747)&lt;5),"Yes","No")))</f>
        <v/>
      </c>
      <c r="I747" s="183">
        <f>IF(OR(B747="",NOT(ISNUMBER(B747))),"",INT(B747))</f>
        <v/>
      </c>
    </row>
    <row r="748" ht="15" customHeight="1" s="122">
      <c r="A748" s="179" t="inlineStr">
        <is>
          <t>KBB 103Q</t>
        </is>
      </c>
      <c r="B748" s="180" t="n">
        <v>46175.77516203704</v>
      </c>
      <c r="C748" s="180" t="n">
        <v>46175.8197337963</v>
      </c>
      <c r="D748" s="173" t="inlineStr">
        <is>
          <t>47.74 Km</t>
        </is>
      </c>
      <c r="E748" s="181" t="n">
        <v>46</v>
      </c>
      <c r="F748" s="182" t="n">
        <v>84</v>
      </c>
      <c r="G748" s="172" t="inlineStr">
        <is>
          <t>No</t>
        </is>
      </c>
      <c r="H748" s="170">
        <f>IF(A748="","",IF(OR(NOT(ISNUMBER(C748)),C748=""),"No",IF(AND(HOUR(C748)&gt;=0,HOUR(C748)&lt;5),"Yes","No")))</f>
        <v/>
      </c>
      <c r="I748" s="183">
        <f>IF(OR(B748="",NOT(ISNUMBER(B748))),"",INT(B748))</f>
        <v/>
      </c>
    </row>
    <row r="749" ht="15" customHeight="1" s="122">
      <c r="A749" s="179" t="inlineStr">
        <is>
          <t>KBB 103Q</t>
        </is>
      </c>
      <c r="B749" s="180" t="n">
        <v>46175.82081018519</v>
      </c>
      <c r="C749" s="180" t="n">
        <v>46175.82524305556</v>
      </c>
      <c r="D749" s="173" t="inlineStr">
        <is>
          <t>2.01 Km</t>
        </is>
      </c>
      <c r="E749" s="181" t="n">
        <v>21</v>
      </c>
      <c r="F749" s="182" t="n">
        <v>37</v>
      </c>
      <c r="G749" s="172" t="inlineStr">
        <is>
          <t>No</t>
        </is>
      </c>
      <c r="H749" s="170">
        <f>IF(A749="","",IF(OR(NOT(ISNUMBER(C749)),C749=""),"No",IF(AND(HOUR(C749)&gt;=0,HOUR(C749)&lt;5),"Yes","No")))</f>
        <v/>
      </c>
      <c r="I749" s="183">
        <f>IF(OR(B749="",NOT(ISNUMBER(B749))),"",INT(B749))</f>
        <v/>
      </c>
    </row>
    <row r="750" ht="15" customHeight="1" s="122">
      <c r="A750" s="179" t="inlineStr">
        <is>
          <t>KBB 103Q</t>
        </is>
      </c>
      <c r="B750" s="180" t="n">
        <v>46175.84047453704</v>
      </c>
      <c r="C750" s="180" t="n">
        <v>46175.84116898148</v>
      </c>
      <c r="D750" s="173" t="inlineStr">
        <is>
          <t>0.01 Km</t>
        </is>
      </c>
      <c r="E750" s="181" t="n">
        <v>6</v>
      </c>
      <c r="F750" s="182" t="n">
        <v>6</v>
      </c>
      <c r="G750" s="172" t="inlineStr">
        <is>
          <t>No</t>
        </is>
      </c>
      <c r="H750" s="170">
        <f>IF(A750="","",IF(OR(NOT(ISNUMBER(C750)),C750=""),"No",IF(AND(HOUR(C750)&gt;=0,HOUR(C750)&lt;5),"Yes","No")))</f>
        <v/>
      </c>
      <c r="I750" s="183">
        <f>IF(OR(B750="",NOT(ISNUMBER(B750))),"",INT(B750))</f>
        <v/>
      </c>
    </row>
    <row r="751" ht="15" customHeight="1" s="122">
      <c r="A751" s="179" t="inlineStr">
        <is>
          <t>KBB 103Q</t>
        </is>
      </c>
      <c r="B751" s="180" t="n">
        <v>46175.84270833333</v>
      </c>
      <c r="C751" s="180" t="n">
        <v>46175.84478009259</v>
      </c>
      <c r="D751" s="173" t="inlineStr">
        <is>
          <t>0.27 Km</t>
        </is>
      </c>
      <c r="E751" s="181" t="n">
        <v>8</v>
      </c>
      <c r="F751" s="182" t="n">
        <v>17</v>
      </c>
      <c r="G751" s="172" t="inlineStr">
        <is>
          <t>No</t>
        </is>
      </c>
      <c r="H751" s="170">
        <f>IF(A751="","",IF(OR(NOT(ISNUMBER(C751)),C751=""),"No",IF(AND(HOUR(C751)&gt;=0,HOUR(C751)&lt;5),"Yes","No")))</f>
        <v/>
      </c>
      <c r="I751" s="183">
        <f>IF(OR(B751="",NOT(ISNUMBER(B751))),"",INT(B751))</f>
        <v/>
      </c>
    </row>
    <row r="752" ht="15" customHeight="1" s="122">
      <c r="A752" s="179" t="inlineStr">
        <is>
          <t>KBB 103Q</t>
        </is>
      </c>
      <c r="B752" s="180" t="n">
        <v>46175.88188657408</v>
      </c>
      <c r="C752" s="180" t="n">
        <v>46175.88403935185</v>
      </c>
      <c r="D752" s="173" t="inlineStr">
        <is>
          <t>0.28 Km</t>
        </is>
      </c>
      <c r="E752" s="181" t="n">
        <v>7</v>
      </c>
      <c r="F752" s="182" t="n">
        <v>14</v>
      </c>
      <c r="G752" s="172" t="inlineStr">
        <is>
          <t>No</t>
        </is>
      </c>
      <c r="H752" s="170">
        <f>IF(A752="","",IF(OR(NOT(ISNUMBER(C752)),C752=""),"No",IF(AND(HOUR(C752)&gt;=0,HOUR(C752)&lt;5),"Yes","No")))</f>
        <v/>
      </c>
      <c r="I752" s="183">
        <f>IF(OR(B752="",NOT(ISNUMBER(B752))),"",INT(B752))</f>
        <v/>
      </c>
    </row>
    <row r="753" ht="15" customHeight="1" s="122">
      <c r="A753" s="179" t="inlineStr">
        <is>
          <t>KBB 103Q</t>
        </is>
      </c>
      <c r="B753" s="180" t="n">
        <v>46175.89980324074</v>
      </c>
      <c r="C753" s="180" t="n">
        <v>46175.93309027778</v>
      </c>
      <c r="D753" s="173" t="inlineStr">
        <is>
          <t>42.78 Km</t>
        </is>
      </c>
      <c r="E753" s="181" t="n">
        <v>52</v>
      </c>
      <c r="F753" s="182" t="n">
        <v>81</v>
      </c>
      <c r="G753" s="172" t="inlineStr">
        <is>
          <t>Yes</t>
        </is>
      </c>
      <c r="H753" s="170">
        <f>IF(A753="","",IF(OR(NOT(ISNUMBER(C753)),C753=""),"No",IF(AND(HOUR(C753)&gt;=0,HOUR(C753)&lt;5),"Yes","No")))</f>
        <v/>
      </c>
      <c r="I753" s="183">
        <f>IF(OR(B753="",NOT(ISNUMBER(B753))),"",INT(B753))</f>
        <v/>
      </c>
    </row>
    <row r="754" ht="15" customHeight="1" s="122">
      <c r="A754" s="179" t="inlineStr">
        <is>
          <t>KBB 103Q</t>
        </is>
      </c>
      <c r="B754" s="180" t="n">
        <v>46205.31888888889</v>
      </c>
      <c r="C754" s="180" t="n">
        <v>46205.31890046296</v>
      </c>
      <c r="D754" s="173" t="inlineStr">
        <is>
          <t>0 Km</t>
        </is>
      </c>
      <c r="E754" s="181" t="n">
        <v>6</v>
      </c>
      <c r="F754" s="182" t="n">
        <v>6</v>
      </c>
      <c r="G754" s="172" t="inlineStr">
        <is>
          <t>No</t>
        </is>
      </c>
      <c r="H754" s="170">
        <f>IF(A754="","",IF(OR(NOT(ISNUMBER(C754)),C754=""),"No",IF(AND(HOUR(C754)&gt;=0,HOUR(C754)&lt;5),"Yes","No")))</f>
        <v/>
      </c>
      <c r="I754" s="183">
        <f>IF(OR(B754="",NOT(ISNUMBER(B754))),"",INT(B754))</f>
        <v/>
      </c>
    </row>
    <row r="755" ht="15" customHeight="1" s="122">
      <c r="A755" s="179" t="inlineStr">
        <is>
          <t>KBB 103Q</t>
        </is>
      </c>
      <c r="B755" s="180" t="n">
        <v>46205.32114583333</v>
      </c>
      <c r="C755" s="180" t="n">
        <v>46205.32512731481</v>
      </c>
      <c r="D755" s="173" t="inlineStr">
        <is>
          <t>0.58 Km</t>
        </is>
      </c>
      <c r="E755" s="181" t="n">
        <v>8</v>
      </c>
      <c r="F755" s="182" t="n">
        <v>18</v>
      </c>
      <c r="G755" s="172" t="inlineStr">
        <is>
          <t>No</t>
        </is>
      </c>
      <c r="H755" s="170">
        <f>IF(A755="","",IF(OR(NOT(ISNUMBER(C755)),C755=""),"No",IF(AND(HOUR(C755)&gt;=0,HOUR(C755)&lt;5),"Yes","No")))</f>
        <v/>
      </c>
      <c r="I755" s="183">
        <f>IF(OR(B755="",NOT(ISNUMBER(B755))),"",INT(B755))</f>
        <v/>
      </c>
    </row>
    <row r="756" ht="15" customHeight="1" s="122">
      <c r="A756" s="179" t="inlineStr">
        <is>
          <t>KBB 103Q</t>
        </is>
      </c>
      <c r="B756" s="180" t="n">
        <v>46205.3252662037</v>
      </c>
      <c r="C756" s="180" t="n">
        <v>46205.32604166667</v>
      </c>
      <c r="D756" s="173" t="inlineStr">
        <is>
          <t>0.03 Km</t>
        </is>
      </c>
      <c r="E756" s="181" t="n">
        <v>6</v>
      </c>
      <c r="F756" s="182" t="n">
        <v>6</v>
      </c>
      <c r="G756" s="172" t="inlineStr">
        <is>
          <t>No</t>
        </is>
      </c>
      <c r="H756" s="170">
        <f>IF(A756="","",IF(OR(NOT(ISNUMBER(C756)),C756=""),"No",IF(AND(HOUR(C756)&gt;=0,HOUR(C756)&lt;5),"Yes","No")))</f>
        <v/>
      </c>
      <c r="I756" s="183">
        <f>IF(OR(B756="",NOT(ISNUMBER(B756))),"",INT(B756))</f>
        <v/>
      </c>
    </row>
    <row r="757" ht="15" customHeight="1" s="122">
      <c r="A757" s="179" t="inlineStr">
        <is>
          <t>KBB 103Q</t>
        </is>
      </c>
      <c r="B757" s="180" t="n">
        <v>46205.39908564815</v>
      </c>
      <c r="C757" s="180" t="n">
        <v>46205.4003125</v>
      </c>
      <c r="D757" s="173" t="inlineStr">
        <is>
          <t>0.33 Km</t>
        </is>
      </c>
      <c r="E757" s="181" t="n">
        <v>10</v>
      </c>
      <c r="F757" s="182" t="n">
        <v>20</v>
      </c>
      <c r="G757" s="172" t="inlineStr">
        <is>
          <t>No</t>
        </is>
      </c>
      <c r="H757" s="170">
        <f>IF(A757="","",IF(OR(NOT(ISNUMBER(C757)),C757=""),"No",IF(AND(HOUR(C757)&gt;=0,HOUR(C757)&lt;5),"Yes","No")))</f>
        <v/>
      </c>
      <c r="I757" s="183">
        <f>IF(OR(B757="",NOT(ISNUMBER(B757))),"",INT(B757))</f>
        <v/>
      </c>
    </row>
    <row r="758" ht="15" customHeight="1" s="122">
      <c r="A758" s="179" t="inlineStr">
        <is>
          <t>KBB 103Q</t>
        </is>
      </c>
      <c r="B758" s="180" t="n">
        <v>46205.40778935186</v>
      </c>
      <c r="C758" s="180" t="n">
        <v>46205.41038194444</v>
      </c>
      <c r="D758" s="173" t="inlineStr">
        <is>
          <t>0.43 Km</t>
        </is>
      </c>
      <c r="E758" s="181" t="n">
        <v>9</v>
      </c>
      <c r="F758" s="182" t="n">
        <v>19</v>
      </c>
      <c r="G758" s="172" t="inlineStr">
        <is>
          <t>No</t>
        </is>
      </c>
      <c r="H758" s="170">
        <f>IF(A758="","",IF(OR(NOT(ISNUMBER(C758)),C758=""),"No",IF(AND(HOUR(C758)&gt;=0,HOUR(C758)&lt;5),"Yes","No")))</f>
        <v/>
      </c>
      <c r="I758" s="183">
        <f>IF(OR(B758="",NOT(ISNUMBER(B758))),"",INT(B758))</f>
        <v/>
      </c>
    </row>
    <row r="759" ht="15" customHeight="1" s="122">
      <c r="A759" s="179" t="inlineStr">
        <is>
          <t>KBB 103Q</t>
        </is>
      </c>
      <c r="B759" s="180" t="n">
        <v>46205.4268287037</v>
      </c>
      <c r="C759" s="180" t="n">
        <v>46205.42833333334</v>
      </c>
      <c r="D759" s="173" t="inlineStr">
        <is>
          <t>0.33 Km</t>
        </is>
      </c>
      <c r="E759" s="181" t="n">
        <v>10</v>
      </c>
      <c r="F759" s="182" t="n">
        <v>23</v>
      </c>
      <c r="G759" s="172" t="inlineStr">
        <is>
          <t>No</t>
        </is>
      </c>
      <c r="H759" s="170">
        <f>IF(A759="","",IF(OR(NOT(ISNUMBER(C759)),C759=""),"No",IF(AND(HOUR(C759)&gt;=0,HOUR(C759)&lt;5),"Yes","No")))</f>
        <v/>
      </c>
      <c r="I759" s="183">
        <f>IF(OR(B759="",NOT(ISNUMBER(B759))),"",INT(B759))</f>
        <v/>
      </c>
    </row>
    <row r="760" ht="15" customHeight="1" s="122">
      <c r="A760" s="179" t="inlineStr">
        <is>
          <t>KBB 103Q</t>
        </is>
      </c>
      <c r="B760" s="180" t="n">
        <v>46205.4327662037</v>
      </c>
      <c r="C760" s="180" t="n">
        <v>46205.43449074074</v>
      </c>
      <c r="D760" s="173" t="inlineStr">
        <is>
          <t>0.42 Km</t>
        </is>
      </c>
      <c r="E760" s="181" t="n">
        <v>8</v>
      </c>
      <c r="F760" s="182" t="n">
        <v>22</v>
      </c>
      <c r="G760" s="172" t="inlineStr">
        <is>
          <t>No</t>
        </is>
      </c>
      <c r="H760" s="170">
        <f>IF(A760="","",IF(OR(NOT(ISNUMBER(C760)),C760=""),"No",IF(AND(HOUR(C760)&gt;=0,HOUR(C760)&lt;5),"Yes","No")))</f>
        <v/>
      </c>
      <c r="I760" s="183">
        <f>IF(OR(B760="",NOT(ISNUMBER(B760))),"",INT(B760))</f>
        <v/>
      </c>
    </row>
    <row r="761" ht="15" customHeight="1" s="122">
      <c r="A761" s="179" t="inlineStr">
        <is>
          <t>KBB 103Q</t>
        </is>
      </c>
      <c r="B761" s="180" t="n">
        <v>46205.61384259259</v>
      </c>
      <c r="C761" s="180" t="n">
        <v>46205.61519675926</v>
      </c>
      <c r="D761" s="173" t="inlineStr">
        <is>
          <t>0.1 Km</t>
        </is>
      </c>
      <c r="E761" s="181" t="n">
        <v>8</v>
      </c>
      <c r="F761" s="182" t="n">
        <v>12</v>
      </c>
      <c r="G761" s="172" t="inlineStr">
        <is>
          <t>No</t>
        </is>
      </c>
      <c r="H761" s="170">
        <f>IF(A761="","",IF(OR(NOT(ISNUMBER(C761)),C761=""),"No",IF(AND(HOUR(C761)&gt;=0,HOUR(C761)&lt;5),"Yes","No")))</f>
        <v/>
      </c>
      <c r="I761" s="183">
        <f>IF(OR(B761="",NOT(ISNUMBER(B761))),"",INT(B761))</f>
        <v/>
      </c>
    </row>
    <row r="762" ht="15" customHeight="1" s="122">
      <c r="A762" s="179" t="inlineStr">
        <is>
          <t>KBB 103Q</t>
        </is>
      </c>
      <c r="B762" s="180" t="n">
        <v>46205.61523148148</v>
      </c>
      <c r="C762" s="180" t="n">
        <v>46205.61755787037</v>
      </c>
      <c r="D762" s="173" t="inlineStr">
        <is>
          <t>0.6 Km</t>
        </is>
      </c>
      <c r="E762" s="181" t="n">
        <v>14</v>
      </c>
      <c r="F762" s="182" t="n">
        <v>29</v>
      </c>
      <c r="G762" s="172" t="inlineStr">
        <is>
          <t>No</t>
        </is>
      </c>
      <c r="H762" s="170">
        <f>IF(A762="","",IF(OR(NOT(ISNUMBER(C762)),C762=""),"No",IF(AND(HOUR(C762)&gt;=0,HOUR(C762)&lt;5),"Yes","No")))</f>
        <v/>
      </c>
      <c r="I762" s="183">
        <f>IF(OR(B762="",NOT(ISNUMBER(B762))),"",INT(B762))</f>
        <v/>
      </c>
    </row>
    <row r="763" ht="15" customHeight="1" s="122">
      <c r="A763" s="179" t="inlineStr">
        <is>
          <t>KBB 103Q</t>
        </is>
      </c>
      <c r="B763" s="180" t="n">
        <v>46205.61815972222</v>
      </c>
      <c r="C763" s="180" t="n">
        <v>46205.62484953704</v>
      </c>
      <c r="D763" s="173" t="inlineStr">
        <is>
          <t>5.81 Km</t>
        </is>
      </c>
      <c r="E763" s="181" t="n">
        <v>43</v>
      </c>
      <c r="F763" s="182" t="n">
        <v>80</v>
      </c>
      <c r="G763" s="172" t="inlineStr">
        <is>
          <t>No</t>
        </is>
      </c>
      <c r="H763" s="170">
        <f>IF(A763="","",IF(OR(NOT(ISNUMBER(C763)),C763=""),"No",IF(AND(HOUR(C763)&gt;=0,HOUR(C763)&lt;5),"Yes","No")))</f>
        <v/>
      </c>
      <c r="I763" s="183">
        <f>IF(OR(B763="",NOT(ISNUMBER(B763))),"",INT(B763))</f>
        <v/>
      </c>
    </row>
    <row r="764" ht="15" customHeight="1" s="122">
      <c r="A764" s="179" t="inlineStr">
        <is>
          <t>KBB 103Q</t>
        </is>
      </c>
      <c r="B764" s="180" t="n">
        <v>46205.62635416666</v>
      </c>
      <c r="C764" s="180" t="n">
        <v>46205.62645833333</v>
      </c>
      <c r="D764" s="173" t="inlineStr">
        <is>
          <t>0.09 Km</t>
        </is>
      </c>
      <c r="E764" s="181" t="n">
        <v>14</v>
      </c>
      <c r="F764" s="182" t="n">
        <v>22</v>
      </c>
      <c r="G764" s="172" t="inlineStr">
        <is>
          <t>No</t>
        </is>
      </c>
      <c r="H764" s="170">
        <f>IF(A764="","",IF(OR(NOT(ISNUMBER(C764)),C764=""),"No",IF(AND(HOUR(C764)&gt;=0,HOUR(C764)&lt;5),"Yes","No")))</f>
        <v/>
      </c>
      <c r="I764" s="183">
        <f>IF(OR(B764="",NOT(ISNUMBER(B764))),"",INT(B764))</f>
        <v/>
      </c>
    </row>
    <row r="765" ht="15" customHeight="1" s="122">
      <c r="A765" s="179" t="inlineStr">
        <is>
          <t>KBB 103Q</t>
        </is>
      </c>
      <c r="B765" s="180" t="n">
        <v>46205.63203703704</v>
      </c>
      <c r="C765" s="180" t="n">
        <v>46205.64178240741</v>
      </c>
      <c r="D765" s="173" t="inlineStr">
        <is>
          <t>4.93 Km</t>
        </is>
      </c>
      <c r="E765" s="181" t="n">
        <v>23</v>
      </c>
      <c r="F765" s="182" t="n">
        <v>82</v>
      </c>
      <c r="G765" s="172" t="inlineStr">
        <is>
          <t>No</t>
        </is>
      </c>
      <c r="H765" s="170">
        <f>IF(A765="","",IF(OR(NOT(ISNUMBER(C765)),C765=""),"No",IF(AND(HOUR(C765)&gt;=0,HOUR(C765)&lt;5),"Yes","No")))</f>
        <v/>
      </c>
      <c r="I765" s="183">
        <f>IF(OR(B765="",NOT(ISNUMBER(B765))),"",INT(B765))</f>
        <v/>
      </c>
    </row>
    <row r="766" ht="15" customHeight="1" s="122">
      <c r="A766" s="179" t="inlineStr">
        <is>
          <t>KBB 103Q</t>
        </is>
      </c>
      <c r="B766" s="180" t="n">
        <v>46205.64474537037</v>
      </c>
      <c r="C766" s="180" t="n">
        <v>46205.6513425926</v>
      </c>
      <c r="D766" s="173" t="inlineStr">
        <is>
          <t>2.44 Km</t>
        </is>
      </c>
      <c r="E766" s="181" t="n">
        <v>20</v>
      </c>
      <c r="F766" s="182" t="n">
        <v>68</v>
      </c>
      <c r="G766" s="172" t="inlineStr">
        <is>
          <t>No</t>
        </is>
      </c>
      <c r="H766" s="170">
        <f>IF(A766="","",IF(OR(NOT(ISNUMBER(C766)),C766=""),"No",IF(AND(HOUR(C766)&gt;=0,HOUR(C766)&lt;5),"Yes","No")))</f>
        <v/>
      </c>
      <c r="I766" s="183">
        <f>IF(OR(B766="",NOT(ISNUMBER(B766))),"",INT(B766))</f>
        <v/>
      </c>
    </row>
    <row r="767" ht="15" customHeight="1" s="122">
      <c r="A767" s="179" t="inlineStr">
        <is>
          <t>KBB 103Q</t>
        </is>
      </c>
      <c r="B767" s="180" t="n">
        <v>46205.65211805556</v>
      </c>
      <c r="C767" s="180" t="n">
        <v>46205.65342592593</v>
      </c>
      <c r="D767" s="173" t="inlineStr">
        <is>
          <t>0.16 Km</t>
        </is>
      </c>
      <c r="E767" s="181" t="n">
        <v>10</v>
      </c>
      <c r="F767" s="182" t="n">
        <v>18</v>
      </c>
      <c r="G767" s="172" t="inlineStr">
        <is>
          <t>No</t>
        </is>
      </c>
      <c r="H767" s="170">
        <f>IF(A767="","",IF(OR(NOT(ISNUMBER(C767)),C767=""),"No",IF(AND(HOUR(C767)&gt;=0,HOUR(C767)&lt;5),"Yes","No")))</f>
        <v/>
      </c>
      <c r="I767" s="183">
        <f>IF(OR(B767="",NOT(ISNUMBER(B767))),"",INT(B767))</f>
        <v/>
      </c>
    </row>
    <row r="768" ht="15" customHeight="1" s="122">
      <c r="A768" s="179" t="inlineStr">
        <is>
          <t>KBB 103Q</t>
        </is>
      </c>
      <c r="B768" s="180" t="n">
        <v>46205.65510416667</v>
      </c>
      <c r="C768" s="180" t="n">
        <v>46205.65667824074</v>
      </c>
      <c r="D768" s="173" t="inlineStr">
        <is>
          <t>0.07 Km</t>
        </is>
      </c>
      <c r="E768" s="181" t="n">
        <v>6</v>
      </c>
      <c r="F768" s="182" t="n">
        <v>11</v>
      </c>
      <c r="G768" s="172" t="inlineStr">
        <is>
          <t>No</t>
        </is>
      </c>
      <c r="H768" s="170">
        <f>IF(A768="","",IF(OR(NOT(ISNUMBER(C768)),C768=""),"No",IF(AND(HOUR(C768)&gt;=0,HOUR(C768)&lt;5),"Yes","No")))</f>
        <v/>
      </c>
      <c r="I768" s="183">
        <f>IF(OR(B768="",NOT(ISNUMBER(B768))),"",INT(B768))</f>
        <v/>
      </c>
    </row>
    <row r="769" ht="15" customHeight="1" s="122">
      <c r="A769" s="179" t="inlineStr">
        <is>
          <t>KBB 103Q</t>
        </is>
      </c>
      <c r="B769" s="180" t="n">
        <v>46205.66103009259</v>
      </c>
      <c r="C769" s="180" t="n">
        <v>46205.66172453704</v>
      </c>
      <c r="D769" s="173" t="inlineStr">
        <is>
          <t>0 Km</t>
        </is>
      </c>
      <c r="E769" s="181" t="n">
        <v>6</v>
      </c>
      <c r="F769" s="182" t="n">
        <v>6</v>
      </c>
      <c r="G769" s="172" t="inlineStr">
        <is>
          <t>No</t>
        </is>
      </c>
      <c r="H769" s="170">
        <f>IF(A769="","",IF(OR(NOT(ISNUMBER(C769)),C769=""),"No",IF(AND(HOUR(C769)&gt;=0,HOUR(C769)&lt;5),"Yes","No")))</f>
        <v/>
      </c>
      <c r="I769" s="183">
        <f>IF(OR(B769="",NOT(ISNUMBER(B769))),"",INT(B769))</f>
        <v/>
      </c>
    </row>
    <row r="770" ht="15" customHeight="1" s="122">
      <c r="A770" s="179" t="inlineStr">
        <is>
          <t>KBB 103Q</t>
        </is>
      </c>
      <c r="B770" s="180" t="n">
        <v>46205.66324074074</v>
      </c>
      <c r="C770" s="180" t="n">
        <v>46205.66476851852</v>
      </c>
      <c r="D770" s="173" t="inlineStr">
        <is>
          <t>0.01 Km</t>
        </is>
      </c>
      <c r="E770" s="181" t="n">
        <v>7</v>
      </c>
      <c r="F770" s="182" t="n">
        <v>7</v>
      </c>
      <c r="G770" s="172" t="inlineStr">
        <is>
          <t>No</t>
        </is>
      </c>
      <c r="H770" s="170">
        <f>IF(A770="","",IF(OR(NOT(ISNUMBER(C770)),C770=""),"No",IF(AND(HOUR(C770)&gt;=0,HOUR(C770)&lt;5),"Yes","No")))</f>
        <v/>
      </c>
      <c r="I770" s="183">
        <f>IF(OR(B770="",NOT(ISNUMBER(B770))),"",INT(B770))</f>
        <v/>
      </c>
    </row>
    <row r="771" ht="15" customHeight="1" s="122">
      <c r="A771" s="179" t="inlineStr">
        <is>
          <t>KBB 103Q</t>
        </is>
      </c>
      <c r="B771" s="180" t="n">
        <v>46205.6681712963</v>
      </c>
      <c r="C771" s="180" t="n">
        <v>46205.6694212963</v>
      </c>
      <c r="D771" s="173" t="inlineStr">
        <is>
          <t>0.17 Km</t>
        </is>
      </c>
      <c r="E771" s="181" t="n">
        <v>11</v>
      </c>
      <c r="F771" s="182" t="n">
        <v>21</v>
      </c>
      <c r="G771" s="172" t="inlineStr">
        <is>
          <t>No</t>
        </is>
      </c>
      <c r="H771" s="170">
        <f>IF(A771="","",IF(OR(NOT(ISNUMBER(C771)),C771=""),"No",IF(AND(HOUR(C771)&gt;=0,HOUR(C771)&lt;5),"Yes","No")))</f>
        <v/>
      </c>
      <c r="I771" s="183">
        <f>IF(OR(B771="",NOT(ISNUMBER(B771))),"",INT(B771))</f>
        <v/>
      </c>
    </row>
    <row r="772" ht="15" customHeight="1" s="122">
      <c r="A772" s="179" t="inlineStr">
        <is>
          <t>KBB 103Q</t>
        </is>
      </c>
      <c r="B772" s="180" t="n">
        <v>46205.67072916667</v>
      </c>
      <c r="C772" s="180" t="n">
        <v>46205.67407407407</v>
      </c>
      <c r="D772" s="173" t="inlineStr">
        <is>
          <t>0.86 Km</t>
        </is>
      </c>
      <c r="E772" s="181" t="n">
        <v>10</v>
      </c>
      <c r="F772" s="182" t="n">
        <v>24</v>
      </c>
      <c r="G772" s="172" t="inlineStr">
        <is>
          <t>No</t>
        </is>
      </c>
      <c r="H772" s="170">
        <f>IF(A772="","",IF(OR(NOT(ISNUMBER(C772)),C772=""),"No",IF(AND(HOUR(C772)&gt;=0,HOUR(C772)&lt;5),"Yes","No")))</f>
        <v/>
      </c>
      <c r="I772" s="183">
        <f>IF(OR(B772="",NOT(ISNUMBER(B772))),"",INT(B772))</f>
        <v/>
      </c>
    </row>
    <row r="773" ht="15" customHeight="1" s="122">
      <c r="A773" s="179" t="inlineStr">
        <is>
          <t>KBB 103Q</t>
        </is>
      </c>
      <c r="B773" s="180" t="n">
        <v>46205.72835648148</v>
      </c>
      <c r="C773" s="180" t="n">
        <v>46205.7299537037</v>
      </c>
      <c r="D773" s="173" t="inlineStr">
        <is>
          <t>0.48 Km</t>
        </is>
      </c>
      <c r="E773" s="181" t="n">
        <v>12</v>
      </c>
      <c r="F773" s="182" t="n">
        <v>20</v>
      </c>
      <c r="G773" s="172" t="inlineStr">
        <is>
          <t>No</t>
        </is>
      </c>
      <c r="H773" s="170">
        <f>IF(A773="","",IF(OR(NOT(ISNUMBER(C773)),C773=""),"No",IF(AND(HOUR(C773)&gt;=0,HOUR(C773)&lt;5),"Yes","No")))</f>
        <v/>
      </c>
      <c r="I773" s="183">
        <f>IF(OR(B773="",NOT(ISNUMBER(B773))),"",INT(B773))</f>
        <v/>
      </c>
    </row>
    <row r="774" ht="15" customHeight="1" s="122">
      <c r="A774" s="179" t="inlineStr">
        <is>
          <t>KBB 103Q</t>
        </is>
      </c>
      <c r="B774" s="180" t="n">
        <v>46205.7331712963</v>
      </c>
      <c r="C774" s="180" t="n">
        <v>46205.73425925926</v>
      </c>
      <c r="D774" s="173" t="inlineStr">
        <is>
          <t>0.05 Km</t>
        </is>
      </c>
      <c r="E774" s="181" t="n">
        <v>6</v>
      </c>
      <c r="F774" s="182" t="n">
        <v>7</v>
      </c>
      <c r="G774" s="172" t="inlineStr">
        <is>
          <t>No</t>
        </is>
      </c>
      <c r="H774" s="170">
        <f>IF(A774="","",IF(OR(NOT(ISNUMBER(C774)),C774=""),"No",IF(AND(HOUR(C774)&gt;=0,HOUR(C774)&lt;5),"Yes","No")))</f>
        <v/>
      </c>
      <c r="I774" s="183">
        <f>IF(OR(B774="",NOT(ISNUMBER(B774))),"",INT(B774))</f>
        <v/>
      </c>
    </row>
    <row r="775" ht="15" customHeight="1" s="122">
      <c r="A775" s="179" t="inlineStr">
        <is>
          <t>KBB 103Q</t>
        </is>
      </c>
      <c r="B775" s="180" t="n">
        <v>46205.73516203704</v>
      </c>
      <c r="C775" s="180" t="n">
        <v>46205.73828703703</v>
      </c>
      <c r="D775" s="173" t="inlineStr">
        <is>
          <t>0.7 Km</t>
        </is>
      </c>
      <c r="E775" s="181" t="n">
        <v>10</v>
      </c>
      <c r="F775" s="182" t="n">
        <v>23</v>
      </c>
      <c r="G775" s="172" t="inlineStr">
        <is>
          <t>No</t>
        </is>
      </c>
      <c r="H775" s="170">
        <f>IF(A775="","",IF(OR(NOT(ISNUMBER(C775)),C775=""),"No",IF(AND(HOUR(C775)&gt;=0,HOUR(C775)&lt;5),"Yes","No")))</f>
        <v/>
      </c>
      <c r="I775" s="183">
        <f>IF(OR(B775="",NOT(ISNUMBER(B775))),"",INT(B775))</f>
        <v/>
      </c>
    </row>
    <row r="776" ht="15" customHeight="1" s="122">
      <c r="A776" s="179" t="inlineStr">
        <is>
          <t>KBB 103Q</t>
        </is>
      </c>
      <c r="B776" s="180" t="n">
        <v>46205.74057870371</v>
      </c>
      <c r="C776" s="180" t="n">
        <v>46205.74127314815</v>
      </c>
      <c r="D776" s="173" t="inlineStr">
        <is>
          <t>0.04 Km</t>
        </is>
      </c>
      <c r="E776" s="181" t="n">
        <v>7</v>
      </c>
      <c r="F776" s="182" t="n">
        <v>7</v>
      </c>
      <c r="G776" s="172" t="inlineStr">
        <is>
          <t>No</t>
        </is>
      </c>
      <c r="H776" s="170">
        <f>IF(A776="","",IF(OR(NOT(ISNUMBER(C776)),C776=""),"No",IF(AND(HOUR(C776)&gt;=0,HOUR(C776)&lt;5),"Yes","No")))</f>
        <v/>
      </c>
      <c r="I776" s="183">
        <f>IF(OR(B776="",NOT(ISNUMBER(B776))),"",INT(B776))</f>
        <v/>
      </c>
    </row>
    <row r="777" ht="15" customHeight="1" s="122">
      <c r="A777" s="179" t="inlineStr">
        <is>
          <t>KBB 103Q</t>
        </is>
      </c>
      <c r="B777" s="180" t="n">
        <v>46205.91409722222</v>
      </c>
      <c r="C777" s="180" t="n">
        <v>46205.93236111111</v>
      </c>
      <c r="D777" s="173" t="inlineStr">
        <is>
          <t>17.59 Km</t>
        </is>
      </c>
      <c r="E777" s="181" t="n">
        <v>42</v>
      </c>
      <c r="F777" s="182" t="n">
        <v>75</v>
      </c>
      <c r="G777" s="172" t="inlineStr">
        <is>
          <t>Yes</t>
        </is>
      </c>
      <c r="H777" s="170">
        <f>IF(A777="","",IF(OR(NOT(ISNUMBER(C777)),C777=""),"No",IF(AND(HOUR(C777)&gt;=0,HOUR(C777)&lt;5),"Yes","No")))</f>
        <v/>
      </c>
      <c r="I777" s="183">
        <f>IF(OR(B777="",NOT(ISNUMBER(B777))),"",INT(B777))</f>
        <v/>
      </c>
    </row>
    <row r="778" ht="15" customHeight="1" s="122">
      <c r="A778" s="179" t="inlineStr">
        <is>
          <t>KBB 103Q</t>
        </is>
      </c>
      <c r="B778" s="180" t="n">
        <v>46236.43925925926</v>
      </c>
      <c r="C778" s="180" t="n">
        <v>46236.43997685185</v>
      </c>
      <c r="D778" s="173" t="inlineStr">
        <is>
          <t>0 Km</t>
        </is>
      </c>
      <c r="E778" s="181" t="n">
        <v>8</v>
      </c>
      <c r="F778" s="182" t="n">
        <v>8</v>
      </c>
      <c r="G778" s="172" t="inlineStr">
        <is>
          <t>No</t>
        </is>
      </c>
      <c r="H778" s="170">
        <f>IF(A778="","",IF(OR(NOT(ISNUMBER(C778)),C778=""),"No",IF(AND(HOUR(C778)&gt;=0,HOUR(C778)&lt;5),"Yes","No")))</f>
        <v/>
      </c>
      <c r="I778" s="183">
        <f>IF(OR(B778="",NOT(ISNUMBER(B778))),"",INT(B778))</f>
        <v/>
      </c>
    </row>
    <row r="779" ht="15" customHeight="1" s="122">
      <c r="A779" s="179" t="inlineStr">
        <is>
          <t>KBB 103Q</t>
        </is>
      </c>
      <c r="B779" s="180" t="n">
        <v>46236.4407175926</v>
      </c>
      <c r="C779" s="180" t="n">
        <v>46236.4418287037</v>
      </c>
      <c r="D779" s="173" t="inlineStr">
        <is>
          <t>0.08 Km</t>
        </is>
      </c>
      <c r="E779" s="181" t="n">
        <v>8</v>
      </c>
      <c r="F779" s="182" t="n">
        <v>9</v>
      </c>
      <c r="G779" s="172" t="inlineStr">
        <is>
          <t>No</t>
        </is>
      </c>
      <c r="H779" s="170">
        <f>IF(A779="","",IF(OR(NOT(ISNUMBER(C779)),C779=""),"No",IF(AND(HOUR(C779)&gt;=0,HOUR(C779)&lt;5),"Yes","No")))</f>
        <v/>
      </c>
      <c r="I779" s="183">
        <f>IF(OR(B779="",NOT(ISNUMBER(B779))),"",INT(B779))</f>
        <v/>
      </c>
    </row>
    <row r="780" ht="15" customHeight="1" s="122">
      <c r="A780" s="179" t="inlineStr">
        <is>
          <t>KBB 103Q</t>
        </is>
      </c>
      <c r="B780" s="180" t="n">
        <v>46236.44369212963</v>
      </c>
      <c r="C780" s="180" t="n">
        <v>46236.44516203704</v>
      </c>
      <c r="D780" s="173" t="inlineStr">
        <is>
          <t>0.23 Km</t>
        </is>
      </c>
      <c r="E780" s="181" t="n">
        <v>10</v>
      </c>
      <c r="F780" s="182" t="n">
        <v>16</v>
      </c>
      <c r="G780" s="172" t="inlineStr">
        <is>
          <t>No</t>
        </is>
      </c>
      <c r="H780" s="170">
        <f>IF(A780="","",IF(OR(NOT(ISNUMBER(C780)),C780=""),"No",IF(AND(HOUR(C780)&gt;=0,HOUR(C780)&lt;5),"Yes","No")))</f>
        <v/>
      </c>
      <c r="I780" s="183">
        <f>IF(OR(B780="",NOT(ISNUMBER(B780))),"",INT(B780))</f>
        <v/>
      </c>
    </row>
    <row r="781" ht="15" customHeight="1" s="122">
      <c r="A781" s="179" t="inlineStr">
        <is>
          <t>KBB 103Q</t>
        </is>
      </c>
      <c r="B781" s="180" t="n">
        <v>46236.45413194445</v>
      </c>
      <c r="C781" s="180" t="n">
        <v>46236.45645833333</v>
      </c>
      <c r="D781" s="173" t="inlineStr">
        <is>
          <t>0.39 Km</t>
        </is>
      </c>
      <c r="E781" s="181" t="n">
        <v>8</v>
      </c>
      <c r="F781" s="182" t="n">
        <v>18</v>
      </c>
      <c r="G781" s="172" t="inlineStr">
        <is>
          <t>No</t>
        </is>
      </c>
      <c r="H781" s="170">
        <f>IF(A781="","",IF(OR(NOT(ISNUMBER(C781)),C781=""),"No",IF(AND(HOUR(C781)&gt;=0,HOUR(C781)&lt;5),"Yes","No")))</f>
        <v/>
      </c>
      <c r="I781" s="183">
        <f>IF(OR(B781="",NOT(ISNUMBER(B781))),"",INT(B781))</f>
        <v/>
      </c>
    </row>
    <row r="782" ht="15" customHeight="1" s="122">
      <c r="A782" s="179" t="inlineStr">
        <is>
          <t>KBB 103Q</t>
        </is>
      </c>
      <c r="B782" s="180" t="n">
        <v>46236.45658564815</v>
      </c>
      <c r="C782" s="180" t="n">
        <v>46236.45681712963</v>
      </c>
      <c r="D782" s="173" t="inlineStr">
        <is>
          <t>0.01 Km</t>
        </is>
      </c>
      <c r="E782" s="181" t="n">
        <v>7</v>
      </c>
      <c r="F782" s="182" t="n">
        <v>7</v>
      </c>
      <c r="G782" s="172" t="inlineStr">
        <is>
          <t>No</t>
        </is>
      </c>
      <c r="H782" s="170">
        <f>IF(A782="","",IF(OR(NOT(ISNUMBER(C782)),C782=""),"No",IF(AND(HOUR(C782)&gt;=0,HOUR(C782)&lt;5),"Yes","No")))</f>
        <v/>
      </c>
      <c r="I782" s="183">
        <f>IF(OR(B782="",NOT(ISNUMBER(B782))),"",INT(B782))</f>
        <v/>
      </c>
    </row>
    <row r="783" ht="15" customHeight="1" s="122">
      <c r="A783" s="179" t="inlineStr">
        <is>
          <t>KBB 103Q</t>
        </is>
      </c>
      <c r="B783" s="180" t="n">
        <v>46236.45887731481</v>
      </c>
      <c r="C783" s="180" t="n">
        <v>46236.45927083334</v>
      </c>
      <c r="D783" s="173" t="inlineStr">
        <is>
          <t>0.05 Km</t>
        </is>
      </c>
      <c r="E783" s="181" t="n">
        <v>9</v>
      </c>
      <c r="F783" s="182" t="n">
        <v>16</v>
      </c>
      <c r="G783" s="172" t="inlineStr">
        <is>
          <t>No</t>
        </is>
      </c>
      <c r="H783" s="170">
        <f>IF(A783="","",IF(OR(NOT(ISNUMBER(C783)),C783=""),"No",IF(AND(HOUR(C783)&gt;=0,HOUR(C783)&lt;5),"Yes","No")))</f>
        <v/>
      </c>
      <c r="I783" s="183">
        <f>IF(OR(B783="",NOT(ISNUMBER(B783))),"",INT(B783))</f>
        <v/>
      </c>
    </row>
    <row r="784" ht="15" customHeight="1" s="122">
      <c r="A784" s="179" t="inlineStr">
        <is>
          <t>KBB 103Q</t>
        </is>
      </c>
      <c r="B784" s="180" t="n">
        <v>46236.68833333333</v>
      </c>
      <c r="C784" s="180" t="n">
        <v>46236.69358796296</v>
      </c>
      <c r="D784" s="173" t="inlineStr">
        <is>
          <t>3.42 Km</t>
        </is>
      </c>
      <c r="E784" s="181" t="n">
        <v>23</v>
      </c>
      <c r="F784" s="182" t="n">
        <v>75</v>
      </c>
      <c r="G784" s="172" t="inlineStr">
        <is>
          <t>No</t>
        </is>
      </c>
      <c r="H784" s="170">
        <f>IF(A784="","",IF(OR(NOT(ISNUMBER(C784)),C784=""),"No",IF(AND(HOUR(C784)&gt;=0,HOUR(C784)&lt;5),"Yes","No")))</f>
        <v/>
      </c>
      <c r="I784" s="183">
        <f>IF(OR(B784="",NOT(ISNUMBER(B784))),"",INT(B784))</f>
        <v/>
      </c>
    </row>
    <row r="785" ht="15" customHeight="1" s="122">
      <c r="A785" s="179" t="inlineStr">
        <is>
          <t>KBB 103Q</t>
        </is>
      </c>
      <c r="B785" s="180" t="n">
        <v>46236.69438657408</v>
      </c>
      <c r="C785" s="180" t="n">
        <v>46236.73660879629</v>
      </c>
      <c r="D785" s="173" t="inlineStr">
        <is>
          <t>27.73 Km</t>
        </is>
      </c>
      <c r="E785" s="181" t="n">
        <v>28</v>
      </c>
      <c r="F785" s="182" t="n">
        <v>76</v>
      </c>
      <c r="G785" s="172" t="inlineStr">
        <is>
          <t>No</t>
        </is>
      </c>
      <c r="H785" s="170">
        <f>IF(A785="","",IF(OR(NOT(ISNUMBER(C785)),C785=""),"No",IF(AND(HOUR(C785)&gt;=0,HOUR(C785)&lt;5),"Yes","No")))</f>
        <v/>
      </c>
      <c r="I785" s="183">
        <f>IF(OR(B785="",NOT(ISNUMBER(B785))),"",INT(B785))</f>
        <v/>
      </c>
    </row>
    <row r="786" ht="15" customHeight="1" s="122">
      <c r="A786" s="179" t="inlineStr">
        <is>
          <t>KBB 103Q</t>
        </is>
      </c>
      <c r="B786" s="180" t="n">
        <v>46236.73854166667</v>
      </c>
      <c r="C786" s="180" t="n">
        <v>46236.76849537037</v>
      </c>
      <c r="D786" s="173" t="inlineStr">
        <is>
          <t>18.66 Km</t>
        </is>
      </c>
      <c r="E786" s="181" t="n">
        <v>26</v>
      </c>
      <c r="F786" s="182" t="n">
        <v>76</v>
      </c>
      <c r="G786" s="172" t="inlineStr">
        <is>
          <t>No</t>
        </is>
      </c>
      <c r="H786" s="170">
        <f>IF(A786="","",IF(OR(NOT(ISNUMBER(C786)),C786=""),"No",IF(AND(HOUR(C786)&gt;=0,HOUR(C786)&lt;5),"Yes","No")))</f>
        <v/>
      </c>
      <c r="I786" s="183">
        <f>IF(OR(B786="",NOT(ISNUMBER(B786))),"",INT(B786))</f>
        <v/>
      </c>
    </row>
    <row r="787" ht="15" customHeight="1" s="122">
      <c r="A787" s="179" t="inlineStr">
        <is>
          <t>KBB 103Q</t>
        </is>
      </c>
      <c r="B787" s="180" t="n">
        <v>46236.76924768519</v>
      </c>
      <c r="C787" s="180" t="n">
        <v>46236.77015046297</v>
      </c>
      <c r="D787" s="173" t="inlineStr">
        <is>
          <t>0.08 Km</t>
        </is>
      </c>
      <c r="E787" s="181" t="n">
        <v>9</v>
      </c>
      <c r="F787" s="182" t="n">
        <v>16</v>
      </c>
      <c r="G787" s="172" t="inlineStr">
        <is>
          <t>No</t>
        </is>
      </c>
      <c r="H787" s="170">
        <f>IF(A787="","",IF(OR(NOT(ISNUMBER(C787)),C787=""),"No",IF(AND(HOUR(C787)&gt;=0,HOUR(C787)&lt;5),"Yes","No")))</f>
        <v/>
      </c>
      <c r="I787" s="183">
        <f>IF(OR(B787="",NOT(ISNUMBER(B787))),"",INT(B787))</f>
        <v/>
      </c>
    </row>
    <row r="788" ht="15" customHeight="1" s="122">
      <c r="A788" s="179" t="inlineStr">
        <is>
          <t>KBB 103Q</t>
        </is>
      </c>
      <c r="B788" s="180" t="n">
        <v>46236.78427083333</v>
      </c>
      <c r="C788" s="180" t="n">
        <v>46236.78511574074</v>
      </c>
      <c r="D788" s="173" t="inlineStr">
        <is>
          <t>0.09 Km</t>
        </is>
      </c>
      <c r="E788" s="181" t="n">
        <v>7</v>
      </c>
      <c r="F788" s="182" t="n">
        <v>9</v>
      </c>
      <c r="G788" s="172" t="inlineStr">
        <is>
          <t>No</t>
        </is>
      </c>
      <c r="H788" s="170">
        <f>IF(A788="","",IF(OR(NOT(ISNUMBER(C788)),C788=""),"No",IF(AND(HOUR(C788)&gt;=0,HOUR(C788)&lt;5),"Yes","No")))</f>
        <v/>
      </c>
      <c r="I788" s="183">
        <f>IF(OR(B788="",NOT(ISNUMBER(B788))),"",INT(B788))</f>
        <v/>
      </c>
    </row>
    <row r="789" ht="15" customHeight="1" s="122">
      <c r="A789" s="179" t="inlineStr">
        <is>
          <t>KBB 103Q</t>
        </is>
      </c>
      <c r="B789" s="180" t="n">
        <v>46236.79415509259</v>
      </c>
      <c r="C789" s="180" t="n">
        <v>46236.79416666667</v>
      </c>
      <c r="D789" s="173" t="inlineStr">
        <is>
          <t>0 Km</t>
        </is>
      </c>
      <c r="E789" s="181" t="n">
        <v>6</v>
      </c>
      <c r="F789" s="182" t="n">
        <v>6</v>
      </c>
      <c r="G789" s="172" t="inlineStr">
        <is>
          <t>No</t>
        </is>
      </c>
      <c r="H789" s="170">
        <f>IF(A789="","",IF(OR(NOT(ISNUMBER(C789)),C789=""),"No",IF(AND(HOUR(C789)&gt;=0,HOUR(C789)&lt;5),"Yes","No")))</f>
        <v/>
      </c>
      <c r="I789" s="183">
        <f>IF(OR(B789="",NOT(ISNUMBER(B789))),"",INT(B789))</f>
        <v/>
      </c>
    </row>
    <row r="790" ht="15" customHeight="1" s="122">
      <c r="A790" s="179" t="inlineStr">
        <is>
          <t>KBB 103Q</t>
        </is>
      </c>
      <c r="B790" s="180" t="n">
        <v>46236.79708333333</v>
      </c>
      <c r="C790" s="180" t="n">
        <v>46236.79998842593</v>
      </c>
      <c r="D790" s="173" t="inlineStr">
        <is>
          <t>0.17 Km</t>
        </is>
      </c>
      <c r="E790" s="181" t="n">
        <v>7</v>
      </c>
      <c r="F790" s="182" t="n">
        <v>14</v>
      </c>
      <c r="G790" s="172" t="inlineStr">
        <is>
          <t>No</t>
        </is>
      </c>
      <c r="H790" s="170">
        <f>IF(A790="","",IF(OR(NOT(ISNUMBER(C790)),C790=""),"No",IF(AND(HOUR(C790)&gt;=0,HOUR(C790)&lt;5),"Yes","No")))</f>
        <v/>
      </c>
      <c r="I790" s="183">
        <f>IF(OR(B790="",NOT(ISNUMBER(B790))),"",INT(B790))</f>
        <v/>
      </c>
    </row>
    <row r="791" ht="15" customHeight="1" s="122">
      <c r="A791" s="179" t="inlineStr">
        <is>
          <t>KBB 103Q</t>
        </is>
      </c>
      <c r="B791" s="180" t="n">
        <v>46236.80032407407</v>
      </c>
      <c r="C791" s="180" t="n">
        <v>46236.80204861111</v>
      </c>
      <c r="D791" s="173" t="inlineStr">
        <is>
          <t>0.21 Km</t>
        </is>
      </c>
      <c r="E791" s="181" t="n">
        <v>8</v>
      </c>
      <c r="F791" s="182" t="n">
        <v>17</v>
      </c>
      <c r="G791" s="172" t="inlineStr">
        <is>
          <t>No</t>
        </is>
      </c>
      <c r="H791" s="170">
        <f>IF(A791="","",IF(OR(NOT(ISNUMBER(C791)),C791=""),"No",IF(AND(HOUR(C791)&gt;=0,HOUR(C791)&lt;5),"Yes","No")))</f>
        <v/>
      </c>
      <c r="I791" s="183">
        <f>IF(OR(B791="",NOT(ISNUMBER(B791))),"",INT(B791))</f>
        <v/>
      </c>
    </row>
    <row r="792" ht="15" customHeight="1" s="122">
      <c r="A792" s="179" t="inlineStr">
        <is>
          <t>KBB 103Q</t>
        </is>
      </c>
      <c r="B792" s="180" t="n">
        <v>46236.80215277777</v>
      </c>
      <c r="C792" s="180" t="n">
        <v>46236.80548611111</v>
      </c>
      <c r="D792" s="173" t="inlineStr">
        <is>
          <t>1.73 Km</t>
        </is>
      </c>
      <c r="E792" s="181" t="n">
        <v>21</v>
      </c>
      <c r="F792" s="182" t="n">
        <v>36</v>
      </c>
      <c r="G792" s="172" t="inlineStr">
        <is>
          <t>No</t>
        </is>
      </c>
      <c r="H792" s="170">
        <f>IF(A792="","",IF(OR(NOT(ISNUMBER(C792)),C792=""),"No",IF(AND(HOUR(C792)&gt;=0,HOUR(C792)&lt;5),"Yes","No")))</f>
        <v/>
      </c>
      <c r="I792" s="183">
        <f>IF(OR(B792="",NOT(ISNUMBER(B792))),"",INT(B792))</f>
        <v/>
      </c>
    </row>
    <row r="793" ht="15" customHeight="1" s="122">
      <c r="A793" s="179" t="inlineStr">
        <is>
          <t>KBB 103Q</t>
        </is>
      </c>
      <c r="B793" s="180" t="n">
        <v>46236.80770833333</v>
      </c>
      <c r="C793" s="180" t="n">
        <v>46236.8083912037</v>
      </c>
      <c r="D793" s="173" t="inlineStr">
        <is>
          <t>0.02 Km</t>
        </is>
      </c>
      <c r="E793" s="181" t="n">
        <v>6</v>
      </c>
      <c r="F793" s="182" t="n">
        <v>6</v>
      </c>
      <c r="G793" s="172" t="inlineStr">
        <is>
          <t>No</t>
        </is>
      </c>
      <c r="H793" s="170">
        <f>IF(A793="","",IF(OR(NOT(ISNUMBER(C793)),C793=""),"No",IF(AND(HOUR(C793)&gt;=0,HOUR(C793)&lt;5),"Yes","No")))</f>
        <v/>
      </c>
      <c r="I793" s="183">
        <f>IF(OR(B793="",NOT(ISNUMBER(B793))),"",INT(B793))</f>
        <v/>
      </c>
    </row>
    <row r="794" ht="15" customHeight="1" s="122">
      <c r="A794" s="179" t="inlineStr">
        <is>
          <t>KBB 103Q</t>
        </is>
      </c>
      <c r="B794" s="180" t="n">
        <v>46236.81482638889</v>
      </c>
      <c r="C794" s="180" t="n">
        <v>46236.81552083333</v>
      </c>
      <c r="D794" s="173" t="inlineStr">
        <is>
          <t>0 Km</t>
        </is>
      </c>
      <c r="E794" s="181" t="n">
        <v>7</v>
      </c>
      <c r="F794" s="182" t="n">
        <v>7</v>
      </c>
      <c r="G794" s="172" t="inlineStr">
        <is>
          <t>No</t>
        </is>
      </c>
      <c r="H794" s="170">
        <f>IF(A794="","",IF(OR(NOT(ISNUMBER(C794)),C794=""),"No",IF(AND(HOUR(C794)&gt;=0,HOUR(C794)&lt;5),"Yes","No")))</f>
        <v/>
      </c>
      <c r="I794" s="183">
        <f>IF(OR(B794="",NOT(ISNUMBER(B794))),"",INT(B794))</f>
        <v/>
      </c>
    </row>
    <row r="795" ht="15" customHeight="1" s="122">
      <c r="A795" s="179" t="inlineStr">
        <is>
          <t>KBB 103Q</t>
        </is>
      </c>
      <c r="B795" s="180" t="n">
        <v>46236.81707175926</v>
      </c>
      <c r="C795" s="180" t="n">
        <v>46236.81710648148</v>
      </c>
      <c r="D795" s="173" t="inlineStr">
        <is>
          <t>0 Km</t>
        </is>
      </c>
      <c r="E795" s="181" t="n">
        <v>10</v>
      </c>
      <c r="F795" s="182" t="n">
        <v>10</v>
      </c>
      <c r="G795" s="172" t="inlineStr">
        <is>
          <t>No</t>
        </is>
      </c>
      <c r="H795" s="170">
        <f>IF(A795="","",IF(OR(NOT(ISNUMBER(C795)),C795=""),"No",IF(AND(HOUR(C795)&gt;=0,HOUR(C795)&lt;5),"Yes","No")))</f>
        <v/>
      </c>
      <c r="I795" s="183">
        <f>IF(OR(B795="",NOT(ISNUMBER(B795))),"",INT(B795))</f>
        <v/>
      </c>
    </row>
    <row r="796" ht="15" customHeight="1" s="122">
      <c r="A796" s="179" t="inlineStr">
        <is>
          <t>KBB 103Q</t>
        </is>
      </c>
      <c r="B796" s="180" t="n">
        <v>46236.82211805556</v>
      </c>
      <c r="C796" s="180" t="n">
        <v>46236.8228125</v>
      </c>
      <c r="D796" s="173" t="inlineStr">
        <is>
          <t>0.01 Km</t>
        </is>
      </c>
      <c r="E796" s="181" t="n">
        <v>7</v>
      </c>
      <c r="F796" s="182" t="n">
        <v>7</v>
      </c>
      <c r="G796" s="172" t="inlineStr">
        <is>
          <t>No</t>
        </is>
      </c>
      <c r="H796" s="170">
        <f>IF(A796="","",IF(OR(NOT(ISNUMBER(C796)),C796=""),"No",IF(AND(HOUR(C796)&gt;=0,HOUR(C796)&lt;5),"Yes","No")))</f>
        <v/>
      </c>
      <c r="I796" s="183">
        <f>IF(OR(B796="",NOT(ISNUMBER(B796))),"",INT(B796))</f>
        <v/>
      </c>
    </row>
    <row r="797" ht="15" customHeight="1" s="122">
      <c r="A797" s="179" t="inlineStr">
        <is>
          <t>KBB 103Q</t>
        </is>
      </c>
      <c r="B797" s="180" t="n">
        <v>46236.83377314815</v>
      </c>
      <c r="C797" s="180" t="n">
        <v>46236.85802083334</v>
      </c>
      <c r="D797" s="173" t="inlineStr">
        <is>
          <t>22.64 Km</t>
        </is>
      </c>
      <c r="E797" s="181" t="n">
        <v>44</v>
      </c>
      <c r="F797" s="182" t="n">
        <v>74</v>
      </c>
      <c r="G797" s="172" t="inlineStr">
        <is>
          <t>No</t>
        </is>
      </c>
      <c r="H797" s="170">
        <f>IF(A797="","",IF(OR(NOT(ISNUMBER(C797)),C797=""),"No",IF(AND(HOUR(C797)&gt;=0,HOUR(C797)&lt;5),"Yes","No")))</f>
        <v/>
      </c>
      <c r="I797" s="183">
        <f>IF(OR(B797="",NOT(ISNUMBER(B797))),"",INT(B797))</f>
        <v/>
      </c>
    </row>
    <row r="798" ht="15" customHeight="1" s="122">
      <c r="A798" s="179" t="inlineStr">
        <is>
          <t>KBB 103Q</t>
        </is>
      </c>
      <c r="B798" s="180" t="n">
        <v>46236.91552083333</v>
      </c>
      <c r="C798" s="180" t="n">
        <v>46236.91622685185</v>
      </c>
      <c r="D798" s="173" t="inlineStr">
        <is>
          <t>0 Km</t>
        </is>
      </c>
      <c r="E798" s="181" t="n">
        <v>8</v>
      </c>
      <c r="F798" s="182" t="n">
        <v>8</v>
      </c>
      <c r="G798" s="172" t="inlineStr">
        <is>
          <t>No</t>
        </is>
      </c>
      <c r="H798" s="170">
        <f>IF(A798="","",IF(OR(NOT(ISNUMBER(C798)),C798=""),"No",IF(AND(HOUR(C798)&gt;=0,HOUR(C798)&lt;5),"Yes","No")))</f>
        <v/>
      </c>
      <c r="I798" s="183">
        <f>IF(OR(B798="",NOT(ISNUMBER(B798))),"",INT(B798))</f>
        <v/>
      </c>
    </row>
    <row r="799" ht="15" customHeight="1" s="122">
      <c r="A799" s="179" t="inlineStr">
        <is>
          <t>KBB 103Q</t>
        </is>
      </c>
      <c r="B799" s="180" t="n">
        <v>46236.91633101852</v>
      </c>
      <c r="C799" s="180" t="n">
        <v>46236.91792824074</v>
      </c>
      <c r="D799" s="173" t="inlineStr">
        <is>
          <t>0.02 Km</t>
        </is>
      </c>
      <c r="E799" s="181" t="n">
        <v>7</v>
      </c>
      <c r="F799" s="182" t="n">
        <v>10</v>
      </c>
      <c r="G799" s="172" t="inlineStr">
        <is>
          <t>Yes</t>
        </is>
      </c>
      <c r="H799" s="170">
        <f>IF(A799="","",IF(OR(NOT(ISNUMBER(C799)),C799=""),"No",IF(AND(HOUR(C799)&gt;=0,HOUR(C799)&lt;5),"Yes","No")))</f>
        <v/>
      </c>
      <c r="I799" s="183">
        <f>IF(OR(B799="",NOT(ISNUMBER(B799))),"",INT(B799))</f>
        <v/>
      </c>
    </row>
    <row r="800" ht="15" customHeight="1" s="122">
      <c r="A800" s="179" t="inlineStr">
        <is>
          <t>KBB 103Q</t>
        </is>
      </c>
      <c r="B800" s="180" t="n">
        <v>46236.9183912037</v>
      </c>
      <c r="C800" s="180" t="n">
        <v>46236.92858796296</v>
      </c>
      <c r="D800" s="173" t="inlineStr">
        <is>
          <t>10.31 Km</t>
        </is>
      </c>
      <c r="E800" s="181" t="n">
        <v>45</v>
      </c>
      <c r="F800" s="182" t="n">
        <v>69</v>
      </c>
      <c r="G800" s="172" t="inlineStr">
        <is>
          <t>Yes</t>
        </is>
      </c>
      <c r="H800" s="170">
        <f>IF(A800="","",IF(OR(NOT(ISNUMBER(C800)),C800=""),"No",IF(AND(HOUR(C800)&gt;=0,HOUR(C800)&lt;5),"Yes","No")))</f>
        <v/>
      </c>
      <c r="I800" s="183">
        <f>IF(OR(B800="",NOT(ISNUMBER(B800))),"",INT(B800))</f>
        <v/>
      </c>
    </row>
    <row r="801" ht="15" customHeight="1" s="122">
      <c r="A801" s="179" t="inlineStr">
        <is>
          <t>KBB 103Q</t>
        </is>
      </c>
      <c r="B801" s="180" t="n">
        <v>46236.92962962963</v>
      </c>
      <c r="C801" s="180" t="n">
        <v>46236.95858796296</v>
      </c>
      <c r="D801" s="173" t="inlineStr">
        <is>
          <t>32.51 Km</t>
        </is>
      </c>
      <c r="E801" s="181" t="n">
        <v>47</v>
      </c>
      <c r="F801" s="182" t="n">
        <v>75</v>
      </c>
      <c r="G801" s="172" t="inlineStr">
        <is>
          <t>Yes</t>
        </is>
      </c>
      <c r="H801" s="170">
        <f>IF(A801="","",IF(OR(NOT(ISNUMBER(C801)),C801=""),"No",IF(AND(HOUR(C801)&gt;=0,HOUR(C801)&lt;5),"Yes","No")))</f>
        <v/>
      </c>
      <c r="I801" s="183">
        <f>IF(OR(B801="",NOT(ISNUMBER(B801))),"",INT(B801))</f>
        <v/>
      </c>
    </row>
    <row r="802" ht="15" customHeight="1" s="122">
      <c r="A802" s="179" t="inlineStr">
        <is>
          <t>KBB 103Q</t>
        </is>
      </c>
      <c r="B802" s="180" t="n">
        <v>46267.85528935185</v>
      </c>
      <c r="C802" s="180" t="n">
        <v>46267.85594907407</v>
      </c>
      <c r="D802" s="173" t="inlineStr">
        <is>
          <t>0.08 Km</t>
        </is>
      </c>
      <c r="E802" s="181" t="n">
        <v>8</v>
      </c>
      <c r="F802" s="182" t="n">
        <v>11</v>
      </c>
      <c r="G802" s="172" t="inlineStr">
        <is>
          <t>No</t>
        </is>
      </c>
      <c r="H802" s="170">
        <f>IF(A802="","",IF(OR(NOT(ISNUMBER(C802)),C802=""),"No",IF(AND(HOUR(C802)&gt;=0,HOUR(C802)&lt;5),"Yes","No")))</f>
        <v/>
      </c>
      <c r="I802" s="183">
        <f>IF(OR(B802="",NOT(ISNUMBER(B802))),"",INT(B802))</f>
        <v/>
      </c>
    </row>
    <row r="803" ht="15" customHeight="1" s="122">
      <c r="A803" s="179" t="inlineStr">
        <is>
          <t>KBB 103Q</t>
        </is>
      </c>
      <c r="B803" s="180" t="n">
        <v>46267.86221064815</v>
      </c>
      <c r="C803" s="180" t="n">
        <v>46267.86354166667</v>
      </c>
      <c r="D803" s="173" t="inlineStr">
        <is>
          <t>0.18 Km</t>
        </is>
      </c>
      <c r="E803" s="181" t="n">
        <v>10</v>
      </c>
      <c r="F803" s="182" t="n">
        <v>16</v>
      </c>
      <c r="G803" s="172" t="inlineStr">
        <is>
          <t>No</t>
        </is>
      </c>
      <c r="H803" s="170">
        <f>IF(A803="","",IF(OR(NOT(ISNUMBER(C803)),C803=""),"No",IF(AND(HOUR(C803)&gt;=0,HOUR(C803)&lt;5),"Yes","No")))</f>
        <v/>
      </c>
      <c r="I803" s="183">
        <f>IF(OR(B803="",NOT(ISNUMBER(B803))),"",INT(B803))</f>
        <v/>
      </c>
    </row>
    <row r="804" ht="15" customHeight="1" s="122">
      <c r="A804" s="179" t="inlineStr">
        <is>
          <t>KBB 103Q</t>
        </is>
      </c>
      <c r="B804" s="180" t="n">
        <v>46267.86832175926</v>
      </c>
      <c r="C804" s="180" t="n">
        <v>46267.87200231481</v>
      </c>
      <c r="D804" s="173" t="inlineStr">
        <is>
          <t>0.42 Km</t>
        </is>
      </c>
      <c r="E804" s="181" t="n">
        <v>8</v>
      </c>
      <c r="F804" s="182" t="n">
        <v>12</v>
      </c>
      <c r="G804" s="172" t="inlineStr">
        <is>
          <t>No</t>
        </is>
      </c>
      <c r="H804" s="170">
        <f>IF(A804="","",IF(OR(NOT(ISNUMBER(C804)),C804=""),"No",IF(AND(HOUR(C804)&gt;=0,HOUR(C804)&lt;5),"Yes","No")))</f>
        <v/>
      </c>
      <c r="I804" s="183">
        <f>IF(OR(B804="",NOT(ISNUMBER(B804))),"",INT(B804))</f>
        <v/>
      </c>
    </row>
    <row r="805" ht="15" customHeight="1" s="122">
      <c r="A805" s="179" t="inlineStr">
        <is>
          <t>KBB 103Q</t>
        </is>
      </c>
      <c r="B805" s="180" t="n">
        <v>46297.37293981481</v>
      </c>
      <c r="C805" s="180" t="n">
        <v>46297.37368055555</v>
      </c>
      <c r="D805" s="173" t="inlineStr">
        <is>
          <t>0.01 Km</t>
        </is>
      </c>
      <c r="E805" s="181" t="n">
        <v>9</v>
      </c>
      <c r="F805" s="182" t="n">
        <v>9</v>
      </c>
      <c r="G805" s="172" t="inlineStr">
        <is>
          <t>No</t>
        </is>
      </c>
      <c r="H805" s="170">
        <f>IF(A805="","",IF(OR(NOT(ISNUMBER(C805)),C805=""),"No",IF(AND(HOUR(C805)&gt;=0,HOUR(C805)&lt;5),"Yes","No")))</f>
        <v/>
      </c>
      <c r="I805" s="183">
        <f>IF(OR(B805="",NOT(ISNUMBER(B805))),"",INT(B805))</f>
        <v/>
      </c>
    </row>
    <row r="806" ht="15" customHeight="1" s="122">
      <c r="A806" s="179" t="inlineStr">
        <is>
          <t>KBB 103Q</t>
        </is>
      </c>
      <c r="B806" s="180" t="n">
        <v>46297.37481481482</v>
      </c>
      <c r="C806" s="180" t="n">
        <v>46297.39755787037</v>
      </c>
      <c r="D806" s="173" t="inlineStr">
        <is>
          <t>16.65 Km</t>
        </is>
      </c>
      <c r="E806" s="181" t="n">
        <v>35</v>
      </c>
      <c r="F806" s="182" t="n">
        <v>76</v>
      </c>
      <c r="G806" s="172" t="inlineStr">
        <is>
          <t>No</t>
        </is>
      </c>
      <c r="H806" s="170">
        <f>IF(A806="","",IF(OR(NOT(ISNUMBER(C806)),C806=""),"No",IF(AND(HOUR(C806)&gt;=0,HOUR(C806)&lt;5),"Yes","No")))</f>
        <v/>
      </c>
      <c r="I806" s="183">
        <f>IF(OR(B806="",NOT(ISNUMBER(B806))),"",INT(B806))</f>
        <v/>
      </c>
    </row>
    <row r="807" ht="15" customHeight="1" s="122">
      <c r="A807" s="179" t="inlineStr">
        <is>
          <t>KBB 103Q</t>
        </is>
      </c>
      <c r="B807" s="180" t="n">
        <v>46297.39769675926</v>
      </c>
      <c r="C807" s="180" t="n">
        <v>46297.39820601852</v>
      </c>
      <c r="D807" s="173" t="inlineStr">
        <is>
          <t>0 Km</t>
        </is>
      </c>
      <c r="E807" s="181" t="n">
        <v>7</v>
      </c>
      <c r="F807" s="182" t="n">
        <v>7</v>
      </c>
      <c r="G807" s="172" t="inlineStr">
        <is>
          <t>No</t>
        </is>
      </c>
      <c r="H807" s="170">
        <f>IF(A807="","",IF(OR(NOT(ISNUMBER(C807)),C807=""),"No",IF(AND(HOUR(C807)&gt;=0,HOUR(C807)&lt;5),"Yes","No")))</f>
        <v/>
      </c>
      <c r="I807" s="183">
        <f>IF(OR(B807="",NOT(ISNUMBER(B807))),"",INT(B807))</f>
        <v/>
      </c>
    </row>
    <row r="808" ht="15" customHeight="1" s="122">
      <c r="A808" s="179" t="inlineStr">
        <is>
          <t>KBB 103Q</t>
        </is>
      </c>
      <c r="B808" s="180" t="n">
        <v>46297.53457175926</v>
      </c>
      <c r="C808" s="180" t="n">
        <v>46297.53902777778</v>
      </c>
      <c r="D808" s="173" t="inlineStr">
        <is>
          <t>0.75 Km</t>
        </is>
      </c>
      <c r="E808" s="181" t="n">
        <v>10</v>
      </c>
      <c r="F808" s="182" t="n">
        <v>34</v>
      </c>
      <c r="G808" s="172" t="inlineStr">
        <is>
          <t>No</t>
        </is>
      </c>
      <c r="H808" s="170">
        <f>IF(A808="","",IF(OR(NOT(ISNUMBER(C808)),C808=""),"No",IF(AND(HOUR(C808)&gt;=0,HOUR(C808)&lt;5),"Yes","No")))</f>
        <v/>
      </c>
      <c r="I808" s="183">
        <f>IF(OR(B808="",NOT(ISNUMBER(B808))),"",INT(B808))</f>
        <v/>
      </c>
    </row>
    <row r="809" ht="15" customHeight="1" s="122">
      <c r="A809" s="179" t="inlineStr">
        <is>
          <t>KBB 103Q</t>
        </is>
      </c>
      <c r="B809" s="180" t="n">
        <v>46297.54320601852</v>
      </c>
      <c r="C809" s="180" t="n">
        <v>46297.54576388889</v>
      </c>
      <c r="D809" s="173" t="inlineStr">
        <is>
          <t>0.38 Km</t>
        </is>
      </c>
      <c r="E809" s="181" t="n">
        <v>6</v>
      </c>
      <c r="F809" s="182" t="n">
        <v>6</v>
      </c>
      <c r="G809" s="172" t="inlineStr">
        <is>
          <t>No</t>
        </is>
      </c>
      <c r="H809" s="170">
        <f>IF(A809="","",IF(OR(NOT(ISNUMBER(C809)),C809=""),"No",IF(AND(HOUR(C809)&gt;=0,HOUR(C809)&lt;5),"Yes","No")))</f>
        <v/>
      </c>
      <c r="I809" s="183">
        <f>IF(OR(B809="",NOT(ISNUMBER(B809))),"",INT(B809))</f>
        <v/>
      </c>
    </row>
    <row r="810" ht="15" customHeight="1" s="122">
      <c r="A810" s="179" t="inlineStr">
        <is>
          <t>KBB 103Q</t>
        </is>
      </c>
      <c r="B810" s="180" t="n">
        <v>46297.54752314815</v>
      </c>
      <c r="C810" s="180" t="n">
        <v>46297.57005787037</v>
      </c>
      <c r="D810" s="173" t="inlineStr">
        <is>
          <t>23.6 Km</t>
        </is>
      </c>
      <c r="E810" s="181" t="n">
        <v>46</v>
      </c>
      <c r="F810" s="182" t="n">
        <v>76</v>
      </c>
      <c r="G810" s="172" t="inlineStr">
        <is>
          <t>No</t>
        </is>
      </c>
      <c r="H810" s="170">
        <f>IF(A810="","",IF(OR(NOT(ISNUMBER(C810)),C810=""),"No",IF(AND(HOUR(C810)&gt;=0,HOUR(C810)&lt;5),"Yes","No")))</f>
        <v/>
      </c>
      <c r="I810" s="183">
        <f>IF(OR(B810="",NOT(ISNUMBER(B810))),"",INT(B810))</f>
        <v/>
      </c>
    </row>
    <row r="811" ht="15" customHeight="1" s="122">
      <c r="A811" s="179" t="inlineStr">
        <is>
          <t>KBB 103Q</t>
        </is>
      </c>
      <c r="B811" s="180" t="n">
        <v>46297.57651620371</v>
      </c>
      <c r="C811" s="180" t="n">
        <v>46297.57988425926</v>
      </c>
      <c r="D811" s="173" t="inlineStr">
        <is>
          <t>1.97 Km</t>
        </is>
      </c>
      <c r="E811" s="181" t="n">
        <v>25</v>
      </c>
      <c r="F811" s="182" t="n">
        <v>49</v>
      </c>
      <c r="G811" s="172" t="inlineStr">
        <is>
          <t>No</t>
        </is>
      </c>
      <c r="H811" s="170">
        <f>IF(A811="","",IF(OR(NOT(ISNUMBER(C811)),C811=""),"No",IF(AND(HOUR(C811)&gt;=0,HOUR(C811)&lt;5),"Yes","No")))</f>
        <v/>
      </c>
      <c r="I811" s="183">
        <f>IF(OR(B811="",NOT(ISNUMBER(B811))),"",INT(B811))</f>
        <v/>
      </c>
    </row>
    <row r="812" ht="15" customHeight="1" s="122">
      <c r="A812" s="179" t="inlineStr">
        <is>
          <t>KBB 103Q</t>
        </is>
      </c>
      <c r="B812" s="180" t="n">
        <v>46297.58208333333</v>
      </c>
      <c r="C812" s="180" t="n">
        <v>46297.58278935185</v>
      </c>
      <c r="D812" s="173" t="inlineStr">
        <is>
          <t>0 Km</t>
        </is>
      </c>
      <c r="E812" s="181" t="n">
        <v>6</v>
      </c>
      <c r="F812" s="182" t="n">
        <v>6</v>
      </c>
      <c r="G812" s="172" t="inlineStr">
        <is>
          <t>No</t>
        </is>
      </c>
      <c r="H812" s="170">
        <f>IF(A812="","",IF(OR(NOT(ISNUMBER(C812)),C812=""),"No",IF(AND(HOUR(C812)&gt;=0,HOUR(C812)&lt;5),"Yes","No")))</f>
        <v/>
      </c>
      <c r="I812" s="183">
        <f>IF(OR(B812="",NOT(ISNUMBER(B812))),"",INT(B812))</f>
        <v/>
      </c>
    </row>
    <row r="813" ht="15" customHeight="1" s="122">
      <c r="A813" s="179" t="inlineStr">
        <is>
          <t>KBB 103Q</t>
        </is>
      </c>
      <c r="B813" s="180" t="n">
        <v>46297.58497685185</v>
      </c>
      <c r="C813" s="180" t="n">
        <v>46297.58549768518</v>
      </c>
      <c r="D813" s="173" t="inlineStr">
        <is>
          <t>0 Km</t>
        </is>
      </c>
      <c r="E813" s="181" t="n">
        <v>7</v>
      </c>
      <c r="F813" s="182" t="n">
        <v>7</v>
      </c>
      <c r="G813" s="172" t="inlineStr">
        <is>
          <t>No</t>
        </is>
      </c>
      <c r="H813" s="170">
        <f>IF(A813="","",IF(OR(NOT(ISNUMBER(C813)),C813=""),"No",IF(AND(HOUR(C813)&gt;=0,HOUR(C813)&lt;5),"Yes","No")))</f>
        <v/>
      </c>
      <c r="I813" s="183">
        <f>IF(OR(B813="",NOT(ISNUMBER(B813))),"",INT(B813))</f>
        <v/>
      </c>
    </row>
    <row r="814" ht="15" customHeight="1" s="122">
      <c r="A814" s="179" t="inlineStr">
        <is>
          <t>KBB 103Q</t>
        </is>
      </c>
      <c r="B814" s="180" t="n">
        <v>46297.58710648148</v>
      </c>
      <c r="C814" s="180" t="n">
        <v>46297.58760416666</v>
      </c>
      <c r="D814" s="173" t="inlineStr">
        <is>
          <t>0.24 Km</t>
        </is>
      </c>
      <c r="E814" s="181" t="n">
        <v>16</v>
      </c>
      <c r="F814" s="182" t="n">
        <v>28</v>
      </c>
      <c r="G814" s="172" t="inlineStr">
        <is>
          <t>No</t>
        </is>
      </c>
      <c r="H814" s="170">
        <f>IF(A814="","",IF(OR(NOT(ISNUMBER(C814)),C814=""),"No",IF(AND(HOUR(C814)&gt;=0,HOUR(C814)&lt;5),"Yes","No")))</f>
        <v/>
      </c>
      <c r="I814" s="183">
        <f>IF(OR(B814="",NOT(ISNUMBER(B814))),"",INT(B814))</f>
        <v/>
      </c>
    </row>
    <row r="815" ht="15" customHeight="1" s="122">
      <c r="A815" s="179" t="inlineStr">
        <is>
          <t>KBB 103Q</t>
        </is>
      </c>
      <c r="B815" s="180" t="n">
        <v>46297.5903125</v>
      </c>
      <c r="C815" s="180" t="n">
        <v>46297.60921296296</v>
      </c>
      <c r="D815" s="173" t="inlineStr">
        <is>
          <t>19.8 Km</t>
        </is>
      </c>
      <c r="E815" s="181" t="n">
        <v>44</v>
      </c>
      <c r="F815" s="182" t="n">
        <v>79</v>
      </c>
      <c r="G815" s="172" t="inlineStr">
        <is>
          <t>No</t>
        </is>
      </c>
      <c r="H815" s="170">
        <f>IF(A815="","",IF(OR(NOT(ISNUMBER(C815)),C815=""),"No",IF(AND(HOUR(C815)&gt;=0,HOUR(C815)&lt;5),"Yes","No")))</f>
        <v/>
      </c>
      <c r="I815" s="183">
        <f>IF(OR(B815="",NOT(ISNUMBER(B815))),"",INT(B815))</f>
        <v/>
      </c>
    </row>
    <row r="816" ht="15" customHeight="1" s="122">
      <c r="A816" s="179" t="inlineStr">
        <is>
          <t>KBB 103Q</t>
        </is>
      </c>
      <c r="B816" s="180" t="n">
        <v>46297.68008101852</v>
      </c>
      <c r="C816" s="180" t="n">
        <v>46297.68015046296</v>
      </c>
      <c r="D816" s="173" t="inlineStr">
        <is>
          <t>0.01 Km</t>
        </is>
      </c>
      <c r="E816" s="181" t="n">
        <v>9</v>
      </c>
      <c r="F816" s="182" t="n">
        <v>12</v>
      </c>
      <c r="G816" s="172" t="inlineStr">
        <is>
          <t>No</t>
        </is>
      </c>
      <c r="H816" s="170">
        <f>IF(A816="","",IF(OR(NOT(ISNUMBER(C816)),C816=""),"No",IF(AND(HOUR(C816)&gt;=0,HOUR(C816)&lt;5),"Yes","No")))</f>
        <v/>
      </c>
      <c r="I816" s="183">
        <f>IF(OR(B816="",NOT(ISNUMBER(B816))),"",INT(B816))</f>
        <v/>
      </c>
    </row>
    <row r="817" ht="15" customHeight="1" s="122">
      <c r="A817" s="179" t="inlineStr">
        <is>
          <t>KBB 103Q</t>
        </is>
      </c>
      <c r="B817" s="180" t="n">
        <v>46297.68164351852</v>
      </c>
      <c r="C817" s="180" t="n">
        <v>46297.68238425926</v>
      </c>
      <c r="D817" s="173" t="inlineStr">
        <is>
          <t>0 Km</t>
        </is>
      </c>
      <c r="E817" s="181" t="n">
        <v>7</v>
      </c>
      <c r="F817" s="182" t="n">
        <v>7</v>
      </c>
      <c r="G817" s="172" t="inlineStr">
        <is>
          <t>No</t>
        </is>
      </c>
      <c r="H817" s="170">
        <f>IF(A817="","",IF(OR(NOT(ISNUMBER(C817)),C817=""),"No",IF(AND(HOUR(C817)&gt;=0,HOUR(C817)&lt;5),"Yes","No")))</f>
        <v/>
      </c>
      <c r="I817" s="183">
        <f>IF(OR(B817="",NOT(ISNUMBER(B817))),"",INT(B817))</f>
        <v/>
      </c>
    </row>
    <row r="818" ht="15" customHeight="1" s="122">
      <c r="A818" s="179" t="inlineStr">
        <is>
          <t>KBB 103Q</t>
        </is>
      </c>
      <c r="B818" s="180" t="n">
        <v>46297.77158564814</v>
      </c>
      <c r="C818" s="180" t="n">
        <v>46297.7716087963</v>
      </c>
      <c r="D818" s="173" t="inlineStr">
        <is>
          <t>0 Km</t>
        </is>
      </c>
      <c r="E818" s="181" t="n">
        <v>7</v>
      </c>
      <c r="F818" s="182" t="n">
        <v>7</v>
      </c>
      <c r="G818" s="172" t="inlineStr">
        <is>
          <t>No</t>
        </is>
      </c>
      <c r="H818" s="170">
        <f>IF(A818="","",IF(OR(NOT(ISNUMBER(C818)),C818=""),"No",IF(AND(HOUR(C818)&gt;=0,HOUR(C818)&lt;5),"Yes","No")))</f>
        <v/>
      </c>
      <c r="I818" s="183">
        <f>IF(OR(B818="",NOT(ISNUMBER(B818))),"",INT(B818))</f>
        <v/>
      </c>
    </row>
    <row r="819" ht="15" customHeight="1" s="122">
      <c r="A819" s="179" t="inlineStr">
        <is>
          <t>KBB 103Q</t>
        </is>
      </c>
      <c r="B819" s="180" t="n">
        <v>46297.773125</v>
      </c>
      <c r="C819" s="180" t="n">
        <v>46297.79597222222</v>
      </c>
      <c r="D819" s="173" t="inlineStr">
        <is>
          <t>19.64 Km</t>
        </is>
      </c>
      <c r="E819" s="181" t="n">
        <v>40</v>
      </c>
      <c r="F819" s="182" t="n">
        <v>69</v>
      </c>
      <c r="G819" s="172" t="inlineStr">
        <is>
          <t>No</t>
        </is>
      </c>
      <c r="H819" s="170">
        <f>IF(A819="","",IF(OR(NOT(ISNUMBER(C819)),C819=""),"No",IF(AND(HOUR(C819)&gt;=0,HOUR(C819)&lt;5),"Yes","No")))</f>
        <v/>
      </c>
      <c r="I819" s="183">
        <f>IF(OR(B819="",NOT(ISNUMBER(B819))),"",INT(B819))</f>
        <v/>
      </c>
    </row>
    <row r="820" ht="15" customHeight="1" s="122">
      <c r="A820" s="179" t="inlineStr">
        <is>
          <t>KBB 103Q</t>
        </is>
      </c>
      <c r="B820" s="180" t="n">
        <v>46297.79752314815</v>
      </c>
      <c r="C820" s="180" t="n">
        <v>46297.79959490741</v>
      </c>
      <c r="D820" s="173" t="inlineStr">
        <is>
          <t>0.58 Km</t>
        </is>
      </c>
      <c r="E820" s="181" t="n">
        <v>14</v>
      </c>
      <c r="F820" s="182" t="n">
        <v>32</v>
      </c>
      <c r="G820" s="172" t="inlineStr">
        <is>
          <t>No</t>
        </is>
      </c>
      <c r="H820" s="170">
        <f>IF(A820="","",IF(OR(NOT(ISNUMBER(C820)),C820=""),"No",IF(AND(HOUR(C820)&gt;=0,HOUR(C820)&lt;5),"Yes","No")))</f>
        <v/>
      </c>
      <c r="I820" s="183">
        <f>IF(OR(B820="",NOT(ISNUMBER(B820))),"",INT(B820))</f>
        <v/>
      </c>
    </row>
    <row r="821" ht="15" customHeight="1" s="122">
      <c r="A821" s="179" t="inlineStr">
        <is>
          <t>KBB 103Q</t>
        </is>
      </c>
      <c r="B821" s="180" t="n">
        <v>46297.80298611111</v>
      </c>
      <c r="C821" s="180" t="n">
        <v>46297.80299768518</v>
      </c>
      <c r="D821" s="173" t="inlineStr">
        <is>
          <t>0 Km</t>
        </is>
      </c>
      <c r="E821" s="181" t="n">
        <v>9</v>
      </c>
      <c r="F821" s="182" t="n">
        <v>9</v>
      </c>
      <c r="G821" s="172" t="inlineStr">
        <is>
          <t>No</t>
        </is>
      </c>
      <c r="H821" s="170">
        <f>IF(A821="","",IF(OR(NOT(ISNUMBER(C821)),C821=""),"No",IF(AND(HOUR(C821)&gt;=0,HOUR(C821)&lt;5),"Yes","No")))</f>
        <v/>
      </c>
      <c r="I821" s="183">
        <f>IF(OR(B821="",NOT(ISNUMBER(B821))),"",INT(B821))</f>
        <v/>
      </c>
    </row>
    <row r="822" ht="15" customHeight="1" s="122">
      <c r="A822" s="179" t="inlineStr">
        <is>
          <t>KBB 103Q</t>
        </is>
      </c>
      <c r="B822" s="180" t="n">
        <v>46297.80432870371</v>
      </c>
      <c r="C822" s="180" t="n">
        <v>46297.80677083333</v>
      </c>
      <c r="D822" s="173" t="inlineStr">
        <is>
          <t>0.39 Km</t>
        </is>
      </c>
      <c r="E822" s="181" t="n">
        <v>8</v>
      </c>
      <c r="F822" s="182" t="n">
        <v>18</v>
      </c>
      <c r="G822" s="172" t="inlineStr">
        <is>
          <t>No</t>
        </is>
      </c>
      <c r="H822" s="170">
        <f>IF(A822="","",IF(OR(NOT(ISNUMBER(C822)),C822=""),"No",IF(AND(HOUR(C822)&gt;=0,HOUR(C822)&lt;5),"Yes","No")))</f>
        <v/>
      </c>
      <c r="I822" s="183">
        <f>IF(OR(B822="",NOT(ISNUMBER(B822))),"",INT(B822))</f>
        <v/>
      </c>
    </row>
    <row r="823" ht="15" customHeight="1" s="122">
      <c r="A823" s="179" t="inlineStr">
        <is>
          <t>KBB 103Q</t>
        </is>
      </c>
      <c r="B823" s="180" t="n">
        <v>46297.85606481481</v>
      </c>
      <c r="C823" s="180" t="n">
        <v>46297.89599537037</v>
      </c>
      <c r="D823" s="173" t="inlineStr">
        <is>
          <t>42.88 Km</t>
        </is>
      </c>
      <c r="E823" s="181" t="n">
        <v>47</v>
      </c>
      <c r="F823" s="182" t="n">
        <v>73</v>
      </c>
      <c r="G823" s="172" t="inlineStr">
        <is>
          <t>No</t>
        </is>
      </c>
      <c r="H823" s="170">
        <f>IF(A823="","",IF(OR(NOT(ISNUMBER(C823)),C823=""),"No",IF(AND(HOUR(C823)&gt;=0,HOUR(C823)&lt;5),"Yes","No")))</f>
        <v/>
      </c>
      <c r="I823" s="183">
        <f>IF(OR(B823="",NOT(ISNUMBER(B823))),"",INT(B823))</f>
        <v/>
      </c>
    </row>
    <row r="824" ht="15" customHeight="1" s="122">
      <c r="A824" s="179" t="inlineStr">
        <is>
          <t>KBB 103Q</t>
        </is>
      </c>
      <c r="B824" s="180" t="n">
        <v>46297.89614583334</v>
      </c>
      <c r="C824" s="180" t="n">
        <v>46297.89684027778</v>
      </c>
      <c r="D824" s="173" t="inlineStr">
        <is>
          <t>0.01 Km</t>
        </is>
      </c>
      <c r="E824" s="181" t="n">
        <v>7</v>
      </c>
      <c r="F824" s="182" t="n">
        <v>7</v>
      </c>
      <c r="G824" s="172" t="inlineStr">
        <is>
          <t>No</t>
        </is>
      </c>
      <c r="H824" s="170">
        <f>IF(A824="","",IF(OR(NOT(ISNUMBER(C824)),C824=""),"No",IF(AND(HOUR(C824)&gt;=0,HOUR(C824)&lt;5),"Yes","No")))</f>
        <v/>
      </c>
      <c r="I824" s="183">
        <f>IF(OR(B824="",NOT(ISNUMBER(B824))),"",INT(B824))</f>
        <v/>
      </c>
    </row>
    <row r="825" ht="15" customHeight="1" s="122">
      <c r="A825" s="179" t="inlineStr">
        <is>
          <t>KBB 103Q</t>
        </is>
      </c>
      <c r="B825" s="180" t="n">
        <v>46328.69252314815</v>
      </c>
      <c r="C825" s="180" t="n">
        <v>46328.71436342593</v>
      </c>
      <c r="D825" s="173" t="inlineStr">
        <is>
          <t>16.71 Km</t>
        </is>
      </c>
      <c r="E825" s="181" t="n">
        <v>30</v>
      </c>
      <c r="F825" s="182" t="n">
        <v>77</v>
      </c>
      <c r="G825" s="172" t="inlineStr">
        <is>
          <t>No</t>
        </is>
      </c>
      <c r="H825" s="170">
        <f>IF(A825="","",IF(OR(NOT(ISNUMBER(C825)),C825=""),"No",IF(AND(HOUR(C825)&gt;=0,HOUR(C825)&lt;5),"Yes","No")))</f>
        <v/>
      </c>
      <c r="I825" s="183">
        <f>IF(OR(B825="",NOT(ISNUMBER(B825))),"",INT(B825))</f>
        <v/>
      </c>
    </row>
    <row r="826" ht="15" customHeight="1" s="122">
      <c r="A826" s="179" t="inlineStr">
        <is>
          <t>KBB 103Q</t>
        </is>
      </c>
      <c r="B826" s="180" t="n">
        <v>46328.77040509259</v>
      </c>
      <c r="C826" s="180" t="n">
        <v>46328.77112268518</v>
      </c>
      <c r="D826" s="173" t="inlineStr">
        <is>
          <t>0.01 Km</t>
        </is>
      </c>
      <c r="E826" s="181" t="n">
        <v>7</v>
      </c>
      <c r="F826" s="182" t="n">
        <v>7</v>
      </c>
      <c r="G826" s="172" t="inlineStr">
        <is>
          <t>No</t>
        </is>
      </c>
      <c r="H826" s="170">
        <f>IF(A826="","",IF(OR(NOT(ISNUMBER(C826)),C826=""),"No",IF(AND(HOUR(C826)&gt;=0,HOUR(C826)&lt;5),"Yes","No")))</f>
        <v/>
      </c>
      <c r="I826" s="183">
        <f>IF(OR(B826="",NOT(ISNUMBER(B826))),"",INT(B826))</f>
        <v/>
      </c>
    </row>
    <row r="827" ht="15" customHeight="1" s="122">
      <c r="A827" s="179" t="inlineStr">
        <is>
          <t>KBB 103Q</t>
        </is>
      </c>
      <c r="B827" s="180" t="n">
        <v>46328.77194444444</v>
      </c>
      <c r="C827" s="180" t="n">
        <v>46328.77819444444</v>
      </c>
      <c r="D827" s="173" t="inlineStr">
        <is>
          <t>1.25 Km</t>
        </is>
      </c>
      <c r="E827" s="181" t="n">
        <v>13</v>
      </c>
      <c r="F827" s="182" t="n">
        <v>25</v>
      </c>
      <c r="G827" s="172" t="inlineStr">
        <is>
          <t>No</t>
        </is>
      </c>
      <c r="H827" s="170">
        <f>IF(A827="","",IF(OR(NOT(ISNUMBER(C827)),C827=""),"No",IF(AND(HOUR(C827)&gt;=0,HOUR(C827)&lt;5),"Yes","No")))</f>
        <v/>
      </c>
      <c r="I827" s="183">
        <f>IF(OR(B827="",NOT(ISNUMBER(B827))),"",INT(B827))</f>
        <v/>
      </c>
    </row>
    <row r="828" ht="15" customHeight="1" s="122">
      <c r="A828" s="179" t="inlineStr">
        <is>
          <t>KBB 103Q</t>
        </is>
      </c>
      <c r="B828" s="180" t="n">
        <v>46328.83466435185</v>
      </c>
      <c r="C828" s="180" t="n">
        <v>46328.8362037037</v>
      </c>
      <c r="D828" s="173" t="inlineStr">
        <is>
          <t>0.1 Km</t>
        </is>
      </c>
      <c r="E828" s="181" t="n">
        <v>6</v>
      </c>
      <c r="F828" s="182" t="n">
        <v>8</v>
      </c>
      <c r="G828" s="172" t="inlineStr">
        <is>
          <t>No</t>
        </is>
      </c>
      <c r="H828" s="170">
        <f>IF(A828="","",IF(OR(NOT(ISNUMBER(C828)),C828=""),"No",IF(AND(HOUR(C828)&gt;=0,HOUR(C828)&lt;5),"Yes","No")))</f>
        <v/>
      </c>
      <c r="I828" s="183">
        <f>IF(OR(B828="",NOT(ISNUMBER(B828))),"",INT(B828))</f>
        <v/>
      </c>
    </row>
    <row r="829" ht="15" customHeight="1" s="122">
      <c r="A829" s="179" t="inlineStr">
        <is>
          <t>KBB 103Q</t>
        </is>
      </c>
      <c r="B829" s="180" t="n">
        <v>46328.86199074074</v>
      </c>
      <c r="C829" s="180" t="n">
        <v>46328.88211805555</v>
      </c>
      <c r="D829" s="173" t="inlineStr">
        <is>
          <t>15.87 Km</t>
        </is>
      </c>
      <c r="E829" s="181" t="n">
        <v>32</v>
      </c>
      <c r="F829" s="182" t="n">
        <v>71</v>
      </c>
      <c r="G829" s="172" t="inlineStr">
        <is>
          <t>No</t>
        </is>
      </c>
      <c r="H829" s="170">
        <f>IF(A829="","",IF(OR(NOT(ISNUMBER(C829)),C829=""),"No",IF(AND(HOUR(C829)&gt;=0,HOUR(C829)&lt;5),"Yes","No")))</f>
        <v/>
      </c>
      <c r="I829" s="183">
        <f>IF(OR(B829="",NOT(ISNUMBER(B829))),"",INT(B829))</f>
        <v/>
      </c>
    </row>
    <row r="830" ht="15" customHeight="1" s="122">
      <c r="A830" s="179" t="inlineStr">
        <is>
          <t>KBB 103Q</t>
        </is>
      </c>
      <c r="B830" s="180" t="n">
        <v>46328.88368055555</v>
      </c>
      <c r="C830" s="180" t="n">
        <v>46328.884375</v>
      </c>
      <c r="D830" s="173" t="inlineStr">
        <is>
          <t>0.01 Km</t>
        </is>
      </c>
      <c r="E830" s="181" t="n">
        <v>6</v>
      </c>
      <c r="F830" s="182" t="n">
        <v>6</v>
      </c>
      <c r="G830" s="172" t="inlineStr">
        <is>
          <t>No</t>
        </is>
      </c>
      <c r="H830" s="170">
        <f>IF(A830="","",IF(OR(NOT(ISNUMBER(C830)),C830=""),"No",IF(AND(HOUR(C830)&gt;=0,HOUR(C830)&lt;5),"Yes","No")))</f>
        <v/>
      </c>
      <c r="I830" s="183">
        <f>IF(OR(B830="",NOT(ISNUMBER(B830))),"",INT(B830))</f>
        <v/>
      </c>
    </row>
    <row r="831" ht="15" customHeight="1" s="122">
      <c r="A831" s="179" t="inlineStr">
        <is>
          <t>KBB 103Q</t>
        </is>
      </c>
      <c r="B831" s="180" t="n">
        <v>46358.38207175926</v>
      </c>
      <c r="C831" s="180" t="n">
        <v>46358.40847222223</v>
      </c>
      <c r="D831" s="173" t="inlineStr">
        <is>
          <t>32.86 Km</t>
        </is>
      </c>
      <c r="E831" s="181" t="n">
        <v>55</v>
      </c>
      <c r="F831" s="182" t="n">
        <v>83</v>
      </c>
      <c r="G831" s="172" t="inlineStr">
        <is>
          <t>No</t>
        </is>
      </c>
      <c r="H831" s="170">
        <f>IF(A831="","",IF(OR(NOT(ISNUMBER(C831)),C831=""),"No",IF(AND(HOUR(C831)&gt;=0,HOUR(C831)&lt;5),"Yes","No")))</f>
        <v/>
      </c>
      <c r="I831" s="183">
        <f>IF(OR(B831="",NOT(ISNUMBER(B831))),"",INT(B831))</f>
        <v/>
      </c>
    </row>
    <row r="832" ht="15" customHeight="1" s="122">
      <c r="A832" s="179" t="inlineStr">
        <is>
          <t>KBB 103Q</t>
        </is>
      </c>
      <c r="B832" s="180" t="n">
        <v>46358.40974537037</v>
      </c>
      <c r="C832" s="180" t="n">
        <v>46358.41929398148</v>
      </c>
      <c r="D832" s="173" t="inlineStr">
        <is>
          <t>9.61 Km</t>
        </is>
      </c>
      <c r="E832" s="181" t="n">
        <v>45</v>
      </c>
      <c r="F832" s="182" t="n">
        <v>73</v>
      </c>
      <c r="G832" s="172" t="inlineStr">
        <is>
          <t>No</t>
        </is>
      </c>
      <c r="H832" s="170">
        <f>IF(A832="","",IF(OR(NOT(ISNUMBER(C832)),C832=""),"No",IF(AND(HOUR(C832)&gt;=0,HOUR(C832)&lt;5),"Yes","No")))</f>
        <v/>
      </c>
      <c r="I832" s="183">
        <f>IF(OR(B832="",NOT(ISNUMBER(B832))),"",INT(B832))</f>
        <v/>
      </c>
    </row>
    <row r="833" ht="15" customHeight="1" s="122">
      <c r="A833" s="179" t="inlineStr">
        <is>
          <t>KBB 103Q</t>
        </is>
      </c>
      <c r="B833" s="180" t="n">
        <v>46358.42265046296</v>
      </c>
      <c r="C833" s="180" t="n">
        <v>46358.42440972223</v>
      </c>
      <c r="D833" s="173" t="inlineStr">
        <is>
          <t>0.32 Km</t>
        </is>
      </c>
      <c r="E833" s="181" t="n">
        <v>9</v>
      </c>
      <c r="F833" s="182" t="n">
        <v>24</v>
      </c>
      <c r="G833" s="172" t="inlineStr">
        <is>
          <t>No</t>
        </is>
      </c>
      <c r="H833" s="170">
        <f>IF(A833="","",IF(OR(NOT(ISNUMBER(C833)),C833=""),"No",IF(AND(HOUR(C833)&gt;=0,HOUR(C833)&lt;5),"Yes","No")))</f>
        <v/>
      </c>
      <c r="I833" s="183">
        <f>IF(OR(B833="",NOT(ISNUMBER(B833))),"",INT(B833))</f>
        <v/>
      </c>
    </row>
    <row r="834" ht="15" customHeight="1" s="122">
      <c r="A834" s="179" t="inlineStr">
        <is>
          <t>KBB 103Q</t>
        </is>
      </c>
      <c r="B834" s="180" t="n">
        <v>46358.43582175926</v>
      </c>
      <c r="C834" s="180" t="n">
        <v>46358.43651620371</v>
      </c>
      <c r="D834" s="173" t="inlineStr">
        <is>
          <t>0 Km</t>
        </is>
      </c>
      <c r="E834" s="181" t="n">
        <v>6</v>
      </c>
      <c r="F834" s="182" t="n">
        <v>6</v>
      </c>
      <c r="G834" s="172" t="inlineStr">
        <is>
          <t>No</t>
        </is>
      </c>
      <c r="H834" s="170">
        <f>IF(A834="","",IF(OR(NOT(ISNUMBER(C834)),C834=""),"No",IF(AND(HOUR(C834)&gt;=0,HOUR(C834)&lt;5),"Yes","No")))</f>
        <v/>
      </c>
      <c r="I834" s="183">
        <f>IF(OR(B834="",NOT(ISNUMBER(B834))),"",INT(B834))</f>
        <v/>
      </c>
    </row>
    <row r="835" ht="15" customHeight="1" s="122">
      <c r="A835" s="179" t="inlineStr">
        <is>
          <t>KBB 103Q</t>
        </is>
      </c>
      <c r="B835" s="180" t="n">
        <v>46358.44085648148</v>
      </c>
      <c r="C835" s="180" t="n">
        <v>46358.46990740741</v>
      </c>
      <c r="D835" s="173" t="inlineStr">
        <is>
          <t>36.08 Km</t>
        </is>
      </c>
      <c r="E835" s="181" t="n">
        <v>56</v>
      </c>
      <c r="F835" s="182" t="n">
        <v>87</v>
      </c>
      <c r="G835" s="172" t="inlineStr">
        <is>
          <t>No</t>
        </is>
      </c>
      <c r="H835" s="170">
        <f>IF(A835="","",IF(OR(NOT(ISNUMBER(C835)),C835=""),"No",IF(AND(HOUR(C835)&gt;=0,HOUR(C835)&lt;5),"Yes","No")))</f>
        <v/>
      </c>
      <c r="I835" s="183">
        <f>IF(OR(B835="",NOT(ISNUMBER(B835))),"",INT(B835))</f>
        <v/>
      </c>
    </row>
    <row r="836" ht="15" customHeight="1" s="122">
      <c r="A836" s="179" t="inlineStr">
        <is>
          <t>KBB 103Q</t>
        </is>
      </c>
      <c r="B836" s="180" t="n">
        <v>46358.47284722222</v>
      </c>
      <c r="C836" s="180" t="n">
        <v>46358.51185185185</v>
      </c>
      <c r="D836" s="173" t="inlineStr">
        <is>
          <t>51.68 Km</t>
        </is>
      </c>
      <c r="E836" s="181" t="n">
        <v>54</v>
      </c>
      <c r="F836" s="182" t="n">
        <v>81</v>
      </c>
      <c r="G836" s="172" t="inlineStr">
        <is>
          <t>No</t>
        </is>
      </c>
      <c r="H836" s="170">
        <f>IF(A836="","",IF(OR(NOT(ISNUMBER(C836)),C836=""),"No",IF(AND(HOUR(C836)&gt;=0,HOUR(C836)&lt;5),"Yes","No")))</f>
        <v/>
      </c>
      <c r="I836" s="183">
        <f>IF(OR(B836="",NOT(ISNUMBER(B836))),"",INT(B836))</f>
        <v/>
      </c>
    </row>
    <row r="837" ht="15" customHeight="1" s="122">
      <c r="A837" s="179" t="inlineStr">
        <is>
          <t>KBB 103Q</t>
        </is>
      </c>
      <c r="B837" s="180" t="n">
        <v>46358.56277777778</v>
      </c>
      <c r="C837" s="180" t="n">
        <v>46358.56347222222</v>
      </c>
      <c r="D837" s="173" t="inlineStr">
        <is>
          <t>0 Km</t>
        </is>
      </c>
      <c r="E837" s="181" t="n">
        <v>6</v>
      </c>
      <c r="F837" s="182" t="n">
        <v>6</v>
      </c>
      <c r="G837" s="172" t="inlineStr">
        <is>
          <t>No</t>
        </is>
      </c>
      <c r="H837" s="170">
        <f>IF(A837="","",IF(OR(NOT(ISNUMBER(C837)),C837=""),"No",IF(AND(HOUR(C837)&gt;=0,HOUR(C837)&lt;5),"Yes","No")))</f>
        <v/>
      </c>
      <c r="I837" s="183">
        <f>IF(OR(B837="",NOT(ISNUMBER(B837))),"",INT(B837))</f>
        <v/>
      </c>
    </row>
    <row r="838" ht="15" customHeight="1" s="122">
      <c r="A838" s="179" t="inlineStr">
        <is>
          <t>KBB 103Q</t>
        </is>
      </c>
      <c r="B838" s="180" t="n">
        <v>46358.56590277778</v>
      </c>
      <c r="C838" s="180" t="n">
        <v>46358.57085648148</v>
      </c>
      <c r="D838" s="173" t="inlineStr">
        <is>
          <t>0.58 Km</t>
        </is>
      </c>
      <c r="E838" s="181" t="n">
        <v>7</v>
      </c>
      <c r="F838" s="182" t="n">
        <v>8</v>
      </c>
      <c r="G838" s="172" t="inlineStr">
        <is>
          <t>No</t>
        </is>
      </c>
      <c r="H838" s="170">
        <f>IF(A838="","",IF(OR(NOT(ISNUMBER(C838)),C838=""),"No",IF(AND(HOUR(C838)&gt;=0,HOUR(C838)&lt;5),"Yes","No")))</f>
        <v/>
      </c>
      <c r="I838" s="183">
        <f>IF(OR(B838="",NOT(ISNUMBER(B838))),"",INT(B838))</f>
        <v/>
      </c>
    </row>
    <row r="839" ht="15" customHeight="1" s="122">
      <c r="A839" s="179" t="inlineStr">
        <is>
          <t>KBB 103Q</t>
        </is>
      </c>
      <c r="B839" s="180" t="n">
        <v>46358.57445601852</v>
      </c>
      <c r="C839" s="180" t="n">
        <v>46358.5965625</v>
      </c>
      <c r="D839" s="173" t="inlineStr">
        <is>
          <t>17.87 Km</t>
        </is>
      </c>
      <c r="E839" s="181" t="n">
        <v>33</v>
      </c>
      <c r="F839" s="182" t="n">
        <v>66</v>
      </c>
      <c r="G839" s="172" t="inlineStr">
        <is>
          <t>No</t>
        </is>
      </c>
      <c r="H839" s="170">
        <f>IF(A839="","",IF(OR(NOT(ISNUMBER(C839)),C839=""),"No",IF(AND(HOUR(C839)&gt;=0,HOUR(C839)&lt;5),"Yes","No")))</f>
        <v/>
      </c>
      <c r="I839" s="183">
        <f>IF(OR(B839="",NOT(ISNUMBER(B839))),"",INT(B839))</f>
        <v/>
      </c>
    </row>
    <row r="840" ht="15" customHeight="1" s="122">
      <c r="A840" s="179" t="inlineStr">
        <is>
          <t>KBB 103Q</t>
        </is>
      </c>
      <c r="B840" s="180" t="n">
        <v>46358.59741898148</v>
      </c>
      <c r="C840" s="180" t="n">
        <v>46358.5994212963</v>
      </c>
      <c r="D840" s="173" t="inlineStr">
        <is>
          <t>0.37 Km</t>
        </is>
      </c>
      <c r="E840" s="181" t="n">
        <v>11</v>
      </c>
      <c r="F840" s="182" t="n">
        <v>19</v>
      </c>
      <c r="G840" s="172" t="inlineStr">
        <is>
          <t>No</t>
        </is>
      </c>
      <c r="H840" s="170">
        <f>IF(A840="","",IF(OR(NOT(ISNUMBER(C840)),C840=""),"No",IF(AND(HOUR(C840)&gt;=0,HOUR(C840)&lt;5),"Yes","No")))</f>
        <v/>
      </c>
      <c r="I840" s="183">
        <f>IF(OR(B840="",NOT(ISNUMBER(B840))),"",INT(B840))</f>
        <v/>
      </c>
    </row>
    <row r="841" ht="15" customHeight="1" s="122">
      <c r="A841" s="179" t="inlineStr">
        <is>
          <t>KBB 103Q</t>
        </is>
      </c>
      <c r="B841" s="180" t="n">
        <v>46358.60237268519</v>
      </c>
      <c r="C841" s="180" t="n">
        <v>46358.60306712963</v>
      </c>
      <c r="D841" s="173" t="inlineStr">
        <is>
          <t>0.01 Km</t>
        </is>
      </c>
      <c r="E841" s="181" t="n">
        <v>6</v>
      </c>
      <c r="F841" s="182" t="n">
        <v>6</v>
      </c>
      <c r="G841" s="172" t="inlineStr">
        <is>
          <t>No</t>
        </is>
      </c>
      <c r="H841" s="170">
        <f>IF(A841="","",IF(OR(NOT(ISNUMBER(C841)),C841=""),"No",IF(AND(HOUR(C841)&gt;=0,HOUR(C841)&lt;5),"Yes","No")))</f>
        <v/>
      </c>
      <c r="I841" s="183">
        <f>IF(OR(B841="",NOT(ISNUMBER(B841))),"",INT(B841))</f>
        <v/>
      </c>
    </row>
    <row r="842" ht="15" customHeight="1" s="122">
      <c r="A842" s="179" t="inlineStr">
        <is>
          <t>KBB 103Q</t>
        </is>
      </c>
      <c r="B842" s="180" t="n">
        <v>46358.61407407407</v>
      </c>
      <c r="C842" s="180" t="n">
        <v>46358.61628472222</v>
      </c>
      <c r="D842" s="173" t="inlineStr">
        <is>
          <t>0.42 Km</t>
        </is>
      </c>
      <c r="E842" s="181" t="n">
        <v>9</v>
      </c>
      <c r="F842" s="182" t="n">
        <v>17</v>
      </c>
      <c r="G842" s="172" t="inlineStr">
        <is>
          <t>No</t>
        </is>
      </c>
      <c r="H842" s="170">
        <f>IF(A842="","",IF(OR(NOT(ISNUMBER(C842)),C842=""),"No",IF(AND(HOUR(C842)&gt;=0,HOUR(C842)&lt;5),"Yes","No")))</f>
        <v/>
      </c>
      <c r="I842" s="183">
        <f>IF(OR(B842="",NOT(ISNUMBER(B842))),"",INT(B842))</f>
        <v/>
      </c>
    </row>
    <row r="843" ht="15" customHeight="1" s="122">
      <c r="A843" s="179" t="inlineStr">
        <is>
          <t>KBB 103Q</t>
        </is>
      </c>
      <c r="B843" s="180" t="n">
        <v>46358.79238425926</v>
      </c>
      <c r="C843" s="180" t="n">
        <v>46358.79440972222</v>
      </c>
      <c r="D843" s="173" t="inlineStr">
        <is>
          <t>0.28 Km</t>
        </is>
      </c>
      <c r="E843" s="181" t="n">
        <v>8</v>
      </c>
      <c r="F843" s="182" t="n">
        <v>14</v>
      </c>
      <c r="G843" s="172" t="inlineStr">
        <is>
          <t>No</t>
        </is>
      </c>
      <c r="H843" s="170">
        <f>IF(A843="","",IF(OR(NOT(ISNUMBER(C843)),C843=""),"No",IF(AND(HOUR(C843)&gt;=0,HOUR(C843)&lt;5),"Yes","No")))</f>
        <v/>
      </c>
      <c r="I843" s="183">
        <f>IF(OR(B843="",NOT(ISNUMBER(B843))),"",INT(B843))</f>
        <v/>
      </c>
    </row>
    <row r="844" ht="15" customHeight="1" s="122">
      <c r="A844" s="179" t="inlineStr">
        <is>
          <t>KBB 103Q</t>
        </is>
      </c>
      <c r="B844" s="180" t="n">
        <v>46358.79600694445</v>
      </c>
      <c r="C844" s="180" t="n">
        <v>46358.82403935185</v>
      </c>
      <c r="D844" s="173" t="inlineStr">
        <is>
          <t>36.51 Km</t>
        </is>
      </c>
      <c r="E844" s="181" t="n">
        <v>58</v>
      </c>
      <c r="F844" s="182" t="n">
        <v>77</v>
      </c>
      <c r="G844" s="172" t="inlineStr">
        <is>
          <t>No</t>
        </is>
      </c>
      <c r="H844" s="170">
        <f>IF(A844="","",IF(OR(NOT(ISNUMBER(C844)),C844=""),"No",IF(AND(HOUR(C844)&gt;=0,HOUR(C844)&lt;5),"Yes","No")))</f>
        <v/>
      </c>
      <c r="I844" s="183">
        <f>IF(OR(B844="",NOT(ISNUMBER(B844))),"",INT(B844))</f>
        <v/>
      </c>
    </row>
    <row r="845" ht="15" customHeight="1" s="122">
      <c r="A845" s="179" t="inlineStr">
        <is>
          <t>KBB 103Q</t>
        </is>
      </c>
      <c r="B845" s="180" t="n">
        <v>46358.82761574074</v>
      </c>
      <c r="C845" s="180" t="n">
        <v>46358.84392361111</v>
      </c>
      <c r="D845" s="173" t="inlineStr">
        <is>
          <t>21.92 Km</t>
        </is>
      </c>
      <c r="E845" s="181" t="n">
        <v>62</v>
      </c>
      <c r="F845" s="182" t="n">
        <v>83</v>
      </c>
      <c r="G845" s="172" t="inlineStr">
        <is>
          <t>No</t>
        </is>
      </c>
      <c r="H845" s="170">
        <f>IF(A845="","",IF(OR(NOT(ISNUMBER(C845)),C845=""),"No",IF(AND(HOUR(C845)&gt;=0,HOUR(C845)&lt;5),"Yes","No")))</f>
        <v/>
      </c>
      <c r="I845" s="183">
        <f>IF(OR(B845="",NOT(ISNUMBER(B845))),"",INT(B845))</f>
        <v/>
      </c>
    </row>
    <row r="846" ht="15" customHeight="1" s="122">
      <c r="A846" s="179" t="inlineStr">
        <is>
          <t>KBB 103Q</t>
        </is>
      </c>
      <c r="B846" s="180" t="n">
        <v>46358.84540509259</v>
      </c>
      <c r="C846" s="180" t="n">
        <v>46358.8909375</v>
      </c>
      <c r="D846" s="173" t="inlineStr">
        <is>
          <t>54.16 Km</t>
        </is>
      </c>
      <c r="E846" s="181" t="n">
        <v>52</v>
      </c>
      <c r="F846" s="182" t="n">
        <v>80</v>
      </c>
      <c r="G846" s="172" t="inlineStr">
        <is>
          <t>No</t>
        </is>
      </c>
      <c r="H846" s="170">
        <f>IF(A846="","",IF(OR(NOT(ISNUMBER(C846)),C846=""),"No",IF(AND(HOUR(C846)&gt;=0,HOUR(C846)&lt;5),"Yes","No")))</f>
        <v/>
      </c>
      <c r="I846" s="183">
        <f>IF(OR(B846="",NOT(ISNUMBER(B846))),"",INT(B846))</f>
        <v/>
      </c>
    </row>
    <row r="847" ht="15" customHeight="1" s="122">
      <c r="A847" s="179" t="inlineStr">
        <is>
          <t>KBB 103Q</t>
        </is>
      </c>
      <c r="B847" s="172" t="inlineStr">
        <is>
          <t>19-02-2026 14:09:02</t>
        </is>
      </c>
      <c r="C847" s="172" t="inlineStr">
        <is>
          <t>19-02-2026 14:12:36</t>
        </is>
      </c>
      <c r="D847" s="173" t="inlineStr">
        <is>
          <t>0.42 Km</t>
        </is>
      </c>
      <c r="E847" s="181" t="n">
        <v>9</v>
      </c>
      <c r="F847" s="182" t="n">
        <v>15</v>
      </c>
      <c r="G847" s="172" t="inlineStr">
        <is>
          <t>No</t>
        </is>
      </c>
      <c r="H847" s="170">
        <f>IF(A847="","",IF(OR(NOT(ISNUMBER(C847)),C847=""),"No",IF(AND(HOUR(C847)&gt;=0,HOUR(C847)&lt;5),"Yes","No")))</f>
        <v/>
      </c>
      <c r="I847" s="183">
        <f>IF(OR(B847="",NOT(ISNUMBER(B847))),"",INT(B847))</f>
        <v/>
      </c>
    </row>
    <row r="848" ht="15" customHeight="1" s="122">
      <c r="A848" s="179" t="inlineStr">
        <is>
          <t>KBB 103Q</t>
        </is>
      </c>
      <c r="B848" s="172" t="inlineStr">
        <is>
          <t>19-02-2026 14:25:20</t>
        </is>
      </c>
      <c r="C848" s="172" t="inlineStr">
        <is>
          <t>19-02-2026 14:28:45</t>
        </is>
      </c>
      <c r="D848" s="173" t="inlineStr">
        <is>
          <t>0.23 Km</t>
        </is>
      </c>
      <c r="E848" s="181" t="n">
        <v>9</v>
      </c>
      <c r="F848" s="182" t="n">
        <v>15</v>
      </c>
      <c r="G848" s="172" t="inlineStr">
        <is>
          <t>No</t>
        </is>
      </c>
      <c r="H848" s="170">
        <f>IF(A848="","",IF(OR(NOT(ISNUMBER(C848)),C848=""),"No",IF(AND(HOUR(C848)&gt;=0,HOUR(C848)&lt;5),"Yes","No")))</f>
        <v/>
      </c>
      <c r="I848" s="183">
        <f>IF(OR(B848="",NOT(ISNUMBER(B848))),"",INT(B848))</f>
        <v/>
      </c>
    </row>
    <row r="849" ht="15" customHeight="1" s="122">
      <c r="A849" s="179" t="inlineStr">
        <is>
          <t>KBB 103Q</t>
        </is>
      </c>
      <c r="B849" s="172" t="inlineStr">
        <is>
          <t>19-02-2026 19:47:01</t>
        </is>
      </c>
      <c r="C849" s="172" t="inlineStr">
        <is>
          <t>19-02-2026 19:48:48</t>
        </is>
      </c>
      <c r="D849" s="173" t="inlineStr">
        <is>
          <t>0.17 Km</t>
        </is>
      </c>
      <c r="E849" s="181" t="n">
        <v>7</v>
      </c>
      <c r="F849" s="182" t="n">
        <v>8</v>
      </c>
      <c r="G849" s="172" t="inlineStr">
        <is>
          <t>No</t>
        </is>
      </c>
      <c r="H849" s="170">
        <f>IF(A849="","",IF(OR(NOT(ISNUMBER(C849)),C849=""),"No",IF(AND(HOUR(C849)&gt;=0,HOUR(C849)&lt;5),"Yes","No")))</f>
        <v/>
      </c>
      <c r="I849" s="183">
        <f>IF(OR(B849="",NOT(ISNUMBER(B849))),"",INT(B849))</f>
        <v/>
      </c>
    </row>
    <row r="850" ht="15" customHeight="1" s="122">
      <c r="A850" s="179" t="inlineStr">
        <is>
          <t>KBB 103Q</t>
        </is>
      </c>
      <c r="B850" s="172" t="inlineStr">
        <is>
          <t>20-02-2026 11:50:09</t>
        </is>
      </c>
      <c r="C850" s="172" t="inlineStr">
        <is>
          <t>20-02-2026 12:30:31</t>
        </is>
      </c>
      <c r="D850" s="173" t="inlineStr">
        <is>
          <t>20.14 Km</t>
        </is>
      </c>
      <c r="E850" s="181" t="n">
        <v>32</v>
      </c>
      <c r="F850" s="182" t="n">
        <v>80</v>
      </c>
      <c r="G850" s="172" t="inlineStr">
        <is>
          <t>No</t>
        </is>
      </c>
      <c r="H850" s="170">
        <f>IF(A850="","",IF(OR(NOT(ISNUMBER(C850)),C850=""),"No",IF(AND(HOUR(C850)&gt;=0,HOUR(C850)&lt;5),"Yes","No")))</f>
        <v/>
      </c>
      <c r="I850" s="183">
        <f>IF(OR(B850="",NOT(ISNUMBER(B850))),"",INT(B850))</f>
        <v/>
      </c>
    </row>
    <row r="851" ht="15" customHeight="1" s="122">
      <c r="A851" s="179" t="inlineStr">
        <is>
          <t>KBB 103Q</t>
        </is>
      </c>
      <c r="B851" s="172" t="inlineStr">
        <is>
          <t>20-02-2026 13:14:58</t>
        </is>
      </c>
      <c r="C851" s="172" t="inlineStr">
        <is>
          <t>20-02-2026 13:30:22</t>
        </is>
      </c>
      <c r="D851" s="173" t="inlineStr">
        <is>
          <t>5 Km</t>
        </is>
      </c>
      <c r="E851" s="181" t="n">
        <v>18</v>
      </c>
      <c r="F851" s="182" t="n">
        <v>40</v>
      </c>
      <c r="G851" s="172" t="inlineStr">
        <is>
          <t>No</t>
        </is>
      </c>
      <c r="H851" s="170">
        <f>IF(A851="","",IF(OR(NOT(ISNUMBER(C851)),C851=""),"No",IF(AND(HOUR(C851)&gt;=0,HOUR(C851)&lt;5),"Yes","No")))</f>
        <v/>
      </c>
      <c r="I851" s="183">
        <f>IF(OR(B851="",NOT(ISNUMBER(B851))),"",INT(B851))</f>
        <v/>
      </c>
    </row>
    <row r="852" ht="15" customHeight="1" s="122">
      <c r="A852" s="179" t="inlineStr">
        <is>
          <t>KBB 103Q</t>
        </is>
      </c>
      <c r="B852" s="172" t="inlineStr">
        <is>
          <t>20-02-2026 13:31:42</t>
        </is>
      </c>
      <c r="C852" s="172" t="inlineStr">
        <is>
          <t>20-02-2026 14:43:30</t>
        </is>
      </c>
      <c r="D852" s="173" t="inlineStr">
        <is>
          <t>53.31 Km</t>
        </is>
      </c>
      <c r="E852" s="181" t="n">
        <v>48</v>
      </c>
      <c r="F852" s="182" t="n">
        <v>84</v>
      </c>
      <c r="G852" s="172" t="inlineStr">
        <is>
          <t>No</t>
        </is>
      </c>
      <c r="H852" s="170">
        <f>IF(A852="","",IF(OR(NOT(ISNUMBER(C852)),C852=""),"No",IF(AND(HOUR(C852)&gt;=0,HOUR(C852)&lt;5),"Yes","No")))</f>
        <v/>
      </c>
      <c r="I852" s="183">
        <f>IF(OR(B852="",NOT(ISNUMBER(B852))),"",INT(B852))</f>
        <v/>
      </c>
    </row>
    <row r="853" ht="15" customHeight="1" s="122">
      <c r="A853" s="179" t="inlineStr">
        <is>
          <t>KBB 103Q</t>
        </is>
      </c>
      <c r="B853" s="172" t="inlineStr">
        <is>
          <t>20-02-2026 15:22:06</t>
        </is>
      </c>
      <c r="C853" s="172" t="inlineStr">
        <is>
          <t>20-02-2026 15:35:14</t>
        </is>
      </c>
      <c r="D853" s="173" t="inlineStr">
        <is>
          <t>8.04 Km</t>
        </is>
      </c>
      <c r="E853" s="181" t="n">
        <v>37</v>
      </c>
      <c r="F853" s="182" t="n">
        <v>64</v>
      </c>
      <c r="G853" s="172" t="inlineStr">
        <is>
          <t>No</t>
        </is>
      </c>
      <c r="H853" s="170">
        <f>IF(A853="","",IF(OR(NOT(ISNUMBER(C853)),C853=""),"No",IF(AND(HOUR(C853)&gt;=0,HOUR(C853)&lt;5),"Yes","No")))</f>
        <v/>
      </c>
      <c r="I853" s="183">
        <f>IF(OR(B853="",NOT(ISNUMBER(B853))),"",INT(B853))</f>
        <v/>
      </c>
    </row>
    <row r="854" ht="15" customHeight="1" s="122">
      <c r="A854" s="179" t="inlineStr">
        <is>
          <t>KBB 103Q</t>
        </is>
      </c>
      <c r="B854" s="172" t="inlineStr">
        <is>
          <t>20-02-2026 15:41:27</t>
        </is>
      </c>
      <c r="C854" s="172" t="inlineStr">
        <is>
          <t>20-02-2026 15:42:27</t>
        </is>
      </c>
      <c r="D854" s="173" t="inlineStr">
        <is>
          <t>0 Km</t>
        </is>
      </c>
      <c r="E854" s="181" t="n">
        <v>7</v>
      </c>
      <c r="F854" s="182" t="n">
        <v>7</v>
      </c>
      <c r="G854" s="172" t="inlineStr">
        <is>
          <t>No</t>
        </is>
      </c>
      <c r="H854" s="170">
        <f>IF(A854="","",IF(OR(NOT(ISNUMBER(C854)),C854=""),"No",IF(AND(HOUR(C854)&gt;=0,HOUR(C854)&lt;5),"Yes","No")))</f>
        <v/>
      </c>
      <c r="I854" s="183">
        <f>IF(OR(B854="",NOT(ISNUMBER(B854))),"",INT(B854))</f>
        <v/>
      </c>
    </row>
    <row r="855" ht="15" customHeight="1" s="122">
      <c r="A855" s="179" t="inlineStr">
        <is>
          <t>KBB 103Q</t>
        </is>
      </c>
      <c r="B855" s="172" t="inlineStr">
        <is>
          <t>20-02-2026 16:19:09</t>
        </is>
      </c>
      <c r="C855" s="172" t="inlineStr">
        <is>
          <t>20-02-2026 17:05:58</t>
        </is>
      </c>
      <c r="D855" s="173" t="inlineStr">
        <is>
          <t>30.11 Km</t>
        </is>
      </c>
      <c r="E855" s="181" t="n">
        <v>39</v>
      </c>
      <c r="F855" s="182" t="n">
        <v>72</v>
      </c>
      <c r="G855" s="172" t="inlineStr">
        <is>
          <t>No</t>
        </is>
      </c>
      <c r="H855" s="170">
        <f>IF(A855="","",IF(OR(NOT(ISNUMBER(C855)),C855=""),"No",IF(AND(HOUR(C855)&gt;=0,HOUR(C855)&lt;5),"Yes","No")))</f>
        <v/>
      </c>
      <c r="I855" s="183">
        <f>IF(OR(B855="",NOT(ISNUMBER(B855))),"",INT(B855))</f>
        <v/>
      </c>
    </row>
    <row r="856" ht="15" customHeight="1" s="122">
      <c r="A856" s="179" t="inlineStr">
        <is>
          <t>KBB 103Q</t>
        </is>
      </c>
      <c r="B856" s="172" t="inlineStr">
        <is>
          <t>20-02-2026 17:09:09</t>
        </is>
      </c>
      <c r="C856" s="172" t="inlineStr">
        <is>
          <t>20-02-2026 17:10:10</t>
        </is>
      </c>
      <c r="D856" s="173" t="inlineStr">
        <is>
          <t>0 Km</t>
        </is>
      </c>
      <c r="E856" s="181" t="n">
        <v>6</v>
      </c>
      <c r="F856" s="182" t="n">
        <v>6</v>
      </c>
      <c r="G856" s="172" t="inlineStr">
        <is>
          <t>No</t>
        </is>
      </c>
      <c r="H856" s="170">
        <f>IF(A856="","",IF(OR(NOT(ISNUMBER(C856)),C856=""),"No",IF(AND(HOUR(C856)&gt;=0,HOUR(C856)&lt;5),"Yes","No")))</f>
        <v/>
      </c>
      <c r="I856" s="183">
        <f>IF(OR(B856="",NOT(ISNUMBER(B856))),"",INT(B856))</f>
        <v/>
      </c>
    </row>
    <row r="857" ht="15" customHeight="1" s="122">
      <c r="A857" s="179" t="inlineStr">
        <is>
          <t>KBB 103Q</t>
        </is>
      </c>
      <c r="B857" s="172" t="inlineStr">
        <is>
          <t>20-02-2026 17:14:48</t>
        </is>
      </c>
      <c r="C857" s="172" t="inlineStr">
        <is>
          <t>20-02-2026 17:53:24</t>
        </is>
      </c>
      <c r="D857" s="173" t="inlineStr">
        <is>
          <t>27.38 Km</t>
        </is>
      </c>
      <c r="E857" s="181" t="n">
        <v>49</v>
      </c>
      <c r="F857" s="182" t="n">
        <v>71</v>
      </c>
      <c r="G857" s="172" t="inlineStr">
        <is>
          <t>No</t>
        </is>
      </c>
      <c r="H857" s="170">
        <f>IF(A857="","",IF(OR(NOT(ISNUMBER(C857)),C857=""),"No",IF(AND(HOUR(C857)&gt;=0,HOUR(C857)&lt;5),"Yes","No")))</f>
        <v/>
      </c>
      <c r="I857" s="183">
        <f>IF(OR(B857="",NOT(ISNUMBER(B857))),"",INT(B857))</f>
        <v/>
      </c>
    </row>
    <row r="858" ht="15" customHeight="1" s="122">
      <c r="A858" s="179" t="inlineStr">
        <is>
          <t>KBB 103Q</t>
        </is>
      </c>
      <c r="B858" s="172" t="inlineStr">
        <is>
          <t>20-02-2026 17:54:45</t>
        </is>
      </c>
      <c r="C858" s="172" t="inlineStr">
        <is>
          <t>20-02-2026 17:57:49</t>
        </is>
      </c>
      <c r="D858" s="173" t="inlineStr">
        <is>
          <t>0.26 Km</t>
        </is>
      </c>
      <c r="E858" s="181" t="n">
        <v>9</v>
      </c>
      <c r="F858" s="182" t="n">
        <v>17</v>
      </c>
      <c r="G858" s="172" t="inlineStr">
        <is>
          <t>No</t>
        </is>
      </c>
      <c r="H858" s="170">
        <f>IF(A858="","",IF(OR(NOT(ISNUMBER(C858)),C858=""),"No",IF(AND(HOUR(C858)&gt;=0,HOUR(C858)&lt;5),"Yes","No")))</f>
        <v/>
      </c>
      <c r="I858" s="183">
        <f>IF(OR(B858="",NOT(ISNUMBER(B858))),"",INT(B858))</f>
        <v/>
      </c>
    </row>
    <row r="859" ht="15" customHeight="1" s="122">
      <c r="A859" s="179" t="inlineStr">
        <is>
          <t>KBB 103Q</t>
        </is>
      </c>
      <c r="B859" s="172" t="inlineStr">
        <is>
          <t>20-02-2026 18:17:23</t>
        </is>
      </c>
      <c r="C859" s="172" t="inlineStr">
        <is>
          <t>20-02-2026 18:18:25</t>
        </is>
      </c>
      <c r="D859" s="173" t="inlineStr">
        <is>
          <t>0.01 Km</t>
        </is>
      </c>
      <c r="E859" s="181" t="n">
        <v>8</v>
      </c>
      <c r="F859" s="182" t="n">
        <v>10</v>
      </c>
      <c r="G859" s="172" t="inlineStr">
        <is>
          <t>No</t>
        </is>
      </c>
      <c r="H859" s="170">
        <f>IF(A859="","",IF(OR(NOT(ISNUMBER(C859)),C859=""),"No",IF(AND(HOUR(C859)&gt;=0,HOUR(C859)&lt;5),"Yes","No")))</f>
        <v/>
      </c>
      <c r="I859" s="183">
        <f>IF(OR(B859="",NOT(ISNUMBER(B859))),"",INT(B859))</f>
        <v/>
      </c>
    </row>
    <row r="860" ht="15" customHeight="1" s="122">
      <c r="A860" s="179" t="inlineStr">
        <is>
          <t>KBB 103Q</t>
        </is>
      </c>
      <c r="B860" s="172" t="inlineStr">
        <is>
          <t>20-02-2026 18:18:51</t>
        </is>
      </c>
      <c r="C860" s="172" t="inlineStr">
        <is>
          <t>20-02-2026 18:23:10</t>
        </is>
      </c>
      <c r="D860" s="173" t="inlineStr">
        <is>
          <t>0.36 Km</t>
        </is>
      </c>
      <c r="E860" s="181" t="n">
        <v>8</v>
      </c>
      <c r="F860" s="182" t="n">
        <v>11</v>
      </c>
      <c r="G860" s="172" t="inlineStr">
        <is>
          <t>No</t>
        </is>
      </c>
      <c r="H860" s="170">
        <f>IF(A860="","",IF(OR(NOT(ISNUMBER(C860)),C860=""),"No",IF(AND(HOUR(C860)&gt;=0,HOUR(C860)&lt;5),"Yes","No")))</f>
        <v/>
      </c>
      <c r="I860" s="183">
        <f>IF(OR(B860="",NOT(ISNUMBER(B860))),"",INT(B860))</f>
        <v/>
      </c>
    </row>
    <row r="861" ht="15" customHeight="1" s="122">
      <c r="A861" s="179" t="inlineStr">
        <is>
          <t>KBB 103Q</t>
        </is>
      </c>
      <c r="B861" s="172" t="inlineStr">
        <is>
          <t>20-02-2026 18:46:30</t>
        </is>
      </c>
      <c r="C861" s="172" t="inlineStr">
        <is>
          <t>20-02-2026 18:56:45</t>
        </is>
      </c>
      <c r="D861" s="173" t="inlineStr">
        <is>
          <t>3.15 Km</t>
        </is>
      </c>
      <c r="E861" s="181" t="n">
        <v>19</v>
      </c>
      <c r="F861" s="182" t="n">
        <v>55</v>
      </c>
      <c r="G861" s="172" t="inlineStr">
        <is>
          <t>No</t>
        </is>
      </c>
      <c r="H861" s="170">
        <f>IF(A861="","",IF(OR(NOT(ISNUMBER(C861)),C861=""),"No",IF(AND(HOUR(C861)&gt;=0,HOUR(C861)&lt;5),"Yes","No")))</f>
        <v/>
      </c>
      <c r="I861" s="183">
        <f>IF(OR(B861="",NOT(ISNUMBER(B861))),"",INT(B861))</f>
        <v/>
      </c>
    </row>
    <row r="862" ht="15" customHeight="1" s="122">
      <c r="A862" s="179" t="inlineStr">
        <is>
          <t>KBB 103Q</t>
        </is>
      </c>
      <c r="B862" s="172" t="inlineStr">
        <is>
          <t>20-02-2026 19:00:35</t>
        </is>
      </c>
      <c r="C862" s="172" t="inlineStr">
        <is>
          <t>20-02-2026 19:01:36</t>
        </is>
      </c>
      <c r="D862" s="173" t="inlineStr">
        <is>
          <t>0.02 Km</t>
        </is>
      </c>
      <c r="E862" s="181" t="n">
        <v>6</v>
      </c>
      <c r="F862" s="182" t="n">
        <v>6</v>
      </c>
      <c r="G862" s="172" t="inlineStr">
        <is>
          <t>No</t>
        </is>
      </c>
      <c r="H862" s="170">
        <f>IF(A862="","",IF(OR(NOT(ISNUMBER(C862)),C862=""),"No",IF(AND(HOUR(C862)&gt;=0,HOUR(C862)&lt;5),"Yes","No")))</f>
        <v/>
      </c>
      <c r="I862" s="183">
        <f>IF(OR(B862="",NOT(ISNUMBER(B862))),"",INT(B862))</f>
        <v/>
      </c>
    </row>
    <row r="863" ht="15" customHeight="1" s="122">
      <c r="A863" s="179" t="inlineStr">
        <is>
          <t>KBB 103Q</t>
        </is>
      </c>
      <c r="B863" s="172" t="inlineStr">
        <is>
          <t>20-02-2026 19:01:52</t>
        </is>
      </c>
      <c r="C863" s="172" t="inlineStr">
        <is>
          <t>20-02-2026 19:07:26</t>
        </is>
      </c>
      <c r="D863" s="173" t="inlineStr">
        <is>
          <t>0.91 Km</t>
        </is>
      </c>
      <c r="E863" s="181" t="n">
        <v>9</v>
      </c>
      <c r="F863" s="182" t="n">
        <v>16</v>
      </c>
      <c r="G863" s="172" t="inlineStr">
        <is>
          <t>No</t>
        </is>
      </c>
      <c r="H863" s="170">
        <f>IF(A863="","",IF(OR(NOT(ISNUMBER(C863)),C863=""),"No",IF(AND(HOUR(C863)&gt;=0,HOUR(C863)&lt;5),"Yes","No")))</f>
        <v/>
      </c>
      <c r="I863" s="183">
        <f>IF(OR(B863="",NOT(ISNUMBER(B863))),"",INT(B863))</f>
        <v/>
      </c>
    </row>
    <row r="864" ht="15" customHeight="1" s="122">
      <c r="A864" s="179" t="inlineStr">
        <is>
          <t>KBB 103Q</t>
        </is>
      </c>
      <c r="B864" s="172" t="inlineStr">
        <is>
          <t>20-02-2026 20:42:03</t>
        </is>
      </c>
      <c r="C864" s="172" t="inlineStr">
        <is>
          <t>20-02-2026 21:07:02</t>
        </is>
      </c>
      <c r="D864" s="173" t="inlineStr">
        <is>
          <t>15.93 Km</t>
        </is>
      </c>
      <c r="E864" s="181" t="n">
        <v>38</v>
      </c>
      <c r="F864" s="182" t="n">
        <v>74</v>
      </c>
      <c r="G864" s="172" t="inlineStr">
        <is>
          <t>No</t>
        </is>
      </c>
      <c r="H864" s="170">
        <f>IF(A864="","",IF(OR(NOT(ISNUMBER(C864)),C864=""),"No",IF(AND(HOUR(C864)&gt;=0,HOUR(C864)&lt;5),"Yes","No")))</f>
        <v/>
      </c>
      <c r="I864" s="183">
        <f>IF(OR(B864="",NOT(ISNUMBER(B864))),"",INT(B864))</f>
        <v/>
      </c>
    </row>
    <row r="865" ht="15" customHeight="1" s="122">
      <c r="A865" s="179" t="inlineStr">
        <is>
          <t>KBB 103Q</t>
        </is>
      </c>
      <c r="B865" s="172" t="inlineStr">
        <is>
          <t>21-02-2026 00:26:28</t>
        </is>
      </c>
      <c r="C865" s="172" t="inlineStr">
        <is>
          <t>21-02-2026 00:49:32</t>
        </is>
      </c>
      <c r="D865" s="173" t="inlineStr">
        <is>
          <t>15.86 Km</t>
        </is>
      </c>
      <c r="E865" s="181" t="n">
        <v>39</v>
      </c>
      <c r="F865" s="182" t="n">
        <v>74</v>
      </c>
      <c r="G865" s="172" t="inlineStr">
        <is>
          <t>No</t>
        </is>
      </c>
      <c r="H865" s="170">
        <f>IF(A865="","",IF(OR(NOT(ISNUMBER(C865)),C865=""),"No",IF(AND(HOUR(C865)&gt;=0,HOUR(C865)&lt;5),"Yes","No")))</f>
        <v/>
      </c>
      <c r="I865" s="183">
        <f>IF(OR(B865="",NOT(ISNUMBER(B865))),"",INT(B865))</f>
        <v/>
      </c>
    </row>
    <row r="866" ht="15" customHeight="1" s="122">
      <c r="A866" s="179" t="inlineStr">
        <is>
          <t>KBB 103Q</t>
        </is>
      </c>
      <c r="B866" s="172" t="inlineStr">
        <is>
          <t>21-02-2026 11:03:45</t>
        </is>
      </c>
      <c r="C866" s="172" t="inlineStr">
        <is>
          <t>21-02-2026 11:53:47</t>
        </is>
      </c>
      <c r="D866" s="173" t="inlineStr">
        <is>
          <t>37.57 Km</t>
        </is>
      </c>
      <c r="E866" s="181" t="n">
        <v>46</v>
      </c>
      <c r="F866" s="182" t="n">
        <v>77</v>
      </c>
      <c r="G866" s="172" t="inlineStr">
        <is>
          <t>No</t>
        </is>
      </c>
      <c r="H866" s="170">
        <f>IF(A866="","",IF(OR(NOT(ISNUMBER(C866)),C866=""),"No",IF(AND(HOUR(C866)&gt;=0,HOUR(C866)&lt;5),"Yes","No")))</f>
        <v/>
      </c>
      <c r="I866" s="183">
        <f>IF(OR(B866="",NOT(ISNUMBER(B866))),"",INT(B866))</f>
        <v/>
      </c>
    </row>
    <row r="867" ht="15" customHeight="1" s="122">
      <c r="A867" s="179" t="inlineStr">
        <is>
          <t>KBB 103Q</t>
        </is>
      </c>
      <c r="B867" s="172" t="inlineStr">
        <is>
          <t>21-02-2026 12:59:07</t>
        </is>
      </c>
      <c r="C867" s="172" t="inlineStr">
        <is>
          <t>21-02-2026 13:32:01</t>
        </is>
      </c>
      <c r="D867" s="173" t="inlineStr">
        <is>
          <t>19.39 Km</t>
        </is>
      </c>
      <c r="E867" s="181" t="n">
        <v>36</v>
      </c>
      <c r="F867" s="182" t="n">
        <v>62</v>
      </c>
      <c r="G867" s="172" t="inlineStr">
        <is>
          <t>No</t>
        </is>
      </c>
      <c r="H867" s="170">
        <f>IF(A867="","",IF(OR(NOT(ISNUMBER(C867)),C867=""),"No",IF(AND(HOUR(C867)&gt;=0,HOUR(C867)&lt;5),"Yes","No")))</f>
        <v/>
      </c>
      <c r="I867" s="183">
        <f>IF(OR(B867="",NOT(ISNUMBER(B867))),"",INT(B867))</f>
        <v/>
      </c>
    </row>
    <row r="868" ht="15" customHeight="1" s="122">
      <c r="A868" s="179" t="inlineStr">
        <is>
          <t>KBB 103Q</t>
        </is>
      </c>
      <c r="B868" s="172" t="inlineStr">
        <is>
          <t>21-02-2026 13:46:27</t>
        </is>
      </c>
      <c r="C868" s="172" t="inlineStr">
        <is>
          <t>21-02-2026 14:21:31</t>
        </is>
      </c>
      <c r="D868" s="173" t="inlineStr">
        <is>
          <t>27.33 Km</t>
        </is>
      </c>
      <c r="E868" s="181" t="n">
        <v>53</v>
      </c>
      <c r="F868" s="182" t="n">
        <v>83</v>
      </c>
      <c r="G868" s="172" t="inlineStr">
        <is>
          <t>No</t>
        </is>
      </c>
      <c r="H868" s="170">
        <f>IF(A868="","",IF(OR(NOT(ISNUMBER(C868)),C868=""),"No",IF(AND(HOUR(C868)&gt;=0,HOUR(C868)&lt;5),"Yes","No")))</f>
        <v/>
      </c>
      <c r="I868" s="183">
        <f>IF(OR(B868="",NOT(ISNUMBER(B868))),"",INT(B868))</f>
        <v/>
      </c>
    </row>
    <row r="869" ht="15" customHeight="1" s="122">
      <c r="A869" s="179" t="inlineStr">
        <is>
          <t>KBB 103Q</t>
        </is>
      </c>
      <c r="B869" s="172" t="inlineStr">
        <is>
          <t>21-02-2026 14:26:40</t>
        </is>
      </c>
      <c r="C869" s="172" t="inlineStr">
        <is>
          <t>21-02-2026 14:27:48</t>
        </is>
      </c>
      <c r="D869" s="173" t="inlineStr">
        <is>
          <t>0.02 Km</t>
        </is>
      </c>
      <c r="E869" s="181" t="n">
        <v>6</v>
      </c>
      <c r="F869" s="182" t="n">
        <v>6</v>
      </c>
      <c r="G869" s="172" t="inlineStr">
        <is>
          <t>No</t>
        </is>
      </c>
      <c r="H869" s="170">
        <f>IF(A869="","",IF(OR(NOT(ISNUMBER(C869)),C869=""),"No",IF(AND(HOUR(C869)&gt;=0,HOUR(C869)&lt;5),"Yes","No")))</f>
        <v/>
      </c>
      <c r="I869" s="183">
        <f>IF(OR(B869="",NOT(ISNUMBER(B869))),"",INT(B869))</f>
        <v/>
      </c>
    </row>
    <row r="870" ht="15" customHeight="1" s="122">
      <c r="A870" s="179" t="inlineStr">
        <is>
          <t>KBB 103Q</t>
        </is>
      </c>
      <c r="B870" s="172" t="inlineStr">
        <is>
          <t>21-02-2026 15:03:44</t>
        </is>
      </c>
      <c r="C870" s="172" t="inlineStr">
        <is>
          <t>21-02-2026 15:36:26</t>
        </is>
      </c>
      <c r="D870" s="173" t="inlineStr">
        <is>
          <t>15.65 Km</t>
        </is>
      </c>
      <c r="E870" s="181" t="n">
        <v>37</v>
      </c>
      <c r="F870" s="182" t="n">
        <v>83</v>
      </c>
      <c r="G870" s="172" t="inlineStr">
        <is>
          <t>No</t>
        </is>
      </c>
      <c r="H870" s="170">
        <f>IF(A870="","",IF(OR(NOT(ISNUMBER(C870)),C870=""),"No",IF(AND(HOUR(C870)&gt;=0,HOUR(C870)&lt;5),"Yes","No")))</f>
        <v/>
      </c>
      <c r="I870" s="183">
        <f>IF(OR(B870="",NOT(ISNUMBER(B870))),"",INT(B870))</f>
        <v/>
      </c>
    </row>
    <row r="871" ht="15" customHeight="1" s="122">
      <c r="A871" s="179" t="inlineStr">
        <is>
          <t>KBB 103Q</t>
        </is>
      </c>
      <c r="B871" s="172" t="inlineStr">
        <is>
          <t>21-02-2026 15:38:08</t>
        </is>
      </c>
      <c r="C871" s="172" t="inlineStr">
        <is>
          <t>21-02-2026 15:43:19</t>
        </is>
      </c>
      <c r="D871" s="173" t="inlineStr">
        <is>
          <t>1.12 Km</t>
        </is>
      </c>
      <c r="E871" s="181" t="n">
        <v>18</v>
      </c>
      <c r="F871" s="182" t="n">
        <v>34</v>
      </c>
      <c r="G871" s="172" t="inlineStr">
        <is>
          <t>No</t>
        </is>
      </c>
      <c r="H871" s="170">
        <f>IF(A871="","",IF(OR(NOT(ISNUMBER(C871)),C871=""),"No",IF(AND(HOUR(C871)&gt;=0,HOUR(C871)&lt;5),"Yes","No")))</f>
        <v/>
      </c>
      <c r="I871" s="183">
        <f>IF(OR(B871="",NOT(ISNUMBER(B871))),"",INT(B871))</f>
        <v/>
      </c>
    </row>
    <row r="872" ht="15" customHeight="1" s="122">
      <c r="A872" s="179" t="inlineStr">
        <is>
          <t>KBB 103Q</t>
        </is>
      </c>
      <c r="B872" s="172" t="inlineStr">
        <is>
          <t>21-02-2026 15:46:30</t>
        </is>
      </c>
      <c r="C872" s="172" t="inlineStr">
        <is>
          <t>21-02-2026 15:57:16</t>
        </is>
      </c>
      <c r="D872" s="173" t="inlineStr">
        <is>
          <t>3.01 Km</t>
        </is>
      </c>
      <c r="E872" s="181" t="n">
        <v>17</v>
      </c>
      <c r="F872" s="182" t="n">
        <v>54</v>
      </c>
      <c r="G872" s="172" t="inlineStr">
        <is>
          <t>No</t>
        </is>
      </c>
      <c r="H872" s="170">
        <f>IF(A872="","",IF(OR(NOT(ISNUMBER(C872)),C872=""),"No",IF(AND(HOUR(C872)&gt;=0,HOUR(C872)&lt;5),"Yes","No")))</f>
        <v/>
      </c>
      <c r="I872" s="183">
        <f>IF(OR(B872="",NOT(ISNUMBER(B872))),"",INT(B872))</f>
        <v/>
      </c>
    </row>
    <row r="873" ht="15" customHeight="1" s="122">
      <c r="A873" s="179" t="inlineStr">
        <is>
          <t>KBB 103Q</t>
        </is>
      </c>
      <c r="B873" s="172" t="inlineStr">
        <is>
          <t>21-02-2026 16:14:55</t>
        </is>
      </c>
      <c r="C873" s="172" t="inlineStr">
        <is>
          <t>21-02-2026 16:32:23</t>
        </is>
      </c>
      <c r="D873" s="173" t="inlineStr">
        <is>
          <t>7.56 Km</t>
        </is>
      </c>
      <c r="E873" s="181" t="n">
        <v>26</v>
      </c>
      <c r="F873" s="182" t="n">
        <v>69</v>
      </c>
      <c r="G873" s="172" t="inlineStr">
        <is>
          <t>No</t>
        </is>
      </c>
      <c r="H873" s="170">
        <f>IF(A873="","",IF(OR(NOT(ISNUMBER(C873)),C873=""),"No",IF(AND(HOUR(C873)&gt;=0,HOUR(C873)&lt;5),"Yes","No")))</f>
        <v/>
      </c>
      <c r="I873" s="183">
        <f>IF(OR(B873="",NOT(ISNUMBER(B873))),"",INT(B873))</f>
        <v/>
      </c>
    </row>
    <row r="874" ht="15" customHeight="1" s="122">
      <c r="A874" s="179" t="inlineStr">
        <is>
          <t>KBB 103Q</t>
        </is>
      </c>
      <c r="B874" s="172" t="inlineStr">
        <is>
          <t>21-02-2026 21:21:38</t>
        </is>
      </c>
      <c r="C874" s="172" t="inlineStr">
        <is>
          <t>21-02-2026 21:43:44</t>
        </is>
      </c>
      <c r="D874" s="173" t="inlineStr">
        <is>
          <t>8.99 Km</t>
        </is>
      </c>
      <c r="E874" s="181" t="n">
        <v>25</v>
      </c>
      <c r="F874" s="182" t="n">
        <v>59</v>
      </c>
      <c r="G874" s="172" t="inlineStr">
        <is>
          <t>No</t>
        </is>
      </c>
      <c r="H874" s="170">
        <f>IF(A874="","",IF(OR(NOT(ISNUMBER(C874)),C874=""),"No",IF(AND(HOUR(C874)&gt;=0,HOUR(C874)&lt;5),"Yes","No")))</f>
        <v/>
      </c>
      <c r="I874" s="183">
        <f>IF(OR(B874="",NOT(ISNUMBER(B874))),"",INT(B874))</f>
        <v/>
      </c>
    </row>
    <row r="875" ht="15" customHeight="1" s="122">
      <c r="A875" s="179" t="inlineStr">
        <is>
          <t>KBB 103Q</t>
        </is>
      </c>
      <c r="B875" s="172" t="inlineStr">
        <is>
          <t>21-02-2026 21:43:52</t>
        </is>
      </c>
      <c r="C875" s="172" t="inlineStr">
        <is>
          <t>21-02-2026 21:54:03</t>
        </is>
      </c>
      <c r="D875" s="173" t="inlineStr">
        <is>
          <t>5.17 Km</t>
        </is>
      </c>
      <c r="E875" s="181" t="n">
        <v>32</v>
      </c>
      <c r="F875" s="182" t="n">
        <v>55</v>
      </c>
      <c r="G875" s="172" t="inlineStr">
        <is>
          <t>No</t>
        </is>
      </c>
      <c r="H875" s="170">
        <f>IF(A875="","",IF(OR(NOT(ISNUMBER(C875)),C875=""),"No",IF(AND(HOUR(C875)&gt;=0,HOUR(C875)&lt;5),"Yes","No")))</f>
        <v/>
      </c>
      <c r="I875" s="183">
        <f>IF(OR(B875="",NOT(ISNUMBER(B875))),"",INT(B875))</f>
        <v/>
      </c>
    </row>
    <row r="876" ht="15" customHeight="1" s="122">
      <c r="A876" s="179" t="inlineStr">
        <is>
          <t>KBB 103Q</t>
        </is>
      </c>
      <c r="B876" s="172" t="inlineStr">
        <is>
          <t>21-02-2026 21:56:30</t>
        </is>
      </c>
      <c r="C876" s="172" t="inlineStr">
        <is>
          <t>21-02-2026 22:15:59</t>
        </is>
      </c>
      <c r="D876" s="173" t="inlineStr">
        <is>
          <t>12.7 Km</t>
        </is>
      </c>
      <c r="E876" s="181" t="n">
        <v>39</v>
      </c>
      <c r="F876" s="182" t="n">
        <v>73</v>
      </c>
      <c r="G876" s="172" t="inlineStr">
        <is>
          <t>Yes</t>
        </is>
      </c>
      <c r="H876" s="170">
        <f>IF(A876="","",IF(OR(NOT(ISNUMBER(C876)),C876=""),"No",IF(AND(HOUR(C876)&gt;=0,HOUR(C876)&lt;5),"Yes","No")))</f>
        <v/>
      </c>
      <c r="I876" s="183">
        <f>IF(OR(B876="",NOT(ISNUMBER(B876))),"",INT(B876))</f>
        <v/>
      </c>
    </row>
    <row r="877" ht="15" customHeight="1" s="122">
      <c r="A877" s="179" t="inlineStr">
        <is>
          <t>KBB 103Q</t>
        </is>
      </c>
      <c r="B877" s="172" t="inlineStr">
        <is>
          <t>21-02-2026 22:16:08</t>
        </is>
      </c>
      <c r="C877" s="172" t="inlineStr">
        <is>
          <t>21-02-2026 22:16:32</t>
        </is>
      </c>
      <c r="D877" s="173" t="inlineStr">
        <is>
          <t>0 Km</t>
        </is>
      </c>
      <c r="E877" s="181" t="n">
        <v>8</v>
      </c>
      <c r="F877" s="182" t="n">
        <v>9</v>
      </c>
      <c r="G877" s="172" t="inlineStr">
        <is>
          <t>Yes</t>
        </is>
      </c>
      <c r="H877" s="170">
        <f>IF(A877="","",IF(OR(NOT(ISNUMBER(C877)),C877=""),"No",IF(AND(HOUR(C877)&gt;=0,HOUR(C877)&lt;5),"Yes","No")))</f>
        <v/>
      </c>
      <c r="I877" s="183">
        <f>IF(OR(B877="",NOT(ISNUMBER(B877))),"",INT(B877))</f>
        <v/>
      </c>
    </row>
    <row r="878" ht="15" customHeight="1" s="122">
      <c r="A878" s="179" t="inlineStr">
        <is>
          <t>KBB 103Q</t>
        </is>
      </c>
      <c r="B878" s="172" t="inlineStr">
        <is>
          <t>22-02-2026 09:12:18</t>
        </is>
      </c>
      <c r="C878" s="172" t="inlineStr">
        <is>
          <t>22-02-2026 09:42:59</t>
        </is>
      </c>
      <c r="D878" s="173" t="inlineStr">
        <is>
          <t>23.03 Km</t>
        </is>
      </c>
      <c r="E878" s="181" t="n">
        <v>45</v>
      </c>
      <c r="F878" s="182" t="n">
        <v>83</v>
      </c>
      <c r="G878" s="172" t="inlineStr">
        <is>
          <t>No</t>
        </is>
      </c>
      <c r="H878" s="170">
        <f>IF(A878="","",IF(OR(NOT(ISNUMBER(C878)),C878=""),"No",IF(AND(HOUR(C878)&gt;=0,HOUR(C878)&lt;5),"Yes","No")))</f>
        <v/>
      </c>
      <c r="I878" s="183">
        <f>IF(OR(B878="",NOT(ISNUMBER(B878))),"",INT(B878))</f>
        <v/>
      </c>
    </row>
    <row r="879" ht="15" customHeight="1" s="122">
      <c r="A879" s="179" t="inlineStr">
        <is>
          <t>KBB 103Q</t>
        </is>
      </c>
      <c r="B879" s="172" t="inlineStr">
        <is>
          <t>22-02-2026 09:44:11</t>
        </is>
      </c>
      <c r="C879" s="172" t="inlineStr">
        <is>
          <t>22-02-2026 09:44:55</t>
        </is>
      </c>
      <c r="D879" s="173" t="inlineStr">
        <is>
          <t>0 Km</t>
        </is>
      </c>
      <c r="E879" s="181" t="n">
        <v>8</v>
      </c>
      <c r="F879" s="182" t="n">
        <v>8</v>
      </c>
      <c r="G879" s="172" t="inlineStr">
        <is>
          <t>No</t>
        </is>
      </c>
      <c r="H879" s="170">
        <f>IF(A879="","",IF(OR(NOT(ISNUMBER(C879)),C879=""),"No",IF(AND(HOUR(C879)&gt;=0,HOUR(C879)&lt;5),"Yes","No")))</f>
        <v/>
      </c>
      <c r="I879" s="183">
        <f>IF(OR(B879="",NOT(ISNUMBER(B879))),"",INT(B879))</f>
        <v/>
      </c>
    </row>
    <row r="880" ht="15" customHeight="1" s="122">
      <c r="A880" s="179" t="inlineStr">
        <is>
          <t>KBB 103Q</t>
        </is>
      </c>
      <c r="B880" s="172" t="inlineStr">
        <is>
          <t>22-02-2026 13:37:31</t>
        </is>
      </c>
      <c r="C880" s="172" t="inlineStr">
        <is>
          <t>22-02-2026 13:40:24</t>
        </is>
      </c>
      <c r="D880" s="173" t="inlineStr">
        <is>
          <t>0.35 Km</t>
        </is>
      </c>
      <c r="E880" s="181" t="n">
        <v>12</v>
      </c>
      <c r="F880" s="182" t="n">
        <v>26</v>
      </c>
      <c r="G880" s="172" t="inlineStr">
        <is>
          <t>No</t>
        </is>
      </c>
      <c r="H880" s="170">
        <f>IF(A880="","",IF(OR(NOT(ISNUMBER(C880)),C880=""),"No",IF(AND(HOUR(C880)&gt;=0,HOUR(C880)&lt;5),"Yes","No")))</f>
        <v/>
      </c>
      <c r="I880" s="183">
        <f>IF(OR(B880="",NOT(ISNUMBER(B880))),"",INT(B880))</f>
        <v/>
      </c>
    </row>
    <row r="881" ht="15" customHeight="1" s="122">
      <c r="A881" s="179" t="inlineStr">
        <is>
          <t>KBB 103Q</t>
        </is>
      </c>
      <c r="B881" s="172" t="inlineStr">
        <is>
          <t>22-02-2026 13:45:27</t>
        </is>
      </c>
      <c r="C881" s="172" t="inlineStr">
        <is>
          <t>22-02-2026 14:18:18</t>
        </is>
      </c>
      <c r="D881" s="173" t="inlineStr">
        <is>
          <t>22.49 Km</t>
        </is>
      </c>
      <c r="E881" s="181" t="n">
        <v>44</v>
      </c>
      <c r="F881" s="182" t="n">
        <v>80</v>
      </c>
      <c r="G881" s="172" t="inlineStr">
        <is>
          <t>No</t>
        </is>
      </c>
      <c r="H881" s="170">
        <f>IF(A881="","",IF(OR(NOT(ISNUMBER(C881)),C881=""),"No",IF(AND(HOUR(C881)&gt;=0,HOUR(C881)&lt;5),"Yes","No")))</f>
        <v/>
      </c>
      <c r="I881" s="183">
        <f>IF(OR(B881="",NOT(ISNUMBER(B881))),"",INT(B881))</f>
        <v/>
      </c>
    </row>
    <row r="882" ht="15" customHeight="1" s="122">
      <c r="A882" s="179" t="inlineStr">
        <is>
          <t>KBB 103Q</t>
        </is>
      </c>
      <c r="B882" s="172" t="inlineStr">
        <is>
          <t>22-02-2026 14:20:28</t>
        </is>
      </c>
      <c r="C882" s="172" t="inlineStr">
        <is>
          <t>22-02-2026 14:21:28</t>
        </is>
      </c>
      <c r="D882" s="173" t="inlineStr">
        <is>
          <t>0 Km</t>
        </is>
      </c>
      <c r="E882" s="181" t="n">
        <v>6</v>
      </c>
      <c r="F882" s="182" t="n">
        <v>6</v>
      </c>
      <c r="G882" s="172" t="inlineStr">
        <is>
          <t>No</t>
        </is>
      </c>
      <c r="H882" s="170">
        <f>IF(A882="","",IF(OR(NOT(ISNUMBER(C882)),C882=""),"No",IF(AND(HOUR(C882)&gt;=0,HOUR(C882)&lt;5),"Yes","No")))</f>
        <v/>
      </c>
      <c r="I882" s="183">
        <f>IF(OR(B882="",NOT(ISNUMBER(B882))),"",INT(B882))</f>
        <v/>
      </c>
    </row>
    <row r="883" ht="15" customHeight="1" s="122">
      <c r="A883" s="179" t="inlineStr">
        <is>
          <t>KBB 103Q</t>
        </is>
      </c>
      <c r="B883" s="172" t="inlineStr">
        <is>
          <t>22-02-2026 14:23:40</t>
        </is>
      </c>
      <c r="C883" s="172" t="inlineStr">
        <is>
          <t>22-02-2026 14:23:43</t>
        </is>
      </c>
      <c r="D883" s="173" t="inlineStr">
        <is>
          <t>0.01 Km</t>
        </is>
      </c>
      <c r="E883" s="181" t="n">
        <v>10</v>
      </c>
      <c r="F883" s="182" t="n">
        <v>10</v>
      </c>
      <c r="G883" s="172" t="inlineStr">
        <is>
          <t>No</t>
        </is>
      </c>
      <c r="H883" s="170">
        <f>IF(A883="","",IF(OR(NOT(ISNUMBER(C883)),C883=""),"No",IF(AND(HOUR(C883)&gt;=0,HOUR(C883)&lt;5),"Yes","No")))</f>
        <v/>
      </c>
      <c r="I883" s="183">
        <f>IF(OR(B883="",NOT(ISNUMBER(B883))),"",INT(B883))</f>
        <v/>
      </c>
    </row>
    <row r="884" ht="15" customHeight="1" s="122">
      <c r="A884" s="179" t="inlineStr">
        <is>
          <t>KBB 103Q</t>
        </is>
      </c>
      <c r="B884" s="172" t="inlineStr">
        <is>
          <t>22-02-2026 14:27:02</t>
        </is>
      </c>
      <c r="C884" s="172" t="inlineStr">
        <is>
          <t>22-02-2026 14:29:26</t>
        </is>
      </c>
      <c r="D884" s="173" t="inlineStr">
        <is>
          <t>0.11 Km</t>
        </is>
      </c>
      <c r="E884" s="181" t="n">
        <v>7</v>
      </c>
      <c r="F884" s="182" t="n">
        <v>12</v>
      </c>
      <c r="G884" s="172" t="inlineStr">
        <is>
          <t>No</t>
        </is>
      </c>
      <c r="H884" s="170">
        <f>IF(A884="","",IF(OR(NOT(ISNUMBER(C884)),C884=""),"No",IF(AND(HOUR(C884)&gt;=0,HOUR(C884)&lt;5),"Yes","No")))</f>
        <v/>
      </c>
      <c r="I884" s="183">
        <f>IF(OR(B884="",NOT(ISNUMBER(B884))),"",INT(B884))</f>
        <v/>
      </c>
    </row>
    <row r="885" ht="15" customHeight="1" s="122">
      <c r="A885" s="179" t="inlineStr">
        <is>
          <t>KBB 103Q</t>
        </is>
      </c>
      <c r="B885" s="172" t="inlineStr">
        <is>
          <t>22-02-2026 14:31:35</t>
        </is>
      </c>
      <c r="C885" s="172" t="inlineStr">
        <is>
          <t>22-02-2026 14:32:36</t>
        </is>
      </c>
      <c r="D885" s="173" t="inlineStr">
        <is>
          <t>0.02 Km</t>
        </is>
      </c>
      <c r="E885" s="181" t="n">
        <v>6</v>
      </c>
      <c r="F885" s="182" t="n">
        <v>6</v>
      </c>
      <c r="G885" s="172" t="inlineStr">
        <is>
          <t>No</t>
        </is>
      </c>
      <c r="H885" s="170">
        <f>IF(A885="","",IF(OR(NOT(ISNUMBER(C885)),C885=""),"No",IF(AND(HOUR(C885)&gt;=0,HOUR(C885)&lt;5),"Yes","No")))</f>
        <v/>
      </c>
      <c r="I885" s="183">
        <f>IF(OR(B885="",NOT(ISNUMBER(B885))),"",INT(B885))</f>
        <v/>
      </c>
    </row>
    <row r="886" ht="15" customHeight="1" s="122">
      <c r="A886" s="179" t="inlineStr">
        <is>
          <t>KBB 103Q</t>
        </is>
      </c>
      <c r="B886" s="172" t="inlineStr">
        <is>
          <t>22-02-2026 14:34:47</t>
        </is>
      </c>
      <c r="C886" s="172" t="inlineStr">
        <is>
          <t>22-02-2026 14:44:13</t>
        </is>
      </c>
      <c r="D886" s="173" t="inlineStr">
        <is>
          <t>0.94 Km</t>
        </is>
      </c>
      <c r="E886" s="181" t="n">
        <v>9</v>
      </c>
      <c r="F886" s="182" t="n">
        <v>22</v>
      </c>
      <c r="G886" s="172" t="inlineStr">
        <is>
          <t>No</t>
        </is>
      </c>
      <c r="H886" s="170">
        <f>IF(A886="","",IF(OR(NOT(ISNUMBER(C886)),C886=""),"No",IF(AND(HOUR(C886)&gt;=0,HOUR(C886)&lt;5),"Yes","No")))</f>
        <v/>
      </c>
      <c r="I886" s="183">
        <f>IF(OR(B886="",NOT(ISNUMBER(B886))),"",INT(B886))</f>
        <v/>
      </c>
    </row>
    <row r="887" ht="15" customHeight="1" s="122">
      <c r="A887" s="179" t="inlineStr">
        <is>
          <t>KBB 103Q</t>
        </is>
      </c>
      <c r="B887" s="172" t="inlineStr">
        <is>
          <t>22-02-2026 14:49:27</t>
        </is>
      </c>
      <c r="C887" s="172" t="inlineStr">
        <is>
          <t>22-02-2026 14:50:27</t>
        </is>
      </c>
      <c r="D887" s="173" t="inlineStr">
        <is>
          <t>0 Km</t>
        </is>
      </c>
      <c r="E887" s="181" t="n">
        <v>7</v>
      </c>
      <c r="F887" s="182" t="n">
        <v>7</v>
      </c>
      <c r="G887" s="172" t="inlineStr">
        <is>
          <t>No</t>
        </is>
      </c>
      <c r="H887" s="170">
        <f>IF(A887="","",IF(OR(NOT(ISNUMBER(C887)),C887=""),"No",IF(AND(HOUR(C887)&gt;=0,HOUR(C887)&lt;5),"Yes","No")))</f>
        <v/>
      </c>
      <c r="I887" s="183">
        <f>IF(OR(B887="",NOT(ISNUMBER(B887))),"",INT(B887))</f>
        <v/>
      </c>
    </row>
    <row r="888" ht="15" customHeight="1" s="122">
      <c r="A888" s="179" t="inlineStr">
        <is>
          <t>KBB 103Q</t>
        </is>
      </c>
      <c r="B888" s="172" t="inlineStr">
        <is>
          <t>22-02-2026 19:05:51</t>
        </is>
      </c>
      <c r="C888" s="172" t="inlineStr">
        <is>
          <t>22-02-2026 19:26:49</t>
        </is>
      </c>
      <c r="D888" s="173" t="inlineStr">
        <is>
          <t>11.56 Km</t>
        </is>
      </c>
      <c r="E888" s="181" t="n">
        <v>35</v>
      </c>
      <c r="F888" s="182" t="n">
        <v>76</v>
      </c>
      <c r="G888" s="172" t="inlineStr">
        <is>
          <t>No</t>
        </is>
      </c>
      <c r="H888" s="170">
        <f>IF(A888="","",IF(OR(NOT(ISNUMBER(C888)),C888=""),"No",IF(AND(HOUR(C888)&gt;=0,HOUR(C888)&lt;5),"Yes","No")))</f>
        <v/>
      </c>
      <c r="I888" s="183">
        <f>IF(OR(B888="",NOT(ISNUMBER(B888))),"",INT(B888))</f>
        <v/>
      </c>
    </row>
    <row r="889" ht="15" customHeight="1" s="122">
      <c r="A889" s="179" t="inlineStr">
        <is>
          <t>KBB 103Q</t>
        </is>
      </c>
      <c r="B889" s="172" t="inlineStr">
        <is>
          <t>22-02-2026 21:55:39</t>
        </is>
      </c>
      <c r="C889" s="172" t="inlineStr">
        <is>
          <t>22-02-2026 22:16:23</t>
        </is>
      </c>
      <c r="D889" s="173" t="inlineStr">
        <is>
          <t>11.39 Km</t>
        </is>
      </c>
      <c r="E889" s="181" t="n">
        <v>38</v>
      </c>
      <c r="F889" s="182" t="n">
        <v>74</v>
      </c>
      <c r="G889" s="172" t="inlineStr">
        <is>
          <t>Yes</t>
        </is>
      </c>
      <c r="H889" s="170">
        <f>IF(A889="","",IF(OR(NOT(ISNUMBER(C889)),C889=""),"No",IF(AND(HOUR(C889)&gt;=0,HOUR(C889)&lt;5),"Yes","No")))</f>
        <v/>
      </c>
      <c r="I889" s="183">
        <f>IF(OR(B889="",NOT(ISNUMBER(B889))),"",INT(B889))</f>
        <v/>
      </c>
    </row>
    <row r="890" ht="15" customHeight="1" s="122">
      <c r="A890" s="179" t="inlineStr">
        <is>
          <t>KBB 103Q</t>
        </is>
      </c>
      <c r="B890" s="172" t="inlineStr">
        <is>
          <t>22-02-2026 22:17:37</t>
        </is>
      </c>
      <c r="C890" s="172" t="inlineStr">
        <is>
          <t>22-02-2026 22:18:09</t>
        </is>
      </c>
      <c r="D890" s="173" t="inlineStr">
        <is>
          <t>0 Km</t>
        </is>
      </c>
      <c r="E890" s="181" t="n">
        <v>6</v>
      </c>
      <c r="F890" s="182" t="n">
        <v>6</v>
      </c>
      <c r="G890" s="172" t="inlineStr">
        <is>
          <t>Yes</t>
        </is>
      </c>
      <c r="H890" s="170">
        <f>IF(A890="","",IF(OR(NOT(ISNUMBER(C890)),C890=""),"No",IF(AND(HOUR(C890)&gt;=0,HOUR(C890)&lt;5),"Yes","No")))</f>
        <v/>
      </c>
      <c r="I890" s="183">
        <f>IF(OR(B890="",NOT(ISNUMBER(B890))),"",INT(B890))</f>
        <v/>
      </c>
    </row>
    <row r="891" ht="15" customHeight="1" s="122">
      <c r="A891" s="179" t="inlineStr">
        <is>
          <t>KBB 103Q</t>
        </is>
      </c>
      <c r="B891" s="172" t="inlineStr">
        <is>
          <t>23-02-2026 09:23:21</t>
        </is>
      </c>
      <c r="C891" s="172" t="inlineStr">
        <is>
          <t>23-02-2026 10:17:41</t>
        </is>
      </c>
      <c r="D891" s="173" t="inlineStr">
        <is>
          <t>42.65 Km</t>
        </is>
      </c>
      <c r="E891" s="181" t="n">
        <v>51</v>
      </c>
      <c r="F891" s="182" t="n">
        <v>85</v>
      </c>
      <c r="G891" s="172" t="inlineStr">
        <is>
          <t>No</t>
        </is>
      </c>
      <c r="H891" s="170">
        <f>IF(A891="","",IF(OR(NOT(ISNUMBER(C891)),C891=""),"No",IF(AND(HOUR(C891)&gt;=0,HOUR(C891)&lt;5),"Yes","No")))</f>
        <v/>
      </c>
      <c r="I891" s="183">
        <f>IF(OR(B891="",NOT(ISNUMBER(B891))),"",INT(B891))</f>
        <v/>
      </c>
    </row>
    <row r="892" ht="15" customHeight="1" s="122">
      <c r="A892" s="179" t="inlineStr">
        <is>
          <t>KBB 103Q</t>
        </is>
      </c>
      <c r="B892" s="172" t="inlineStr">
        <is>
          <t>23-02-2026 10:45:02</t>
        </is>
      </c>
      <c r="C892" s="172" t="inlineStr">
        <is>
          <t>23-02-2026 11:47:45</t>
        </is>
      </c>
      <c r="D892" s="173" t="inlineStr">
        <is>
          <t>62.53 Km</t>
        </is>
      </c>
      <c r="E892" s="181" t="n">
        <v>61</v>
      </c>
      <c r="F892" s="182" t="n">
        <v>88</v>
      </c>
      <c r="G892" s="172" t="inlineStr">
        <is>
          <t>No</t>
        </is>
      </c>
      <c r="H892" s="170">
        <f>IF(A892="","",IF(OR(NOT(ISNUMBER(C892)),C892=""),"No",IF(AND(HOUR(C892)&gt;=0,HOUR(C892)&lt;5),"Yes","No")))</f>
        <v/>
      </c>
      <c r="I892" s="183">
        <f>IF(OR(B892="",NOT(ISNUMBER(B892))),"",INT(B892))</f>
        <v/>
      </c>
    </row>
    <row r="893" ht="15" customHeight="1" s="122">
      <c r="A893" s="179" t="inlineStr">
        <is>
          <t>KBB 103Q</t>
        </is>
      </c>
      <c r="B893" s="172" t="inlineStr">
        <is>
          <t>23-02-2026 11:50:11</t>
        </is>
      </c>
      <c r="C893" s="172" t="inlineStr">
        <is>
          <t>23-02-2026 12:08:12</t>
        </is>
      </c>
      <c r="D893" s="173" t="inlineStr">
        <is>
          <t>15.79 Km</t>
        </is>
      </c>
      <c r="E893" s="181" t="n">
        <v>50</v>
      </c>
      <c r="F893" s="182" t="n">
        <v>84</v>
      </c>
      <c r="G893" s="172" t="inlineStr">
        <is>
          <t>No</t>
        </is>
      </c>
      <c r="H893" s="170">
        <f>IF(A893="","",IF(OR(NOT(ISNUMBER(C893)),C893=""),"No",IF(AND(HOUR(C893)&gt;=0,HOUR(C893)&lt;5),"Yes","No")))</f>
        <v/>
      </c>
      <c r="I893" s="183">
        <f>IF(OR(B893="",NOT(ISNUMBER(B893))),"",INT(B893))</f>
        <v/>
      </c>
    </row>
    <row r="894" ht="15" customHeight="1" s="122">
      <c r="A894" s="179" t="inlineStr">
        <is>
          <t>KBB 103Q</t>
        </is>
      </c>
      <c r="B894" s="172" t="inlineStr">
        <is>
          <t>23-02-2026 12:26:30</t>
        </is>
      </c>
      <c r="C894" s="172" t="inlineStr">
        <is>
          <t>23-02-2026 12:33:24</t>
        </is>
      </c>
      <c r="D894" s="173" t="inlineStr">
        <is>
          <t>4.28 Km</t>
        </is>
      </c>
      <c r="E894" s="181" t="n">
        <v>39</v>
      </c>
      <c r="F894" s="182" t="n">
        <v>61</v>
      </c>
      <c r="G894" s="172" t="inlineStr">
        <is>
          <t>No</t>
        </is>
      </c>
      <c r="H894" s="170">
        <f>IF(A894="","",IF(OR(NOT(ISNUMBER(C894)),C894=""),"No",IF(AND(HOUR(C894)&gt;=0,HOUR(C894)&lt;5),"Yes","No")))</f>
        <v/>
      </c>
      <c r="I894" s="183">
        <f>IF(OR(B894="",NOT(ISNUMBER(B894))),"",INT(B894))</f>
        <v/>
      </c>
    </row>
    <row r="895" ht="15" customHeight="1" s="122">
      <c r="A895" s="179" t="inlineStr">
        <is>
          <t>KBB 103Q</t>
        </is>
      </c>
      <c r="B895" s="172" t="inlineStr">
        <is>
          <t>23-02-2026 12:34:34</t>
        </is>
      </c>
      <c r="C895" s="172" t="inlineStr">
        <is>
          <t>23-02-2026 12:34:36</t>
        </is>
      </c>
      <c r="D895" s="173" t="inlineStr">
        <is>
          <t>0 Km</t>
        </is>
      </c>
      <c r="E895" s="181" t="n">
        <v>7</v>
      </c>
      <c r="F895" s="182" t="n">
        <v>7</v>
      </c>
      <c r="G895" s="172" t="inlineStr">
        <is>
          <t>No</t>
        </is>
      </c>
      <c r="H895" s="170">
        <f>IF(A895="","",IF(OR(NOT(ISNUMBER(C895)),C895=""),"No",IF(AND(HOUR(C895)&gt;=0,HOUR(C895)&lt;5),"Yes","No")))</f>
        <v/>
      </c>
      <c r="I895" s="183">
        <f>IF(OR(B895="",NOT(ISNUMBER(B895))),"",INT(B895))</f>
        <v/>
      </c>
    </row>
    <row r="896" ht="15" customHeight="1" s="122">
      <c r="A896" s="179" t="inlineStr">
        <is>
          <t>KBB 103Q</t>
        </is>
      </c>
      <c r="B896" s="172" t="inlineStr">
        <is>
          <t>23-02-2026 13:00:32</t>
        </is>
      </c>
      <c r="C896" s="172" t="inlineStr">
        <is>
          <t>23-02-2026 13:03:05</t>
        </is>
      </c>
      <c r="D896" s="173" t="inlineStr">
        <is>
          <t>0.27 Km</t>
        </is>
      </c>
      <c r="E896" s="181" t="n">
        <v>8</v>
      </c>
      <c r="F896" s="182" t="n">
        <v>12</v>
      </c>
      <c r="G896" s="172" t="inlineStr">
        <is>
          <t>No</t>
        </is>
      </c>
      <c r="H896" s="170">
        <f>IF(A896="","",IF(OR(NOT(ISNUMBER(C896)),C896=""),"No",IF(AND(HOUR(C896)&gt;=0,HOUR(C896)&lt;5),"Yes","No")))</f>
        <v/>
      </c>
      <c r="I896" s="183">
        <f>IF(OR(B896="",NOT(ISNUMBER(B896))),"",INT(B896))</f>
        <v/>
      </c>
    </row>
    <row r="897" ht="15" customHeight="1" s="122">
      <c r="A897" s="179" t="inlineStr">
        <is>
          <t>KBB 103Q</t>
        </is>
      </c>
      <c r="B897" s="172" t="inlineStr">
        <is>
          <t>23-02-2026 13:14:45</t>
        </is>
      </c>
      <c r="C897" s="172" t="inlineStr">
        <is>
          <t>23-02-2026 13:15:45</t>
        </is>
      </c>
      <c r="D897" s="173" t="inlineStr">
        <is>
          <t>0 Km</t>
        </is>
      </c>
      <c r="E897" s="181" t="n">
        <v>6</v>
      </c>
      <c r="F897" s="182" t="n">
        <v>6</v>
      </c>
      <c r="G897" s="172" t="inlineStr">
        <is>
          <t>No</t>
        </is>
      </c>
      <c r="H897" s="170">
        <f>IF(A897="","",IF(OR(NOT(ISNUMBER(C897)),C897=""),"No",IF(AND(HOUR(C897)&gt;=0,HOUR(C897)&lt;5),"Yes","No")))</f>
        <v/>
      </c>
      <c r="I897" s="183">
        <f>IF(OR(B897="",NOT(ISNUMBER(B897))),"",INT(B897))</f>
        <v/>
      </c>
    </row>
    <row r="898" ht="15" customHeight="1" s="122">
      <c r="A898" s="179" t="inlineStr">
        <is>
          <t>KBB 103Q</t>
        </is>
      </c>
      <c r="B898" s="172" t="inlineStr">
        <is>
          <t>23-02-2026 13:23:42</t>
        </is>
      </c>
      <c r="C898" s="172" t="inlineStr">
        <is>
          <t>23-02-2026 13:26:18</t>
        </is>
      </c>
      <c r="D898" s="173" t="inlineStr">
        <is>
          <t>0.3 Km</t>
        </is>
      </c>
      <c r="E898" s="181" t="n">
        <v>9</v>
      </c>
      <c r="F898" s="182" t="n">
        <v>16</v>
      </c>
      <c r="G898" s="172" t="inlineStr">
        <is>
          <t>No</t>
        </is>
      </c>
      <c r="H898" s="170">
        <f>IF(A898="","",IF(OR(NOT(ISNUMBER(C898)),C898=""),"No",IF(AND(HOUR(C898)&gt;=0,HOUR(C898)&lt;5),"Yes","No")))</f>
        <v/>
      </c>
      <c r="I898" s="183">
        <f>IF(OR(B898="",NOT(ISNUMBER(B898))),"",INT(B898))</f>
        <v/>
      </c>
    </row>
    <row r="899" ht="15" customHeight="1" s="122">
      <c r="A899" s="179" t="inlineStr">
        <is>
          <t>KBB 103Q</t>
        </is>
      </c>
      <c r="B899" s="172" t="inlineStr">
        <is>
          <t>23-02-2026 13:30:52</t>
        </is>
      </c>
      <c r="C899" s="172" t="inlineStr">
        <is>
          <t>23-02-2026 13:33:09</t>
        </is>
      </c>
      <c r="D899" s="173" t="inlineStr">
        <is>
          <t>0.34 Km</t>
        </is>
      </c>
      <c r="E899" s="181" t="n">
        <v>9</v>
      </c>
      <c r="F899" s="182" t="n">
        <v>22</v>
      </c>
      <c r="G899" s="172" t="inlineStr">
        <is>
          <t>No</t>
        </is>
      </c>
      <c r="H899" s="170">
        <f>IF(A899="","",IF(OR(NOT(ISNUMBER(C899)),C899=""),"No",IF(AND(HOUR(C899)&gt;=0,HOUR(C899)&lt;5),"Yes","No")))</f>
        <v/>
      </c>
      <c r="I899" s="183">
        <f>IF(OR(B899="",NOT(ISNUMBER(B899))),"",INT(B899))</f>
        <v/>
      </c>
    </row>
    <row r="900" ht="15" customHeight="1" s="122">
      <c r="A900" s="179" t="inlineStr">
        <is>
          <t>KBB 103Q</t>
        </is>
      </c>
      <c r="B900" s="172" t="inlineStr">
        <is>
          <t>23-02-2026 14:30:57</t>
        </is>
      </c>
      <c r="C900" s="172" t="inlineStr">
        <is>
          <t>23-02-2026 14:31:56</t>
        </is>
      </c>
      <c r="D900" s="173" t="inlineStr">
        <is>
          <t>0.01 Km</t>
        </is>
      </c>
      <c r="E900" s="181" t="n">
        <v>6</v>
      </c>
      <c r="F900" s="182" t="n">
        <v>6</v>
      </c>
      <c r="G900" s="172" t="inlineStr">
        <is>
          <t>No</t>
        </is>
      </c>
      <c r="H900" s="170">
        <f>IF(A900="","",IF(OR(NOT(ISNUMBER(C900)),C900=""),"No",IF(AND(HOUR(C900)&gt;=0,HOUR(C900)&lt;5),"Yes","No")))</f>
        <v/>
      </c>
      <c r="I900" s="183">
        <f>IF(OR(B900="",NOT(ISNUMBER(B900))),"",INT(B900))</f>
        <v/>
      </c>
    </row>
    <row r="901" ht="15" customHeight="1" s="122">
      <c r="A901" s="179" t="inlineStr">
        <is>
          <t>KBB 103Q</t>
        </is>
      </c>
      <c r="B901" s="172" t="inlineStr">
        <is>
          <t>23-02-2026 14:33:36</t>
        </is>
      </c>
      <c r="C901" s="172" t="inlineStr">
        <is>
          <t>23-02-2026 14:45:15</t>
        </is>
      </c>
      <c r="D901" s="173" t="inlineStr">
        <is>
          <t>7.89 Km</t>
        </is>
      </c>
      <c r="E901" s="181" t="n">
        <v>41</v>
      </c>
      <c r="F901" s="182" t="n">
        <v>63</v>
      </c>
      <c r="G901" s="172" t="inlineStr">
        <is>
          <t>No</t>
        </is>
      </c>
      <c r="H901" s="170">
        <f>IF(A901="","",IF(OR(NOT(ISNUMBER(C901)),C901=""),"No",IF(AND(HOUR(C901)&gt;=0,HOUR(C901)&lt;5),"Yes","No")))</f>
        <v/>
      </c>
      <c r="I901" s="183">
        <f>IF(OR(B901="",NOT(ISNUMBER(B901))),"",INT(B901))</f>
        <v/>
      </c>
    </row>
    <row r="902" ht="15" customHeight="1" s="122">
      <c r="A902" s="179" t="inlineStr">
        <is>
          <t>KBB 103Q</t>
        </is>
      </c>
      <c r="B902" s="172" t="inlineStr">
        <is>
          <t>23-02-2026 14:53:14</t>
        </is>
      </c>
      <c r="C902" s="172" t="inlineStr">
        <is>
          <t>23-02-2026 15:06:45</t>
        </is>
      </c>
      <c r="D902" s="173" t="inlineStr">
        <is>
          <t>7.98 Km</t>
        </is>
      </c>
      <c r="E902" s="181" t="n">
        <v>39</v>
      </c>
      <c r="F902" s="182" t="n">
        <v>61</v>
      </c>
      <c r="G902" s="172" t="inlineStr">
        <is>
          <t>No</t>
        </is>
      </c>
      <c r="H902" s="170">
        <f>IF(A902="","",IF(OR(NOT(ISNUMBER(C902)),C902=""),"No",IF(AND(HOUR(C902)&gt;=0,HOUR(C902)&lt;5),"Yes","No")))</f>
        <v/>
      </c>
      <c r="I902" s="183">
        <f>IF(OR(B902="",NOT(ISNUMBER(B902))),"",INT(B902))</f>
        <v/>
      </c>
    </row>
    <row r="903" ht="15" customHeight="1" s="122">
      <c r="A903" s="179" t="inlineStr">
        <is>
          <t>KBB 103Q</t>
        </is>
      </c>
      <c r="B903" s="172" t="inlineStr">
        <is>
          <t>23-02-2026 15:09:55</t>
        </is>
      </c>
      <c r="C903" s="172" t="inlineStr">
        <is>
          <t>23-02-2026 15:10:55</t>
        </is>
      </c>
      <c r="D903" s="173" t="inlineStr">
        <is>
          <t>0 Km</t>
        </is>
      </c>
      <c r="E903" s="181" t="n">
        <v>7</v>
      </c>
      <c r="F903" s="182" t="n">
        <v>7</v>
      </c>
      <c r="G903" s="172" t="inlineStr">
        <is>
          <t>No</t>
        </is>
      </c>
      <c r="H903" s="170">
        <f>IF(A903="","",IF(OR(NOT(ISNUMBER(C903)),C903=""),"No",IF(AND(HOUR(C903)&gt;=0,HOUR(C903)&lt;5),"Yes","No")))</f>
        <v/>
      </c>
      <c r="I903" s="183">
        <f>IF(OR(B903="",NOT(ISNUMBER(B903))),"",INT(B903))</f>
        <v/>
      </c>
    </row>
    <row r="904" ht="15" customHeight="1" s="122">
      <c r="A904" s="179" t="inlineStr">
        <is>
          <t>KBB 103Q</t>
        </is>
      </c>
      <c r="B904" s="172" t="inlineStr">
        <is>
          <t>23-02-2026 16:12:20</t>
        </is>
      </c>
      <c r="C904" s="172" t="inlineStr">
        <is>
          <t>23-02-2026 16:14:45</t>
        </is>
      </c>
      <c r="D904" s="173" t="inlineStr">
        <is>
          <t>0.06 Km</t>
        </is>
      </c>
      <c r="E904" s="181" t="n">
        <v>8</v>
      </c>
      <c r="F904" s="182" t="n">
        <v>9</v>
      </c>
      <c r="G904" s="172" t="inlineStr">
        <is>
          <t>No</t>
        </is>
      </c>
      <c r="H904" s="170">
        <f>IF(A904="","",IF(OR(NOT(ISNUMBER(C904)),C904=""),"No",IF(AND(HOUR(C904)&gt;=0,HOUR(C904)&lt;5),"Yes","No")))</f>
        <v/>
      </c>
      <c r="I904" s="183">
        <f>IF(OR(B904="",NOT(ISNUMBER(B904))),"",INT(B904))</f>
        <v/>
      </c>
    </row>
    <row r="905" ht="15" customHeight="1" s="122">
      <c r="A905" s="179" t="inlineStr">
        <is>
          <t>KBB 103Q</t>
        </is>
      </c>
      <c r="B905" s="172" t="inlineStr">
        <is>
          <t>23-02-2026 16:21:36</t>
        </is>
      </c>
      <c r="C905" s="172" t="inlineStr">
        <is>
          <t>23-02-2026 16:24:07</t>
        </is>
      </c>
      <c r="D905" s="173" t="inlineStr">
        <is>
          <t>0.28 Km</t>
        </is>
      </c>
      <c r="E905" s="181" t="n">
        <v>9</v>
      </c>
      <c r="F905" s="182" t="n">
        <v>12</v>
      </c>
      <c r="G905" s="172" t="inlineStr">
        <is>
          <t>No</t>
        </is>
      </c>
      <c r="H905" s="170">
        <f>IF(A905="","",IF(OR(NOT(ISNUMBER(C905)),C905=""),"No",IF(AND(HOUR(C905)&gt;=0,HOUR(C905)&lt;5),"Yes","No")))</f>
        <v/>
      </c>
      <c r="I905" s="183">
        <f>IF(OR(B905="",NOT(ISNUMBER(B905))),"",INT(B905))</f>
        <v/>
      </c>
    </row>
    <row r="906" ht="15" customHeight="1" s="122">
      <c r="A906" s="179" t="inlineStr">
        <is>
          <t>KBB 103Q</t>
        </is>
      </c>
      <c r="B906" s="172" t="inlineStr">
        <is>
          <t>23-02-2026 16:29:23</t>
        </is>
      </c>
      <c r="C906" s="172" t="inlineStr">
        <is>
          <t>23-02-2026 17:08:09</t>
        </is>
      </c>
      <c r="D906" s="173" t="inlineStr">
        <is>
          <t>33.21 Km</t>
        </is>
      </c>
      <c r="E906" s="181" t="n">
        <v>51</v>
      </c>
      <c r="F906" s="182" t="n">
        <v>77</v>
      </c>
      <c r="G906" s="172" t="inlineStr">
        <is>
          <t>No</t>
        </is>
      </c>
      <c r="H906" s="170">
        <f>IF(A906="","",IF(OR(NOT(ISNUMBER(C906)),C906=""),"No",IF(AND(HOUR(C906)&gt;=0,HOUR(C906)&lt;5),"Yes","No")))</f>
        <v/>
      </c>
      <c r="I906" s="183">
        <f>IF(OR(B906="",NOT(ISNUMBER(B906))),"",INT(B906))</f>
        <v/>
      </c>
    </row>
    <row r="907" ht="15" customHeight="1" s="122">
      <c r="A907" s="179" t="inlineStr">
        <is>
          <t>KBB 103Q</t>
        </is>
      </c>
      <c r="B907" s="172" t="inlineStr">
        <is>
          <t>23-02-2026 17:13:47</t>
        </is>
      </c>
      <c r="C907" s="172" t="inlineStr">
        <is>
          <t>23-02-2026 18:13:02</t>
        </is>
      </c>
      <c r="D907" s="173" t="inlineStr">
        <is>
          <t>49.73 Km</t>
        </is>
      </c>
      <c r="E907" s="181" t="n">
        <v>54</v>
      </c>
      <c r="F907" s="182" t="n">
        <v>82</v>
      </c>
      <c r="G907" s="172" t="inlineStr">
        <is>
          <t>No</t>
        </is>
      </c>
      <c r="H907" s="170">
        <f>IF(A907="","",IF(OR(NOT(ISNUMBER(C907)),C907=""),"No",IF(AND(HOUR(C907)&gt;=0,HOUR(C907)&lt;5),"Yes","No")))</f>
        <v/>
      </c>
      <c r="I907" s="183">
        <f>IF(OR(B907="",NOT(ISNUMBER(B907))),"",INT(B907))</f>
        <v/>
      </c>
    </row>
    <row r="908" ht="15" customHeight="1" s="122">
      <c r="A908" s="179" t="inlineStr">
        <is>
          <t>KBB 103Q</t>
        </is>
      </c>
      <c r="B908" s="172" t="inlineStr">
        <is>
          <t>23-02-2026 18:36:55</t>
        </is>
      </c>
      <c r="C908" s="172" t="inlineStr">
        <is>
          <t>23-02-2026 19:26:03</t>
        </is>
      </c>
      <c r="D908" s="173" t="inlineStr">
        <is>
          <t>42.31 Km</t>
        </is>
      </c>
      <c r="E908" s="181" t="n">
        <v>54</v>
      </c>
      <c r="F908" s="182" t="n">
        <v>80</v>
      </c>
      <c r="G908" s="172" t="inlineStr">
        <is>
          <t>No</t>
        </is>
      </c>
      <c r="H908" s="170">
        <f>IF(A908="","",IF(OR(NOT(ISNUMBER(C908)),C908=""),"No",IF(AND(HOUR(C908)&gt;=0,HOUR(C908)&lt;5),"Yes","No")))</f>
        <v/>
      </c>
      <c r="I908" s="183">
        <f>IF(OR(B908="",NOT(ISNUMBER(B908))),"",INT(B908))</f>
        <v/>
      </c>
    </row>
    <row r="909" ht="15" customHeight="1" s="122">
      <c r="A909" s="179" t="inlineStr">
        <is>
          <t>KBB 103Q</t>
        </is>
      </c>
      <c r="B909" s="172" t="inlineStr">
        <is>
          <t>23-02-2026 19:34:38</t>
        </is>
      </c>
      <c r="C909" s="172" t="inlineStr">
        <is>
          <t>23-02-2026 19:38:00</t>
        </is>
      </c>
      <c r="D909" s="173" t="inlineStr">
        <is>
          <t>0.52 Km</t>
        </is>
      </c>
      <c r="E909" s="181" t="n">
        <v>10</v>
      </c>
      <c r="F909" s="182" t="n">
        <v>21</v>
      </c>
      <c r="G909" s="172" t="inlineStr">
        <is>
          <t>No</t>
        </is>
      </c>
      <c r="H909" s="170">
        <f>IF(A909="","",IF(OR(NOT(ISNUMBER(C909)),C909=""),"No",IF(AND(HOUR(C909)&gt;=0,HOUR(C909)&lt;5),"Yes","No")))</f>
        <v/>
      </c>
      <c r="I909" s="183">
        <f>IF(OR(B909="",NOT(ISNUMBER(B909))),"",INT(B909))</f>
        <v/>
      </c>
    </row>
    <row r="910" ht="15" customHeight="1" s="122">
      <c r="A910" s="179" t="inlineStr">
        <is>
          <t>KBB 103Q</t>
        </is>
      </c>
      <c r="B910" s="172" t="inlineStr">
        <is>
          <t>23-02-2026 19:40:10</t>
        </is>
      </c>
      <c r="C910" s="172" t="inlineStr">
        <is>
          <t>23-02-2026 19:41:22</t>
        </is>
      </c>
      <c r="D910" s="173" t="inlineStr">
        <is>
          <t>0.01 Km</t>
        </is>
      </c>
      <c r="E910" s="181" t="n">
        <v>7</v>
      </c>
      <c r="F910" s="182" t="n">
        <v>8</v>
      </c>
      <c r="G910" s="172" t="inlineStr">
        <is>
          <t>No</t>
        </is>
      </c>
      <c r="H910" s="170">
        <f>IF(A910="","",IF(OR(NOT(ISNUMBER(C910)),C910=""),"No",IF(AND(HOUR(C910)&gt;=0,HOUR(C910)&lt;5),"Yes","No")))</f>
        <v/>
      </c>
      <c r="I910" s="183">
        <f>IF(OR(B910="",NOT(ISNUMBER(B910))),"",INT(B910))</f>
        <v/>
      </c>
    </row>
    <row r="911" ht="15" customHeight="1" s="122">
      <c r="A911" s="179" t="inlineStr">
        <is>
          <t>KBB 103Q</t>
        </is>
      </c>
      <c r="B911" s="172" t="inlineStr">
        <is>
          <t>23-02-2026 19:41:49</t>
        </is>
      </c>
      <c r="C911" s="172" t="inlineStr">
        <is>
          <t>23-02-2026 19:44:33</t>
        </is>
      </c>
      <c r="D911" s="173" t="inlineStr">
        <is>
          <t>0.31 Km</t>
        </is>
      </c>
      <c r="E911" s="181" t="n">
        <v>10</v>
      </c>
      <c r="F911" s="182" t="n">
        <v>17</v>
      </c>
      <c r="G911" s="172" t="inlineStr">
        <is>
          <t>No</t>
        </is>
      </c>
      <c r="H911" s="170">
        <f>IF(A911="","",IF(OR(NOT(ISNUMBER(C911)),C911=""),"No",IF(AND(HOUR(C911)&gt;=0,HOUR(C911)&lt;5),"Yes","No")))</f>
        <v/>
      </c>
      <c r="I911" s="183">
        <f>IF(OR(B911="",NOT(ISNUMBER(B911))),"",INT(B911))</f>
        <v/>
      </c>
    </row>
    <row r="912" ht="15" customHeight="1" s="122">
      <c r="A912" s="179" t="inlineStr">
        <is>
          <t>KBB 103Q</t>
        </is>
      </c>
      <c r="B912" s="172" t="inlineStr">
        <is>
          <t>23-02-2026 21:28:59</t>
        </is>
      </c>
      <c r="C912" s="172" t="inlineStr">
        <is>
          <t>23-02-2026 21:31:28</t>
        </is>
      </c>
      <c r="D912" s="173" t="inlineStr">
        <is>
          <t>0.32 Km</t>
        </is>
      </c>
      <c r="E912" s="181" t="n">
        <v>10</v>
      </c>
      <c r="F912" s="182" t="n">
        <v>19</v>
      </c>
      <c r="G912" s="172" t="inlineStr">
        <is>
          <t>No</t>
        </is>
      </c>
      <c r="H912" s="170">
        <f>IF(A912="","",IF(OR(NOT(ISNUMBER(C912)),C912=""),"No",IF(AND(HOUR(C912)&gt;=0,HOUR(C912)&lt;5),"Yes","No")))</f>
        <v/>
      </c>
      <c r="I912" s="183">
        <f>IF(OR(B912="",NOT(ISNUMBER(B912))),"",INT(B912))</f>
        <v/>
      </c>
    </row>
    <row r="913" ht="15" customHeight="1" s="122">
      <c r="A913" s="179" t="inlineStr">
        <is>
          <t>KBB 103Q</t>
        </is>
      </c>
      <c r="B913" s="172" t="inlineStr">
        <is>
          <t>24-02-2026 11:11:46</t>
        </is>
      </c>
      <c r="C913" s="172" t="inlineStr">
        <is>
          <t>24-02-2026 12:33:53</t>
        </is>
      </c>
      <c r="D913" s="173" t="inlineStr">
        <is>
          <t>65.58 Km</t>
        </is>
      </c>
      <c r="E913" s="181" t="n">
        <v>51</v>
      </c>
      <c r="F913" s="182" t="n">
        <v>84</v>
      </c>
      <c r="G913" s="172" t="inlineStr">
        <is>
          <t>No</t>
        </is>
      </c>
      <c r="H913" s="170">
        <f>IF(A913="","",IF(OR(NOT(ISNUMBER(C913)),C913=""),"No",IF(AND(HOUR(C913)&gt;=0,HOUR(C913)&lt;5),"Yes","No")))</f>
        <v/>
      </c>
      <c r="I913" s="183">
        <f>IF(OR(B913="",NOT(ISNUMBER(B913))),"",INT(B913))</f>
        <v/>
      </c>
    </row>
    <row r="914" ht="15" customHeight="1" s="122">
      <c r="A914" s="179" t="inlineStr">
        <is>
          <t>KBB 103Q</t>
        </is>
      </c>
      <c r="B914" s="172" t="inlineStr">
        <is>
          <t>24-02-2026 12:36:09</t>
        </is>
      </c>
      <c r="C914" s="172" t="inlineStr">
        <is>
          <t>24-02-2026 12:37:45</t>
        </is>
      </c>
      <c r="D914" s="173" t="inlineStr">
        <is>
          <t>0.4 Km</t>
        </is>
      </c>
      <c r="E914" s="181" t="n">
        <v>15</v>
      </c>
      <c r="F914" s="182" t="n">
        <v>41</v>
      </c>
      <c r="G914" s="172" t="inlineStr">
        <is>
          <t>No</t>
        </is>
      </c>
      <c r="H914" s="170">
        <f>IF(A914="","",IF(OR(NOT(ISNUMBER(C914)),C914=""),"No",IF(AND(HOUR(C914)&gt;=0,HOUR(C914)&lt;5),"Yes","No")))</f>
        <v/>
      </c>
      <c r="I914" s="183">
        <f>IF(OR(B914="",NOT(ISNUMBER(B914))),"",INT(B914))</f>
        <v/>
      </c>
    </row>
    <row r="915" ht="15" customHeight="1" s="122">
      <c r="A915" s="179" t="inlineStr">
        <is>
          <t>KBB 103Q</t>
        </is>
      </c>
      <c r="B915" s="172" t="inlineStr">
        <is>
          <t>24-02-2026 12:54:55</t>
        </is>
      </c>
      <c r="C915" s="172" t="inlineStr">
        <is>
          <t>24-02-2026 13:12:58</t>
        </is>
      </c>
      <c r="D915" s="173" t="inlineStr">
        <is>
          <t>14.99 Km</t>
        </is>
      </c>
      <c r="E915" s="181" t="n">
        <v>51</v>
      </c>
      <c r="F915" s="182" t="n">
        <v>80</v>
      </c>
      <c r="G915" s="172" t="inlineStr">
        <is>
          <t>No</t>
        </is>
      </c>
      <c r="H915" s="170">
        <f>IF(A915="","",IF(OR(NOT(ISNUMBER(C915)),C915=""),"No",IF(AND(HOUR(C915)&gt;=0,HOUR(C915)&lt;5),"Yes","No")))</f>
        <v/>
      </c>
      <c r="I915" s="183">
        <f>IF(OR(B915="",NOT(ISNUMBER(B915))),"",INT(B915))</f>
        <v/>
      </c>
    </row>
    <row r="916" ht="15" customHeight="1" s="122">
      <c r="A916" s="179" t="inlineStr">
        <is>
          <t>KBB 103Q</t>
        </is>
      </c>
      <c r="B916" s="172" t="inlineStr">
        <is>
          <t>24-02-2026 13:24:45</t>
        </is>
      </c>
      <c r="C916" s="172" t="inlineStr">
        <is>
          <t>24-02-2026 13:28:30</t>
        </is>
      </c>
      <c r="D916" s="173" t="inlineStr">
        <is>
          <t>0.38 Km</t>
        </is>
      </c>
      <c r="E916" s="181" t="n">
        <v>10</v>
      </c>
      <c r="F916" s="182" t="n">
        <v>18</v>
      </c>
      <c r="G916" s="172" t="inlineStr">
        <is>
          <t>No</t>
        </is>
      </c>
      <c r="H916" s="170">
        <f>IF(A916="","",IF(OR(NOT(ISNUMBER(C916)),C916=""),"No",IF(AND(HOUR(C916)&gt;=0,HOUR(C916)&lt;5),"Yes","No")))</f>
        <v/>
      </c>
      <c r="I916" s="183">
        <f>IF(OR(B916="",NOT(ISNUMBER(B916))),"",INT(B916))</f>
        <v/>
      </c>
    </row>
    <row r="917" ht="15" customHeight="1" s="122">
      <c r="A917" s="179" t="inlineStr">
        <is>
          <t>KBB 103Q</t>
        </is>
      </c>
      <c r="B917" s="172" t="inlineStr">
        <is>
          <t>24-02-2026 13:28:49</t>
        </is>
      </c>
      <c r="C917" s="172" t="inlineStr">
        <is>
          <t>24-02-2026 14:05:46</t>
        </is>
      </c>
      <c r="D917" s="173" t="inlineStr">
        <is>
          <t>16.13 Km</t>
        </is>
      </c>
      <c r="E917" s="181" t="n">
        <v>26</v>
      </c>
      <c r="F917" s="182" t="n">
        <v>69</v>
      </c>
      <c r="G917" s="172" t="inlineStr">
        <is>
          <t>No</t>
        </is>
      </c>
      <c r="H917" s="170">
        <f>IF(A917="","",IF(OR(NOT(ISNUMBER(C917)),C917=""),"No",IF(AND(HOUR(C917)&gt;=0,HOUR(C917)&lt;5),"Yes","No")))</f>
        <v/>
      </c>
      <c r="I917" s="183">
        <f>IF(OR(B917="",NOT(ISNUMBER(B917))),"",INT(B917))</f>
        <v/>
      </c>
    </row>
    <row r="918" ht="15" customHeight="1" s="122">
      <c r="A918" s="179" t="inlineStr">
        <is>
          <t>KBB 103Q</t>
        </is>
      </c>
      <c r="B918" s="172" t="inlineStr">
        <is>
          <t>24-02-2026 14:45:53</t>
        </is>
      </c>
      <c r="C918" s="172" t="inlineStr">
        <is>
          <t>24-02-2026 14:52:05</t>
        </is>
      </c>
      <c r="D918" s="173" t="inlineStr">
        <is>
          <t>1.21 Km</t>
        </is>
      </c>
      <c r="E918" s="181" t="n">
        <v>15</v>
      </c>
      <c r="F918" s="182" t="n">
        <v>32</v>
      </c>
      <c r="G918" s="172" t="inlineStr">
        <is>
          <t>No</t>
        </is>
      </c>
      <c r="H918" s="170">
        <f>IF(A918="","",IF(OR(NOT(ISNUMBER(C918)),C918=""),"No",IF(AND(HOUR(C918)&gt;=0,HOUR(C918)&lt;5),"Yes","No")))</f>
        <v/>
      </c>
      <c r="I918" s="183">
        <f>IF(OR(B918="",NOT(ISNUMBER(B918))),"",INT(B918))</f>
        <v/>
      </c>
    </row>
    <row r="919" ht="15" customHeight="1" s="122">
      <c r="A919" s="179" t="inlineStr">
        <is>
          <t>KBB 103Q</t>
        </is>
      </c>
      <c r="B919" s="172" t="inlineStr">
        <is>
          <t>24-02-2026 15:50:58</t>
        </is>
      </c>
      <c r="C919" s="172" t="inlineStr">
        <is>
          <t>24-02-2026 15:56:48</t>
        </is>
      </c>
      <c r="D919" s="173" t="inlineStr">
        <is>
          <t>1.1 Km</t>
        </is>
      </c>
      <c r="E919" s="181" t="n">
        <v>13</v>
      </c>
      <c r="F919" s="182" t="n">
        <v>25</v>
      </c>
      <c r="G919" s="172" t="inlineStr">
        <is>
          <t>No</t>
        </is>
      </c>
      <c r="H919" s="170">
        <f>IF(A919="","",IF(OR(NOT(ISNUMBER(C919)),C919=""),"No",IF(AND(HOUR(C919)&gt;=0,HOUR(C919)&lt;5),"Yes","No")))</f>
        <v/>
      </c>
      <c r="I919" s="183">
        <f>IF(OR(B919="",NOT(ISNUMBER(B919))),"",INT(B919))</f>
        <v/>
      </c>
    </row>
    <row r="920" ht="15" customHeight="1" s="122">
      <c r="A920" s="179" t="inlineStr">
        <is>
          <t>KBB 103Q</t>
        </is>
      </c>
      <c r="B920" s="172" t="inlineStr">
        <is>
          <t>24-02-2026 16:08:06</t>
        </is>
      </c>
      <c r="C920" s="172" t="inlineStr">
        <is>
          <t>24-02-2026 16:08:29</t>
        </is>
      </c>
      <c r="D920" s="173" t="inlineStr">
        <is>
          <t>0 Km</t>
        </is>
      </c>
      <c r="E920" s="181" t="n">
        <v>6</v>
      </c>
      <c r="F920" s="182" t="n">
        <v>6</v>
      </c>
      <c r="G920" s="172" t="inlineStr">
        <is>
          <t>No</t>
        </is>
      </c>
      <c r="H920" s="170">
        <f>IF(A920="","",IF(OR(NOT(ISNUMBER(C920)),C920=""),"No",IF(AND(HOUR(C920)&gt;=0,HOUR(C920)&lt;5),"Yes","No")))</f>
        <v/>
      </c>
      <c r="I920" s="183">
        <f>IF(OR(B920="",NOT(ISNUMBER(B920))),"",INT(B920))</f>
        <v/>
      </c>
    </row>
    <row r="921" ht="15" customHeight="1" s="122">
      <c r="A921" s="179" t="inlineStr">
        <is>
          <t>KBB 103Q</t>
        </is>
      </c>
      <c r="B921" s="172" t="inlineStr">
        <is>
          <t>24-02-2026 19:02:21</t>
        </is>
      </c>
      <c r="C921" s="172" t="inlineStr">
        <is>
          <t>24-02-2026 19:59:02</t>
        </is>
      </c>
      <c r="D921" s="173" t="inlineStr">
        <is>
          <t>26.98 Km</t>
        </is>
      </c>
      <c r="E921" s="181" t="n">
        <v>28</v>
      </c>
      <c r="F921" s="182" t="n">
        <v>60</v>
      </c>
      <c r="G921" s="172" t="inlineStr">
        <is>
          <t>No</t>
        </is>
      </c>
      <c r="H921" s="170">
        <f>IF(A921="","",IF(OR(NOT(ISNUMBER(C921)),C921=""),"No",IF(AND(HOUR(C921)&gt;=0,HOUR(C921)&lt;5),"Yes","No")))</f>
        <v/>
      </c>
      <c r="I921" s="183">
        <f>IF(OR(B921="",NOT(ISNUMBER(B921))),"",INT(B921))</f>
        <v/>
      </c>
    </row>
    <row r="922" ht="15" customHeight="1" s="122">
      <c r="A922" s="179" t="inlineStr">
        <is>
          <t>KBB 103Q</t>
        </is>
      </c>
      <c r="B922" s="172" t="inlineStr">
        <is>
          <t>24-02-2026 20:04:18</t>
        </is>
      </c>
      <c r="C922" s="172" t="inlineStr">
        <is>
          <t>24-02-2026 20:39:43</t>
        </is>
      </c>
      <c r="D922" s="173" t="inlineStr">
        <is>
          <t>23.64 Km</t>
        </is>
      </c>
      <c r="E922" s="181" t="n">
        <v>41</v>
      </c>
      <c r="F922" s="182" t="n">
        <v>65</v>
      </c>
      <c r="G922" s="172" t="inlineStr">
        <is>
          <t>No</t>
        </is>
      </c>
      <c r="H922" s="170">
        <f>IF(A922="","",IF(OR(NOT(ISNUMBER(C922)),C922=""),"No",IF(AND(HOUR(C922)&gt;=0,HOUR(C922)&lt;5),"Yes","No")))</f>
        <v/>
      </c>
      <c r="I922" s="183">
        <f>IF(OR(B922="",NOT(ISNUMBER(B922))),"",INT(B922))</f>
        <v/>
      </c>
    </row>
    <row r="923" ht="15" customHeight="1" s="122">
      <c r="A923" s="179" t="inlineStr">
        <is>
          <t>KBB 103Q</t>
        </is>
      </c>
      <c r="B923" s="172" t="inlineStr">
        <is>
          <t>24-02-2026 21:03:32</t>
        </is>
      </c>
      <c r="C923" s="172" t="inlineStr">
        <is>
          <t>24-02-2026 21:03:33</t>
        </is>
      </c>
      <c r="D923" s="173" t="inlineStr">
        <is>
          <t>0 Km</t>
        </is>
      </c>
      <c r="E923" s="181" t="n">
        <v>6</v>
      </c>
      <c r="F923" s="182" t="n">
        <v>6</v>
      </c>
      <c r="G923" s="172" t="inlineStr">
        <is>
          <t>No</t>
        </is>
      </c>
      <c r="H923" s="170">
        <f>IF(A923="","",IF(OR(NOT(ISNUMBER(C923)),C923=""),"No",IF(AND(HOUR(C923)&gt;=0,HOUR(C923)&lt;5),"Yes","No")))</f>
        <v/>
      </c>
      <c r="I923" s="183">
        <f>IF(OR(B923="",NOT(ISNUMBER(B923))),"",INT(B923))</f>
        <v/>
      </c>
    </row>
    <row r="924" ht="15" customHeight="1" s="122">
      <c r="A924" s="179" t="inlineStr">
        <is>
          <t>KBB 103Q</t>
        </is>
      </c>
      <c r="B924" s="172" t="inlineStr">
        <is>
          <t>24-02-2026 21:06:41</t>
        </is>
      </c>
      <c r="C924" s="172" t="inlineStr">
        <is>
          <t>24-02-2026 21:40:25</t>
        </is>
      </c>
      <c r="D924" s="173" t="inlineStr">
        <is>
          <t>24.17 Km</t>
        </is>
      </c>
      <c r="E924" s="181" t="n">
        <v>43</v>
      </c>
      <c r="F924" s="182" t="n">
        <v>73</v>
      </c>
      <c r="G924" s="172" t="inlineStr">
        <is>
          <t>No</t>
        </is>
      </c>
      <c r="H924" s="170">
        <f>IF(A924="","",IF(OR(NOT(ISNUMBER(C924)),C924=""),"No",IF(AND(HOUR(C924)&gt;=0,HOUR(C924)&lt;5),"Yes","No")))</f>
        <v/>
      </c>
      <c r="I924" s="183">
        <f>IF(OR(B924="",NOT(ISNUMBER(B924))),"",INT(B924))</f>
        <v/>
      </c>
    </row>
    <row r="925" ht="15" customHeight="1" s="122">
      <c r="A925" s="179" t="inlineStr">
        <is>
          <t>KBB 103Q</t>
        </is>
      </c>
      <c r="B925" s="172" t="inlineStr">
        <is>
          <t>24-02-2026 21:49:47</t>
        </is>
      </c>
      <c r="C925" s="172" t="inlineStr">
        <is>
          <t>24-02-2026 21:49:48</t>
        </is>
      </c>
      <c r="D925" s="173" t="inlineStr">
        <is>
          <t>0 Km</t>
        </is>
      </c>
      <c r="E925" s="181" t="n">
        <v>7</v>
      </c>
      <c r="F925" s="182" t="n">
        <v>7</v>
      </c>
      <c r="G925" s="172" t="inlineStr">
        <is>
          <t>No</t>
        </is>
      </c>
      <c r="H925" s="170">
        <f>IF(A925="","",IF(OR(NOT(ISNUMBER(C925)),C925=""),"No",IF(AND(HOUR(C925)&gt;=0,HOUR(C925)&lt;5),"Yes","No")))</f>
        <v/>
      </c>
      <c r="I925" s="183">
        <f>IF(OR(B925="",NOT(ISNUMBER(B925))),"",INT(B925))</f>
        <v/>
      </c>
    </row>
    <row r="926" ht="15" customHeight="1" s="122">
      <c r="A926" s="179" t="inlineStr">
        <is>
          <t>KBB 103Q</t>
        </is>
      </c>
      <c r="B926" s="172" t="inlineStr">
        <is>
          <t>24-02-2026 21:54:49</t>
        </is>
      </c>
      <c r="C926" s="172" t="inlineStr">
        <is>
          <t>24-02-2026 21:59:36</t>
        </is>
      </c>
      <c r="D926" s="173" t="inlineStr">
        <is>
          <t>1.29 Km</t>
        </is>
      </c>
      <c r="E926" s="181" t="n">
        <v>16</v>
      </c>
      <c r="F926" s="182" t="n">
        <v>43</v>
      </c>
      <c r="G926" s="172" t="inlineStr">
        <is>
          <t>No</t>
        </is>
      </c>
      <c r="H926" s="170">
        <f>IF(A926="","",IF(OR(NOT(ISNUMBER(C926)),C926=""),"No",IF(AND(HOUR(C926)&gt;=0,HOUR(C926)&lt;5),"Yes","No")))</f>
        <v/>
      </c>
      <c r="I926" s="183">
        <f>IF(OR(B926="",NOT(ISNUMBER(B926))),"",INT(B926))</f>
        <v/>
      </c>
    </row>
    <row r="927" ht="15" customHeight="1" s="122">
      <c r="A927" s="179" t="inlineStr">
        <is>
          <t>KBB 103Q</t>
        </is>
      </c>
      <c r="B927" s="172" t="inlineStr">
        <is>
          <t>24-02-2026 22:00:29</t>
        </is>
      </c>
      <c r="C927" s="172" t="inlineStr">
        <is>
          <t>24-02-2026 22:01:55</t>
        </is>
      </c>
      <c r="D927" s="173" t="inlineStr">
        <is>
          <t>0.19 Km</t>
        </is>
      </c>
      <c r="E927" s="181" t="n">
        <v>10</v>
      </c>
      <c r="F927" s="182" t="n">
        <v>22</v>
      </c>
      <c r="G927" s="172" t="inlineStr">
        <is>
          <t>Yes</t>
        </is>
      </c>
      <c r="H927" s="170">
        <f>IF(A927="","",IF(OR(NOT(ISNUMBER(C927)),C927=""),"No",IF(AND(HOUR(C927)&gt;=0,HOUR(C927)&lt;5),"Yes","No")))</f>
        <v/>
      </c>
      <c r="I927" s="183">
        <f>IF(OR(B927="",NOT(ISNUMBER(B927))),"",INT(B927))</f>
        <v/>
      </c>
    </row>
    <row r="928" ht="15" customHeight="1" s="122">
      <c r="A928" s="179" t="inlineStr">
        <is>
          <t>KBB 103Q</t>
        </is>
      </c>
      <c r="B928" s="172" t="inlineStr">
        <is>
          <t>24-02-2026 22:08:16</t>
        </is>
      </c>
      <c r="C928" s="172" t="inlineStr">
        <is>
          <t>24-02-2026 22:09:16</t>
        </is>
      </c>
      <c r="D928" s="173" t="inlineStr">
        <is>
          <t>0.16 Km</t>
        </is>
      </c>
      <c r="E928" s="181" t="n">
        <v>7</v>
      </c>
      <c r="F928" s="182" t="n">
        <v>7</v>
      </c>
      <c r="G928" s="172" t="inlineStr">
        <is>
          <t>Yes</t>
        </is>
      </c>
      <c r="H928" s="170">
        <f>IF(A928="","",IF(OR(NOT(ISNUMBER(C928)),C928=""),"No",IF(AND(HOUR(C928)&gt;=0,HOUR(C928)&lt;5),"Yes","No")))</f>
        <v/>
      </c>
      <c r="I928" s="183">
        <f>IF(OR(B928="",NOT(ISNUMBER(B928))),"",INT(B928))</f>
        <v/>
      </c>
    </row>
    <row r="929" ht="15" customHeight="1" s="122">
      <c r="A929" s="179" t="inlineStr">
        <is>
          <t>KBB 103Q</t>
        </is>
      </c>
      <c r="B929" s="172" t="inlineStr">
        <is>
          <t>24-02-2026 22:13:29</t>
        </is>
      </c>
      <c r="C929" s="172" t="inlineStr">
        <is>
          <t>24-02-2026 22:42:20</t>
        </is>
      </c>
      <c r="D929" s="173" t="inlineStr">
        <is>
          <t>17.38 Km</t>
        </is>
      </c>
      <c r="E929" s="181" t="n">
        <v>34</v>
      </c>
      <c r="F929" s="182" t="n">
        <v>77</v>
      </c>
      <c r="G929" s="172" t="inlineStr">
        <is>
          <t>Yes</t>
        </is>
      </c>
      <c r="H929" s="170">
        <f>IF(A929="","",IF(OR(NOT(ISNUMBER(C929)),C929=""),"No",IF(AND(HOUR(C929)&gt;=0,HOUR(C929)&lt;5),"Yes","No")))</f>
        <v/>
      </c>
      <c r="I929" s="183">
        <f>IF(OR(B929="",NOT(ISNUMBER(B929))),"",INT(B929))</f>
        <v/>
      </c>
    </row>
    <row r="930" ht="15" customHeight="1" s="122">
      <c r="A930" s="179" t="inlineStr">
        <is>
          <t>KBB 103Q</t>
        </is>
      </c>
      <c r="B930" s="172" t="inlineStr">
        <is>
          <t>24-02-2026 22:47:12</t>
        </is>
      </c>
      <c r="C930" s="172" t="inlineStr">
        <is>
          <t>24-02-2026 22:47:13</t>
        </is>
      </c>
      <c r="D930" s="173" t="inlineStr">
        <is>
          <t>0 Km</t>
        </is>
      </c>
      <c r="E930" s="181" t="n">
        <v>6</v>
      </c>
      <c r="F930" s="182" t="n">
        <v>6</v>
      </c>
      <c r="G930" s="172" t="inlineStr">
        <is>
          <t>Yes</t>
        </is>
      </c>
      <c r="H930" s="170">
        <f>IF(A930="","",IF(OR(NOT(ISNUMBER(C930)),C930=""),"No",IF(AND(HOUR(C930)&gt;=0,HOUR(C930)&lt;5),"Yes","No")))</f>
        <v/>
      </c>
      <c r="I930" s="183">
        <f>IF(OR(B930="",NOT(ISNUMBER(B930))),"",INT(B930))</f>
        <v/>
      </c>
    </row>
    <row r="931" ht="15" customHeight="1" s="122">
      <c r="A931" s="179" t="inlineStr">
        <is>
          <t>KBB 103Q</t>
        </is>
      </c>
      <c r="B931" s="172" t="inlineStr">
        <is>
          <t>25-02-2026 08:02:03</t>
        </is>
      </c>
      <c r="C931" s="172" t="inlineStr">
        <is>
          <t>25-02-2026 08:03:06</t>
        </is>
      </c>
      <c r="D931" s="173" t="inlineStr">
        <is>
          <t>0 Km</t>
        </is>
      </c>
      <c r="E931" s="181" t="n">
        <v>8</v>
      </c>
      <c r="F931" s="182" t="n">
        <v>9</v>
      </c>
      <c r="G931" s="172" t="inlineStr">
        <is>
          <t>No</t>
        </is>
      </c>
      <c r="H931" s="170">
        <f>IF(A931="","",IF(OR(NOT(ISNUMBER(C931)),C931=""),"No",IF(AND(HOUR(C931)&gt;=0,HOUR(C931)&lt;5),"Yes","No")))</f>
        <v/>
      </c>
      <c r="I931" s="183">
        <f>IF(OR(B931="",NOT(ISNUMBER(B931))),"",INT(B931))</f>
        <v/>
      </c>
    </row>
    <row r="932" ht="15" customHeight="1" s="122">
      <c r="A932" s="179" t="inlineStr">
        <is>
          <t>KBB 103Q</t>
        </is>
      </c>
      <c r="B932" s="172" t="inlineStr">
        <is>
          <t>25-02-2026 08:03:16</t>
        </is>
      </c>
      <c r="C932" s="172" t="inlineStr">
        <is>
          <t>25-02-2026 08:05:49</t>
        </is>
      </c>
      <c r="D932" s="173" t="inlineStr">
        <is>
          <t>0.03 Km</t>
        </is>
      </c>
      <c r="E932" s="181" t="n">
        <v>7</v>
      </c>
      <c r="F932" s="182" t="n">
        <v>9</v>
      </c>
      <c r="G932" s="172" t="inlineStr">
        <is>
          <t>No</t>
        </is>
      </c>
      <c r="H932" s="170">
        <f>IF(A932="","",IF(OR(NOT(ISNUMBER(C932)),C932=""),"No",IF(AND(HOUR(C932)&gt;=0,HOUR(C932)&lt;5),"Yes","No")))</f>
        <v/>
      </c>
      <c r="I932" s="183">
        <f>IF(OR(B932="",NOT(ISNUMBER(B932))),"",INT(B932))</f>
        <v/>
      </c>
    </row>
    <row r="933" ht="15" customHeight="1" s="122">
      <c r="A933" s="179" t="inlineStr">
        <is>
          <t>KBB 103Q</t>
        </is>
      </c>
      <c r="B933" s="172" t="inlineStr">
        <is>
          <t>25-02-2026 08:09:00</t>
        </is>
      </c>
      <c r="C933" s="172" t="inlineStr">
        <is>
          <t>25-02-2026 08:36:51</t>
        </is>
      </c>
      <c r="D933" s="173" t="inlineStr">
        <is>
          <t>22.58 Km</t>
        </is>
      </c>
      <c r="E933" s="181" t="n">
        <v>53</v>
      </c>
      <c r="F933" s="182" t="n">
        <v>80</v>
      </c>
      <c r="G933" s="172" t="inlineStr">
        <is>
          <t>No</t>
        </is>
      </c>
      <c r="H933" s="170">
        <f>IF(A933="","",IF(OR(NOT(ISNUMBER(C933)),C933=""),"No",IF(AND(HOUR(C933)&gt;=0,HOUR(C933)&lt;5),"Yes","No")))</f>
        <v/>
      </c>
      <c r="I933" s="183">
        <f>IF(OR(B933="",NOT(ISNUMBER(B933))),"",INT(B933))</f>
        <v/>
      </c>
    </row>
    <row r="934" ht="15" customHeight="1" s="122">
      <c r="A934" s="179" t="inlineStr">
        <is>
          <t>KBB 103Q</t>
        </is>
      </c>
      <c r="B934" s="172" t="inlineStr">
        <is>
          <t>25-02-2026 08:38:09</t>
        </is>
      </c>
      <c r="C934" s="172" t="inlineStr">
        <is>
          <t>25-02-2026 09:04:36</t>
        </is>
      </c>
      <c r="D934" s="173" t="inlineStr">
        <is>
          <t>19.77 Km</t>
        </is>
      </c>
      <c r="E934" s="181" t="n">
        <v>47</v>
      </c>
      <c r="F934" s="182" t="n">
        <v>79</v>
      </c>
      <c r="G934" s="172" t="inlineStr">
        <is>
          <t>No</t>
        </is>
      </c>
      <c r="H934" s="170">
        <f>IF(A934="","",IF(OR(NOT(ISNUMBER(C934)),C934=""),"No",IF(AND(HOUR(C934)&gt;=0,HOUR(C934)&lt;5),"Yes","No")))</f>
        <v/>
      </c>
      <c r="I934" s="183">
        <f>IF(OR(B934="",NOT(ISNUMBER(B934))),"",INT(B934))</f>
        <v/>
      </c>
    </row>
    <row r="935" ht="15" customHeight="1" s="122">
      <c r="A935" s="179" t="inlineStr">
        <is>
          <t>KBB 103Q</t>
        </is>
      </c>
      <c r="B935" s="172" t="inlineStr">
        <is>
          <t>25-02-2026 09:18:03</t>
        </is>
      </c>
      <c r="C935" s="172" t="inlineStr">
        <is>
          <t>25-02-2026 09:32:02</t>
        </is>
      </c>
      <c r="D935" s="173" t="inlineStr">
        <is>
          <t>4.93 Km</t>
        </is>
      </c>
      <c r="E935" s="181" t="n">
        <v>22</v>
      </c>
      <c r="F935" s="182" t="n">
        <v>49</v>
      </c>
      <c r="G935" s="172" t="inlineStr">
        <is>
          <t>No</t>
        </is>
      </c>
      <c r="H935" s="170">
        <f>IF(A935="","",IF(OR(NOT(ISNUMBER(C935)),C935=""),"No",IF(AND(HOUR(C935)&gt;=0,HOUR(C935)&lt;5),"Yes","No")))</f>
        <v/>
      </c>
      <c r="I935" s="183">
        <f>IF(OR(B935="",NOT(ISNUMBER(B935))),"",INT(B935))</f>
        <v/>
      </c>
    </row>
    <row r="936" ht="15" customHeight="1" s="122">
      <c r="A936" s="179" t="inlineStr">
        <is>
          <t>KBB 103Q</t>
        </is>
      </c>
      <c r="B936" s="172" t="inlineStr">
        <is>
          <t>25-02-2026 11:03:35</t>
        </is>
      </c>
      <c r="C936" s="172" t="inlineStr">
        <is>
          <t>25-02-2026 11:24:05</t>
        </is>
      </c>
      <c r="D936" s="173" t="inlineStr">
        <is>
          <t>16.58 Km</t>
        </is>
      </c>
      <c r="E936" s="181" t="n">
        <v>49</v>
      </c>
      <c r="F936" s="182" t="n">
        <v>71</v>
      </c>
      <c r="G936" s="172" t="inlineStr">
        <is>
          <t>No</t>
        </is>
      </c>
      <c r="H936" s="170">
        <f>IF(A936="","",IF(OR(NOT(ISNUMBER(C936)),C936=""),"No",IF(AND(HOUR(C936)&gt;=0,HOUR(C936)&lt;5),"Yes","No")))</f>
        <v/>
      </c>
      <c r="I936" s="183">
        <f>IF(OR(B936="",NOT(ISNUMBER(B936))),"",INT(B936))</f>
        <v/>
      </c>
    </row>
    <row r="937" ht="15" customHeight="1" s="122">
      <c r="A937" s="179" t="inlineStr">
        <is>
          <t>KBB 103Q</t>
        </is>
      </c>
      <c r="B937" s="172" t="inlineStr">
        <is>
          <t>25-02-2026 11:29:13</t>
        </is>
      </c>
      <c r="C937" s="172" t="inlineStr">
        <is>
          <t>25-02-2026 11:34:50</t>
        </is>
      </c>
      <c r="D937" s="173" t="inlineStr">
        <is>
          <t>2.3 Km</t>
        </is>
      </c>
      <c r="E937" s="181" t="n">
        <v>39</v>
      </c>
      <c r="F937" s="182" t="n">
        <v>77</v>
      </c>
      <c r="G937" s="172" t="inlineStr">
        <is>
          <t>No</t>
        </is>
      </c>
      <c r="H937" s="170">
        <f>IF(A937="","",IF(OR(NOT(ISNUMBER(C937)),C937=""),"No",IF(AND(HOUR(C937)&gt;=0,HOUR(C937)&lt;5),"Yes","No")))</f>
        <v/>
      </c>
      <c r="I937" s="183">
        <f>IF(OR(B937="",NOT(ISNUMBER(B937))),"",INT(B937))</f>
        <v/>
      </c>
    </row>
    <row r="938" ht="15" customHeight="1" s="122">
      <c r="A938" s="179" t="inlineStr">
        <is>
          <t>KBB 103Q</t>
        </is>
      </c>
      <c r="B938" s="172" t="inlineStr">
        <is>
          <t>25-02-2026 11:39:05</t>
        </is>
      </c>
      <c r="C938" s="172" t="inlineStr">
        <is>
          <t>25-02-2026 11:40:08</t>
        </is>
      </c>
      <c r="D938" s="173" t="inlineStr">
        <is>
          <t>0 Km</t>
        </is>
      </c>
      <c r="E938" s="181" t="n">
        <v>7</v>
      </c>
      <c r="F938" s="182" t="n">
        <v>8</v>
      </c>
      <c r="G938" s="172" t="inlineStr">
        <is>
          <t>No</t>
        </is>
      </c>
      <c r="H938" s="170">
        <f>IF(A938="","",IF(OR(NOT(ISNUMBER(C938)),C938=""),"No",IF(AND(HOUR(C938)&gt;=0,HOUR(C938)&lt;5),"Yes","No")))</f>
        <v/>
      </c>
      <c r="I938" s="183">
        <f>IF(OR(B938="",NOT(ISNUMBER(B938))),"",INT(B938))</f>
        <v/>
      </c>
    </row>
    <row r="939" ht="15" customHeight="1" s="122">
      <c r="A939" s="179" t="inlineStr">
        <is>
          <t>KBB 103Q</t>
        </is>
      </c>
      <c r="B939" s="172" t="inlineStr">
        <is>
          <t>25-02-2026 11:43:24</t>
        </is>
      </c>
      <c r="C939" s="172" t="inlineStr">
        <is>
          <t>25-02-2026 12:00:11</t>
        </is>
      </c>
      <c r="D939" s="173" t="inlineStr">
        <is>
          <t>14.98 Km</t>
        </is>
      </c>
      <c r="E939" s="181" t="n">
        <v>53</v>
      </c>
      <c r="F939" s="182" t="n">
        <v>79</v>
      </c>
      <c r="G939" s="172" t="inlineStr">
        <is>
          <t>No</t>
        </is>
      </c>
      <c r="H939" s="170">
        <f>IF(A939="","",IF(OR(NOT(ISNUMBER(C939)),C939=""),"No",IF(AND(HOUR(C939)&gt;=0,HOUR(C939)&lt;5),"Yes","No")))</f>
        <v/>
      </c>
      <c r="I939" s="183">
        <f>IF(OR(B939="",NOT(ISNUMBER(B939))),"",INT(B939))</f>
        <v/>
      </c>
    </row>
    <row r="940" ht="15" customHeight="1" s="122">
      <c r="A940" s="179" t="inlineStr">
        <is>
          <t>KBB 103Q</t>
        </is>
      </c>
      <c r="B940" s="172" t="inlineStr">
        <is>
          <t>25-02-2026 12:08:22</t>
        </is>
      </c>
      <c r="C940" s="172" t="inlineStr">
        <is>
          <t>25-02-2026 12:09:22</t>
        </is>
      </c>
      <c r="D940" s="173" t="inlineStr">
        <is>
          <t>0 Km</t>
        </is>
      </c>
      <c r="E940" s="181" t="n">
        <v>6</v>
      </c>
      <c r="F940" s="182" t="n">
        <v>6</v>
      </c>
      <c r="G940" s="172" t="inlineStr">
        <is>
          <t>No</t>
        </is>
      </c>
      <c r="H940" s="170">
        <f>IF(A940="","",IF(OR(NOT(ISNUMBER(C940)),C940=""),"No",IF(AND(HOUR(C940)&gt;=0,HOUR(C940)&lt;5),"Yes","No")))</f>
        <v/>
      </c>
      <c r="I940" s="183">
        <f>IF(OR(B940="",NOT(ISNUMBER(B940))),"",INT(B940))</f>
        <v/>
      </c>
    </row>
    <row r="941" ht="15" customHeight="1" s="122">
      <c r="A941" s="179" t="inlineStr">
        <is>
          <t>KBB 103Q</t>
        </is>
      </c>
      <c r="B941" s="172" t="inlineStr">
        <is>
          <t>25-02-2026 12:12:29</t>
        </is>
      </c>
      <c r="C941" s="172" t="inlineStr">
        <is>
          <t>25-02-2026 12:28:54</t>
        </is>
      </c>
      <c r="D941" s="173" t="inlineStr">
        <is>
          <t>8.83 Km</t>
        </is>
      </c>
      <c r="E941" s="181" t="n">
        <v>32</v>
      </c>
      <c r="F941" s="182" t="n">
        <v>60</v>
      </c>
      <c r="G941" s="172" t="inlineStr">
        <is>
          <t>No</t>
        </is>
      </c>
      <c r="H941" s="170">
        <f>IF(A941="","",IF(OR(NOT(ISNUMBER(C941)),C941=""),"No",IF(AND(HOUR(C941)&gt;=0,HOUR(C941)&lt;5),"Yes","No")))</f>
        <v/>
      </c>
      <c r="I941" s="183">
        <f>IF(OR(B941="",NOT(ISNUMBER(B941))),"",INT(B941))</f>
        <v/>
      </c>
    </row>
    <row r="942" ht="15" customHeight="1" s="122">
      <c r="A942" s="179" t="inlineStr">
        <is>
          <t>KBB 103Q</t>
        </is>
      </c>
      <c r="B942" s="172" t="inlineStr">
        <is>
          <t>25-02-2026 12:30:19</t>
        </is>
      </c>
      <c r="C942" s="172" t="inlineStr">
        <is>
          <t>25-02-2026 12:37:36</t>
        </is>
      </c>
      <c r="D942" s="173" t="inlineStr">
        <is>
          <t>1.89 Km</t>
        </is>
      </c>
      <c r="E942" s="181" t="n">
        <v>14</v>
      </c>
      <c r="F942" s="182" t="n">
        <v>27</v>
      </c>
      <c r="G942" s="172" t="inlineStr">
        <is>
          <t>No</t>
        </is>
      </c>
      <c r="H942" s="170">
        <f>IF(A942="","",IF(OR(NOT(ISNUMBER(C942)),C942=""),"No",IF(AND(HOUR(C942)&gt;=0,HOUR(C942)&lt;5),"Yes","No")))</f>
        <v/>
      </c>
      <c r="I942" s="183">
        <f>IF(OR(B942="",NOT(ISNUMBER(B942))),"",INT(B942))</f>
        <v/>
      </c>
    </row>
    <row r="943" ht="15" customHeight="1" s="122">
      <c r="A943" s="179" t="inlineStr">
        <is>
          <t>KBB 103Q</t>
        </is>
      </c>
      <c r="B943" s="172" t="inlineStr">
        <is>
          <t>25-02-2026 12:45:12</t>
        </is>
      </c>
      <c r="C943" s="172" t="inlineStr">
        <is>
          <t>25-02-2026 12:47:08</t>
        </is>
      </c>
      <c r="D943" s="173" t="inlineStr">
        <is>
          <t>0.02 Km</t>
        </is>
      </c>
      <c r="E943" s="181" t="n">
        <v>6</v>
      </c>
      <c r="F943" s="182" t="n">
        <v>6</v>
      </c>
      <c r="G943" s="172" t="inlineStr">
        <is>
          <t>No</t>
        </is>
      </c>
      <c r="H943" s="170">
        <f>IF(A943="","",IF(OR(NOT(ISNUMBER(C943)),C943=""),"No",IF(AND(HOUR(C943)&gt;=0,HOUR(C943)&lt;5),"Yes","No")))</f>
        <v/>
      </c>
      <c r="I943" s="183">
        <f>IF(OR(B943="",NOT(ISNUMBER(B943))),"",INT(B943))</f>
        <v/>
      </c>
    </row>
    <row r="944" ht="15" customHeight="1" s="122">
      <c r="A944" s="179" t="inlineStr">
        <is>
          <t>KBB 103Q</t>
        </is>
      </c>
      <c r="B944" s="172" t="inlineStr">
        <is>
          <t>25-02-2026 12:49:22</t>
        </is>
      </c>
      <c r="C944" s="172" t="inlineStr">
        <is>
          <t>25-02-2026 12:50:21</t>
        </is>
      </c>
      <c r="D944" s="173" t="inlineStr">
        <is>
          <t>0.01 Km</t>
        </is>
      </c>
      <c r="E944" s="181" t="n">
        <v>8</v>
      </c>
      <c r="F944" s="182" t="n">
        <v>8</v>
      </c>
      <c r="G944" s="172" t="inlineStr">
        <is>
          <t>No</t>
        </is>
      </c>
      <c r="H944" s="170">
        <f>IF(A944="","",IF(OR(NOT(ISNUMBER(C944)),C944=""),"No",IF(AND(HOUR(C944)&gt;=0,HOUR(C944)&lt;5),"Yes","No")))</f>
        <v/>
      </c>
      <c r="I944" s="183">
        <f>IF(OR(B944="",NOT(ISNUMBER(B944))),"",INT(B944))</f>
        <v/>
      </c>
    </row>
    <row r="945" ht="15" customHeight="1" s="122">
      <c r="A945" s="179" t="inlineStr">
        <is>
          <t>KBB 103Q</t>
        </is>
      </c>
      <c r="B945" s="172" t="inlineStr">
        <is>
          <t>25-02-2026 13:05:44</t>
        </is>
      </c>
      <c r="C945" s="172" t="inlineStr">
        <is>
          <t>25-02-2026 13:08:57</t>
        </is>
      </c>
      <c r="D945" s="173" t="inlineStr">
        <is>
          <t>0.01 Km</t>
        </is>
      </c>
      <c r="E945" s="181" t="n">
        <v>8</v>
      </c>
      <c r="F945" s="182" t="n">
        <v>9</v>
      </c>
      <c r="G945" s="172" t="inlineStr">
        <is>
          <t>No</t>
        </is>
      </c>
      <c r="H945" s="170">
        <f>IF(A945="","",IF(OR(NOT(ISNUMBER(C945)),C945=""),"No",IF(AND(HOUR(C945)&gt;=0,HOUR(C945)&lt;5),"Yes","No")))</f>
        <v/>
      </c>
      <c r="I945" s="183">
        <f>IF(OR(B945="",NOT(ISNUMBER(B945))),"",INT(B945))</f>
        <v/>
      </c>
    </row>
    <row r="946" ht="15" customHeight="1" s="122">
      <c r="A946" s="179" t="inlineStr">
        <is>
          <t>KBB 103Q</t>
        </is>
      </c>
      <c r="B946" s="172" t="inlineStr">
        <is>
          <t>25-02-2026 18:23:38</t>
        </is>
      </c>
      <c r="C946" s="172" t="inlineStr">
        <is>
          <t>25-02-2026 18:48:18</t>
        </is>
      </c>
      <c r="D946" s="173" t="inlineStr">
        <is>
          <t>8.94 Km</t>
        </is>
      </c>
      <c r="E946" s="181" t="n">
        <v>22</v>
      </c>
      <c r="F946" s="182" t="n">
        <v>65</v>
      </c>
      <c r="G946" s="172" t="inlineStr">
        <is>
          <t>No</t>
        </is>
      </c>
      <c r="H946" s="170">
        <f>IF(A946="","",IF(OR(NOT(ISNUMBER(C946)),C946=""),"No",IF(AND(HOUR(C946)&gt;=0,HOUR(C946)&lt;5),"Yes","No")))</f>
        <v/>
      </c>
      <c r="I946" s="183">
        <f>IF(OR(B946="",NOT(ISNUMBER(B946))),"",INT(B946))</f>
        <v/>
      </c>
    </row>
    <row r="947" ht="15" customHeight="1" s="122">
      <c r="A947" s="179" t="inlineStr">
        <is>
          <t>KBB 103Q</t>
        </is>
      </c>
      <c r="B947" s="172" t="inlineStr">
        <is>
          <t>25-02-2026 19:00:03</t>
        </is>
      </c>
      <c r="C947" s="172" t="inlineStr">
        <is>
          <t>25-02-2026 19:15:31</t>
        </is>
      </c>
      <c r="D947" s="173" t="inlineStr">
        <is>
          <t>14.87 Km</t>
        </is>
      </c>
      <c r="E947" s="181" t="n">
        <v>61</v>
      </c>
      <c r="F947" s="182" t="n">
        <v>79</v>
      </c>
      <c r="G947" s="172" t="inlineStr">
        <is>
          <t>No</t>
        </is>
      </c>
      <c r="H947" s="170">
        <f>IF(A947="","",IF(OR(NOT(ISNUMBER(C947)),C947=""),"No",IF(AND(HOUR(C947)&gt;=0,HOUR(C947)&lt;5),"Yes","No")))</f>
        <v/>
      </c>
      <c r="I947" s="183">
        <f>IF(OR(B947="",NOT(ISNUMBER(B947))),"",INT(B947))</f>
        <v/>
      </c>
    </row>
    <row r="948" ht="15" customHeight="1" s="122">
      <c r="A948" s="179" t="inlineStr">
        <is>
          <t>KBB 103Q</t>
        </is>
      </c>
      <c r="B948" s="172" t="inlineStr">
        <is>
          <t>25-02-2026 19:23:59</t>
        </is>
      </c>
      <c r="C948" s="172" t="inlineStr">
        <is>
          <t>25-02-2026 19:58:21</t>
        </is>
      </c>
      <c r="D948" s="173" t="inlineStr">
        <is>
          <t>23.65 Km</t>
        </is>
      </c>
      <c r="E948" s="181" t="n">
        <v>42</v>
      </c>
      <c r="F948" s="182" t="n">
        <v>74</v>
      </c>
      <c r="G948" s="172" t="inlineStr">
        <is>
          <t>No</t>
        </is>
      </c>
      <c r="H948" s="170">
        <f>IF(A948="","",IF(OR(NOT(ISNUMBER(C948)),C948=""),"No",IF(AND(HOUR(C948)&gt;=0,HOUR(C948)&lt;5),"Yes","No")))</f>
        <v/>
      </c>
      <c r="I948" s="183">
        <f>IF(OR(B948="",NOT(ISNUMBER(B948))),"",INT(B948))</f>
        <v/>
      </c>
    </row>
    <row r="949" ht="15" customHeight="1" s="122">
      <c r="A949" s="179" t="inlineStr">
        <is>
          <t>KBB 103Q</t>
        </is>
      </c>
      <c r="B949" s="172" t="inlineStr">
        <is>
          <t>25-02-2026 20:34:50</t>
        </is>
      </c>
      <c r="C949" s="172" t="inlineStr">
        <is>
          <t>25-02-2026 20:35:50</t>
        </is>
      </c>
      <c r="D949" s="173" t="inlineStr">
        <is>
          <t>0 Km</t>
        </is>
      </c>
      <c r="E949" s="181" t="n">
        <v>7</v>
      </c>
      <c r="F949" s="182" t="n">
        <v>7</v>
      </c>
      <c r="G949" s="172" t="inlineStr">
        <is>
          <t>No</t>
        </is>
      </c>
      <c r="H949" s="170">
        <f>IF(A949="","",IF(OR(NOT(ISNUMBER(C949)),C949=""),"No",IF(AND(HOUR(C949)&gt;=0,HOUR(C949)&lt;5),"Yes","No")))</f>
        <v/>
      </c>
      <c r="I949" s="183">
        <f>IF(OR(B949="",NOT(ISNUMBER(B949))),"",INT(B949))</f>
        <v/>
      </c>
    </row>
    <row r="950" ht="15" customHeight="1" s="122">
      <c r="A950" s="179" t="inlineStr">
        <is>
          <t>KBB 103Q</t>
        </is>
      </c>
      <c r="B950" s="172" t="inlineStr">
        <is>
          <t>25-02-2026 20:41:02</t>
        </is>
      </c>
      <c r="C950" s="172" t="inlineStr">
        <is>
          <t>25-02-2026 20:42:02</t>
        </is>
      </c>
      <c r="D950" s="173" t="inlineStr">
        <is>
          <t>0 Km</t>
        </is>
      </c>
      <c r="E950" s="181" t="n">
        <v>6</v>
      </c>
      <c r="F950" s="182" t="n">
        <v>6</v>
      </c>
      <c r="G950" s="172" t="inlineStr">
        <is>
          <t>No</t>
        </is>
      </c>
      <c r="H950" s="170">
        <f>IF(A950="","",IF(OR(NOT(ISNUMBER(C950)),C950=""),"No",IF(AND(HOUR(C950)&gt;=0,HOUR(C950)&lt;5),"Yes","No")))</f>
        <v/>
      </c>
      <c r="I950" s="183">
        <f>IF(OR(B950="",NOT(ISNUMBER(B950))),"",INT(B950))</f>
        <v/>
      </c>
    </row>
    <row r="951" ht="15" customHeight="1" s="122">
      <c r="A951" s="179" t="inlineStr">
        <is>
          <t>KBB 103Q</t>
        </is>
      </c>
      <c r="B951" s="172" t="inlineStr">
        <is>
          <t>25-02-2026 20:45:06</t>
        </is>
      </c>
      <c r="C951" s="172" t="inlineStr">
        <is>
          <t>25-02-2026 21:37:00</t>
        </is>
      </c>
      <c r="D951" s="173" t="inlineStr">
        <is>
          <t>42.87 Km</t>
        </is>
      </c>
      <c r="E951" s="181" t="n">
        <v>52</v>
      </c>
      <c r="F951" s="182" t="n">
        <v>86</v>
      </c>
      <c r="G951" s="172" t="inlineStr">
        <is>
          <t>No</t>
        </is>
      </c>
      <c r="H951" s="170">
        <f>IF(A951="","",IF(OR(NOT(ISNUMBER(C951)),C951=""),"No",IF(AND(HOUR(C951)&gt;=0,HOUR(C951)&lt;5),"Yes","No")))</f>
        <v/>
      </c>
      <c r="I951" s="183">
        <f>IF(OR(B951="",NOT(ISNUMBER(B951))),"",INT(B951))</f>
        <v/>
      </c>
    </row>
    <row r="952" ht="15" customHeight="1" s="122">
      <c r="A952" s="179" t="inlineStr">
        <is>
          <t>KBB 103Q</t>
        </is>
      </c>
      <c r="B952" s="172" t="inlineStr">
        <is>
          <t>25-02-2026 22:00:00</t>
        </is>
      </c>
      <c r="C952" s="172" t="inlineStr">
        <is>
          <t>25-02-2026 22:01:01</t>
        </is>
      </c>
      <c r="D952" s="173" t="inlineStr">
        <is>
          <t>0 Km</t>
        </is>
      </c>
      <c r="E952" s="181" t="n">
        <v>6</v>
      </c>
      <c r="F952" s="182" t="n">
        <v>6</v>
      </c>
      <c r="G952" s="172" t="inlineStr">
        <is>
          <t>Yes</t>
        </is>
      </c>
      <c r="H952" s="170">
        <f>IF(A952="","",IF(OR(NOT(ISNUMBER(C952)),C952=""),"No",IF(AND(HOUR(C952)&gt;=0,HOUR(C952)&lt;5),"Yes","No")))</f>
        <v/>
      </c>
      <c r="I952" s="183">
        <f>IF(OR(B952="",NOT(ISNUMBER(B952))),"",INT(B952))</f>
        <v/>
      </c>
    </row>
    <row r="953" ht="15" customHeight="1" s="122">
      <c r="A953" s="179" t="inlineStr">
        <is>
          <t>KBB 103Q</t>
        </is>
      </c>
      <c r="B953" s="172" t="inlineStr">
        <is>
          <t>26-02-2026 11:23:49</t>
        </is>
      </c>
      <c r="C953" s="172" t="inlineStr">
        <is>
          <t>26-02-2026 11:39:04</t>
        </is>
      </c>
      <c r="D953" s="173" t="inlineStr">
        <is>
          <t>6.77 Km</t>
        </is>
      </c>
      <c r="E953" s="181" t="n">
        <v>28</v>
      </c>
      <c r="F953" s="182" t="n">
        <v>68</v>
      </c>
      <c r="G953" s="172" t="inlineStr">
        <is>
          <t>No</t>
        </is>
      </c>
      <c r="H953" s="170">
        <f>IF(A953="","",IF(OR(NOT(ISNUMBER(C953)),C953=""),"No",IF(AND(HOUR(C953)&gt;=0,HOUR(C953)&lt;5),"Yes","No")))</f>
        <v/>
      </c>
      <c r="I953" s="183">
        <f>IF(OR(B953="",NOT(ISNUMBER(B953))),"",INT(B953))</f>
        <v/>
      </c>
    </row>
    <row r="954" ht="15" customHeight="1" s="122">
      <c r="A954" s="179" t="inlineStr">
        <is>
          <t>KBB 103Q</t>
        </is>
      </c>
      <c r="B954" s="172" t="inlineStr">
        <is>
          <t>26-02-2026 11:40:03</t>
        </is>
      </c>
      <c r="C954" s="172" t="inlineStr">
        <is>
          <t>26-02-2026 11:41:03</t>
        </is>
      </c>
      <c r="D954" s="173" t="inlineStr">
        <is>
          <t>0.05 Km</t>
        </is>
      </c>
      <c r="E954" s="181" t="n">
        <v>8</v>
      </c>
      <c r="F954" s="182" t="n">
        <v>8</v>
      </c>
      <c r="G954" s="172" t="inlineStr">
        <is>
          <t>No</t>
        </is>
      </c>
      <c r="H954" s="170">
        <f>IF(A954="","",IF(OR(NOT(ISNUMBER(C954)),C954=""),"No",IF(AND(HOUR(C954)&gt;=0,HOUR(C954)&lt;5),"Yes","No")))</f>
        <v/>
      </c>
      <c r="I954" s="183">
        <f>IF(OR(B954="",NOT(ISNUMBER(B954))),"",INT(B954))</f>
        <v/>
      </c>
    </row>
    <row r="955" ht="15" customHeight="1" s="122">
      <c r="A955" s="179" t="inlineStr">
        <is>
          <t>KBB 103Q</t>
        </is>
      </c>
      <c r="B955" s="172" t="inlineStr">
        <is>
          <t>26-02-2026 11:45:20</t>
        </is>
      </c>
      <c r="C955" s="172" t="inlineStr">
        <is>
          <t>26-02-2026 12:05:16</t>
        </is>
      </c>
      <c r="D955" s="173" t="inlineStr">
        <is>
          <t>15.06 Km</t>
        </is>
      </c>
      <c r="E955" s="181" t="n">
        <v>53</v>
      </c>
      <c r="F955" s="182" t="n">
        <v>83</v>
      </c>
      <c r="G955" s="172" t="inlineStr">
        <is>
          <t>No</t>
        </is>
      </c>
      <c r="H955" s="170">
        <f>IF(A955="","",IF(OR(NOT(ISNUMBER(C955)),C955=""),"No",IF(AND(HOUR(C955)&gt;=0,HOUR(C955)&lt;5),"Yes","No")))</f>
        <v/>
      </c>
      <c r="I955" s="183">
        <f>IF(OR(B955="",NOT(ISNUMBER(B955))),"",INT(B955))</f>
        <v/>
      </c>
    </row>
    <row r="956" ht="15" customHeight="1" s="122">
      <c r="A956" s="179" t="inlineStr">
        <is>
          <t>KBB 103Q</t>
        </is>
      </c>
      <c r="B956" s="172" t="inlineStr">
        <is>
          <t>26-02-2026 12:06:51</t>
        </is>
      </c>
      <c r="C956" s="172" t="inlineStr">
        <is>
          <t>26-02-2026 12:06:57</t>
        </is>
      </c>
      <c r="D956" s="173" t="inlineStr">
        <is>
          <t>0.05 Km</t>
        </is>
      </c>
      <c r="E956" s="181" t="n">
        <v>10</v>
      </c>
      <c r="F956" s="182" t="n">
        <v>10</v>
      </c>
      <c r="G956" s="172" t="inlineStr">
        <is>
          <t>No</t>
        </is>
      </c>
      <c r="H956" s="170">
        <f>IF(A956="","",IF(OR(NOT(ISNUMBER(C956)),C956=""),"No",IF(AND(HOUR(C956)&gt;=0,HOUR(C956)&lt;5),"Yes","No")))</f>
        <v/>
      </c>
      <c r="I956" s="183">
        <f>IF(OR(B956="",NOT(ISNUMBER(B956))),"",INT(B956))</f>
        <v/>
      </c>
    </row>
    <row r="957" ht="15" customHeight="1" s="122">
      <c r="A957" s="179" t="inlineStr">
        <is>
          <t>KBB 103Q</t>
        </is>
      </c>
      <c r="B957" s="172" t="inlineStr">
        <is>
          <t>26-02-2026 12:10:01</t>
        </is>
      </c>
      <c r="C957" s="172" t="inlineStr">
        <is>
          <t>26-02-2026 13:39:53</t>
        </is>
      </c>
      <c r="D957" s="173" t="inlineStr">
        <is>
          <t>79.65 Km</t>
        </is>
      </c>
      <c r="E957" s="181" t="n">
        <v>54</v>
      </c>
      <c r="F957" s="182" t="n">
        <v>85</v>
      </c>
      <c r="G957" s="172" t="inlineStr">
        <is>
          <t>No</t>
        </is>
      </c>
      <c r="H957" s="170">
        <f>IF(A957="","",IF(OR(NOT(ISNUMBER(C957)),C957=""),"No",IF(AND(HOUR(C957)&gt;=0,HOUR(C957)&lt;5),"Yes","No")))</f>
        <v/>
      </c>
      <c r="I957" s="183">
        <f>IF(OR(B957="",NOT(ISNUMBER(B957))),"",INT(B957))</f>
        <v/>
      </c>
    </row>
    <row r="958" ht="15" customHeight="1" s="122">
      <c r="A958" s="179" t="inlineStr">
        <is>
          <t>KBB 103Q</t>
        </is>
      </c>
      <c r="B958" s="172" t="inlineStr">
        <is>
          <t>26-02-2026 13:43:45</t>
        </is>
      </c>
      <c r="C958" s="172" t="inlineStr">
        <is>
          <t>26-02-2026 13:47:15</t>
        </is>
      </c>
      <c r="D958" s="173" t="inlineStr">
        <is>
          <t>0.27 Km</t>
        </is>
      </c>
      <c r="E958" s="181" t="n">
        <v>8</v>
      </c>
      <c r="F958" s="182" t="n">
        <v>11</v>
      </c>
      <c r="G958" s="172" t="inlineStr">
        <is>
          <t>No</t>
        </is>
      </c>
      <c r="H958" s="170">
        <f>IF(A958="","",IF(OR(NOT(ISNUMBER(C958)),C958=""),"No",IF(AND(HOUR(C958)&gt;=0,HOUR(C958)&lt;5),"Yes","No")))</f>
        <v/>
      </c>
      <c r="I958" s="183">
        <f>IF(OR(B958="",NOT(ISNUMBER(B958))),"",INT(B958))</f>
        <v/>
      </c>
    </row>
    <row r="959" ht="15" customHeight="1" s="122">
      <c r="A959" s="179" t="inlineStr">
        <is>
          <t>KBB 103Q</t>
        </is>
      </c>
      <c r="B959" s="172" t="inlineStr">
        <is>
          <t>26-02-2026 13:58:23</t>
        </is>
      </c>
      <c r="C959" s="172" t="inlineStr">
        <is>
          <t>26-02-2026 13:59:29</t>
        </is>
      </c>
      <c r="D959" s="173" t="inlineStr">
        <is>
          <t>0.02 Km</t>
        </is>
      </c>
      <c r="E959" s="181" t="n">
        <v>7</v>
      </c>
      <c r="F959" s="182" t="n">
        <v>7</v>
      </c>
      <c r="G959" s="172" t="inlineStr">
        <is>
          <t>No</t>
        </is>
      </c>
      <c r="H959" s="170">
        <f>IF(A959="","",IF(OR(NOT(ISNUMBER(C959)),C959=""),"No",IF(AND(HOUR(C959)&gt;=0,HOUR(C959)&lt;5),"Yes","No")))</f>
        <v/>
      </c>
      <c r="I959" s="183">
        <f>IF(OR(B959="",NOT(ISNUMBER(B959))),"",INT(B959))</f>
        <v/>
      </c>
    </row>
    <row r="960" ht="15" customHeight="1" s="122">
      <c r="A960" s="179" t="inlineStr">
        <is>
          <t>KBB 103Q</t>
        </is>
      </c>
      <c r="B960" s="172" t="inlineStr">
        <is>
          <t>26-02-2026 15:09:15</t>
        </is>
      </c>
      <c r="C960" s="172" t="inlineStr">
        <is>
          <t>26-02-2026 15:10:15</t>
        </is>
      </c>
      <c r="D960" s="173" t="inlineStr">
        <is>
          <t>0 Km</t>
        </is>
      </c>
      <c r="E960" s="181" t="n">
        <v>8</v>
      </c>
      <c r="F960" s="182" t="n">
        <v>8</v>
      </c>
      <c r="G960" s="172" t="inlineStr">
        <is>
          <t>No</t>
        </is>
      </c>
      <c r="H960" s="170">
        <f>IF(A960="","",IF(OR(NOT(ISNUMBER(C960)),C960=""),"No",IF(AND(HOUR(C960)&gt;=0,HOUR(C960)&lt;5),"Yes","No")))</f>
        <v/>
      </c>
      <c r="I960" s="183">
        <f>IF(OR(B960="",NOT(ISNUMBER(B960))),"",INT(B960))</f>
        <v/>
      </c>
    </row>
    <row r="961" ht="15" customHeight="1" s="122">
      <c r="A961" s="179" t="inlineStr">
        <is>
          <t>KBB 103Q</t>
        </is>
      </c>
      <c r="B961" s="172" t="inlineStr">
        <is>
          <t>26-02-2026 15:27:27</t>
        </is>
      </c>
      <c r="C961" s="172" t="inlineStr">
        <is>
          <t>26-02-2026 15:28:27</t>
        </is>
      </c>
      <c r="D961" s="173" t="inlineStr">
        <is>
          <t>0 Km</t>
        </is>
      </c>
      <c r="E961" s="181" t="n">
        <v>7</v>
      </c>
      <c r="F961" s="182" t="n">
        <v>7</v>
      </c>
      <c r="G961" s="172" t="inlineStr">
        <is>
          <t>No</t>
        </is>
      </c>
      <c r="H961" s="170">
        <f>IF(A961="","",IF(OR(NOT(ISNUMBER(C961)),C961=""),"No",IF(AND(HOUR(C961)&gt;=0,HOUR(C961)&lt;5),"Yes","No")))</f>
        <v/>
      </c>
      <c r="I961" s="183">
        <f>IF(OR(B961="",NOT(ISNUMBER(B961))),"",INT(B961))</f>
        <v/>
      </c>
    </row>
    <row r="962" ht="15" customHeight="1" s="122">
      <c r="A962" s="179" t="inlineStr">
        <is>
          <t>KBB 103Q</t>
        </is>
      </c>
      <c r="B962" s="172" t="inlineStr">
        <is>
          <t>26-02-2026 16:00:42</t>
        </is>
      </c>
      <c r="C962" s="172" t="inlineStr">
        <is>
          <t>26-02-2026 16:01:42</t>
        </is>
      </c>
      <c r="D962" s="173" t="inlineStr">
        <is>
          <t>0 Km</t>
        </is>
      </c>
      <c r="E962" s="181" t="n">
        <v>7</v>
      </c>
      <c r="F962" s="182" t="n">
        <v>7</v>
      </c>
      <c r="G962" s="172" t="inlineStr">
        <is>
          <t>No</t>
        </is>
      </c>
      <c r="H962" s="170">
        <f>IF(A962="","",IF(OR(NOT(ISNUMBER(C962)),C962=""),"No",IF(AND(HOUR(C962)&gt;=0,HOUR(C962)&lt;5),"Yes","No")))</f>
        <v/>
      </c>
      <c r="I962" s="183">
        <f>IF(OR(B962="",NOT(ISNUMBER(B962))),"",INT(B962))</f>
        <v/>
      </c>
    </row>
    <row r="963" ht="15" customHeight="1" s="122">
      <c r="A963" s="179" t="inlineStr">
        <is>
          <t>KBB 103Q</t>
        </is>
      </c>
      <c r="B963" s="172" t="inlineStr">
        <is>
          <t>26-02-2026 16:58:16</t>
        </is>
      </c>
      <c r="C963" s="172" t="inlineStr">
        <is>
          <t>26-02-2026 19:07:27</t>
        </is>
      </c>
      <c r="D963" s="173" t="inlineStr">
        <is>
          <t>117.45 Km</t>
        </is>
      </c>
      <c r="E963" s="181" t="n">
        <v>56</v>
      </c>
      <c r="F963" s="182" t="n">
        <v>94</v>
      </c>
      <c r="G963" s="172" t="inlineStr">
        <is>
          <t>No</t>
        </is>
      </c>
      <c r="H963" s="170">
        <f>IF(A963="","",IF(OR(NOT(ISNUMBER(C963)),C963=""),"No",IF(AND(HOUR(C963)&gt;=0,HOUR(C963)&lt;5),"Yes","No")))</f>
        <v/>
      </c>
      <c r="I963" s="183">
        <f>IF(OR(B963="",NOT(ISNUMBER(B963))),"",INT(B963))</f>
        <v/>
      </c>
    </row>
    <row r="964" ht="15" customHeight="1" s="122">
      <c r="A964" s="179" t="inlineStr">
        <is>
          <t>KBB 103Q</t>
        </is>
      </c>
      <c r="B964" s="172" t="inlineStr">
        <is>
          <t>26-02-2026 19:22:50</t>
        </is>
      </c>
      <c r="C964" s="172" t="inlineStr">
        <is>
          <t>26-02-2026 19:41:31</t>
        </is>
      </c>
      <c r="D964" s="173" t="inlineStr">
        <is>
          <t>11.99 Km</t>
        </is>
      </c>
      <c r="E964" s="181" t="n">
        <v>41</v>
      </c>
      <c r="F964" s="182" t="n">
        <v>69</v>
      </c>
      <c r="G964" s="172" t="inlineStr">
        <is>
          <t>No</t>
        </is>
      </c>
      <c r="H964" s="170">
        <f>IF(A964="","",IF(OR(NOT(ISNUMBER(C964)),C964=""),"No",IF(AND(HOUR(C964)&gt;=0,HOUR(C964)&lt;5),"Yes","No")))</f>
        <v/>
      </c>
      <c r="I964" s="183">
        <f>IF(OR(B964="",NOT(ISNUMBER(B964))),"",INT(B964))</f>
        <v/>
      </c>
    </row>
    <row r="965" ht="15" customHeight="1" s="122">
      <c r="A965" s="179" t="inlineStr">
        <is>
          <t>KBB 103Q</t>
        </is>
      </c>
      <c r="B965" s="172" t="inlineStr">
        <is>
          <t>27-02-2026 10:37:52</t>
        </is>
      </c>
      <c r="C965" s="172" t="inlineStr">
        <is>
          <t>27-02-2026 10:55:10</t>
        </is>
      </c>
      <c r="D965" s="173" t="inlineStr">
        <is>
          <t>12.1 Km</t>
        </is>
      </c>
      <c r="E965" s="181" t="n">
        <v>42</v>
      </c>
      <c r="F965" s="182" t="n">
        <v>74</v>
      </c>
      <c r="G965" s="172" t="inlineStr">
        <is>
          <t>No</t>
        </is>
      </c>
      <c r="H965" s="170">
        <f>IF(A965="","",IF(OR(NOT(ISNUMBER(C965)),C965=""),"No",IF(AND(HOUR(C965)&gt;=0,HOUR(C965)&lt;5),"Yes","No")))</f>
        <v/>
      </c>
      <c r="I965" s="183">
        <f>IF(OR(B965="",NOT(ISNUMBER(B965))),"",INT(B965))</f>
        <v/>
      </c>
    </row>
    <row r="966" ht="15" customHeight="1" s="122">
      <c r="A966" s="179" t="inlineStr">
        <is>
          <t>KBB 103Q</t>
        </is>
      </c>
      <c r="B966" s="172" t="inlineStr">
        <is>
          <t>27-02-2026 11:07:35</t>
        </is>
      </c>
      <c r="C966" s="172" t="inlineStr">
        <is>
          <t>27-02-2026 12:01:02</t>
        </is>
      </c>
      <c r="D966" s="173" t="inlineStr">
        <is>
          <t>47.49 Km</t>
        </is>
      </c>
      <c r="E966" s="181" t="n">
        <v>53</v>
      </c>
      <c r="F966" s="182" t="n">
        <v>83</v>
      </c>
      <c r="G966" s="172" t="inlineStr">
        <is>
          <t>No</t>
        </is>
      </c>
      <c r="H966" s="170">
        <f>IF(A966="","",IF(OR(NOT(ISNUMBER(C966)),C966=""),"No",IF(AND(HOUR(C966)&gt;=0,HOUR(C966)&lt;5),"Yes","No")))</f>
        <v/>
      </c>
      <c r="I966" s="183">
        <f>IF(OR(B966="",NOT(ISNUMBER(B966))),"",INT(B966))</f>
        <v/>
      </c>
    </row>
    <row r="967" ht="15" customHeight="1" s="122">
      <c r="A967" s="179" t="inlineStr">
        <is>
          <t>KBB 103Q</t>
        </is>
      </c>
      <c r="B967" s="172" t="inlineStr">
        <is>
          <t>27-02-2026 12:05:23</t>
        </is>
      </c>
      <c r="C967" s="172" t="inlineStr">
        <is>
          <t>27-02-2026 12:10:13</t>
        </is>
      </c>
      <c r="D967" s="173" t="inlineStr">
        <is>
          <t>1.61 Km</t>
        </is>
      </c>
      <c r="E967" s="181" t="n">
        <v>20</v>
      </c>
      <c r="F967" s="182" t="n">
        <v>42</v>
      </c>
      <c r="G967" s="172" t="inlineStr">
        <is>
          <t>No</t>
        </is>
      </c>
      <c r="H967" s="170">
        <f>IF(A967="","",IF(OR(NOT(ISNUMBER(C967)),C967=""),"No",IF(AND(HOUR(C967)&gt;=0,HOUR(C967)&lt;5),"Yes","No")))</f>
        <v/>
      </c>
      <c r="I967" s="183">
        <f>IF(OR(B967="",NOT(ISNUMBER(B967))),"",INT(B967))</f>
        <v/>
      </c>
    </row>
    <row r="968" ht="15" customHeight="1" s="122">
      <c r="A968" s="179" t="inlineStr">
        <is>
          <t>KBB 103Q</t>
        </is>
      </c>
      <c r="B968" s="172" t="inlineStr">
        <is>
          <t>27-02-2026 12:37:56</t>
        </is>
      </c>
      <c r="C968" s="172" t="inlineStr">
        <is>
          <t>27-02-2026 13:02:31</t>
        </is>
      </c>
      <c r="D968" s="173" t="inlineStr">
        <is>
          <t>19.59 Km</t>
        </is>
      </c>
      <c r="E968" s="181" t="n">
        <v>50</v>
      </c>
      <c r="F968" s="182" t="n">
        <v>83</v>
      </c>
      <c r="G968" s="172" t="inlineStr">
        <is>
          <t>No</t>
        </is>
      </c>
      <c r="H968" s="170">
        <f>IF(A968="","",IF(OR(NOT(ISNUMBER(C968)),C968=""),"No",IF(AND(HOUR(C968)&gt;=0,HOUR(C968)&lt;5),"Yes","No")))</f>
        <v/>
      </c>
      <c r="I968" s="183">
        <f>IF(OR(B968="",NOT(ISNUMBER(B968))),"",INT(B968))</f>
        <v/>
      </c>
    </row>
    <row r="969" ht="15" customHeight="1" s="122">
      <c r="A969" s="179" t="inlineStr">
        <is>
          <t>KBB 103Q</t>
        </is>
      </c>
      <c r="B969" s="172" t="inlineStr">
        <is>
          <t>27-02-2026 13:07:42</t>
        </is>
      </c>
      <c r="C969" s="172" t="inlineStr">
        <is>
          <t>27-02-2026 13:12:20</t>
        </is>
      </c>
      <c r="D969" s="173" t="inlineStr">
        <is>
          <t>1.45 Km</t>
        </is>
      </c>
      <c r="E969" s="181" t="n">
        <v>38</v>
      </c>
      <c r="F969" s="182" t="n">
        <v>63</v>
      </c>
      <c r="G969" s="172" t="inlineStr">
        <is>
          <t>No</t>
        </is>
      </c>
      <c r="H969" s="170">
        <f>IF(A969="","",IF(OR(NOT(ISNUMBER(C969)),C969=""),"No",IF(AND(HOUR(C969)&gt;=0,HOUR(C969)&lt;5),"Yes","No")))</f>
        <v/>
      </c>
      <c r="I969" s="183">
        <f>IF(OR(B969="",NOT(ISNUMBER(B969))),"",INT(B969))</f>
        <v/>
      </c>
    </row>
    <row r="970" ht="15" customHeight="1" s="122">
      <c r="A970" s="179" t="inlineStr">
        <is>
          <t>KBB 103Q</t>
        </is>
      </c>
      <c r="B970" s="172" t="inlineStr">
        <is>
          <t>27-02-2026 13:12:23</t>
        </is>
      </c>
      <c r="C970" s="172" t="inlineStr">
        <is>
          <t>27-02-2026 13:28:33</t>
        </is>
      </c>
      <c r="D970" s="173" t="inlineStr">
        <is>
          <t>14.38 Km</t>
        </is>
      </c>
      <c r="E970" s="181" t="n">
        <v>55</v>
      </c>
      <c r="F970" s="182" t="n">
        <v>74</v>
      </c>
      <c r="G970" s="172" t="inlineStr">
        <is>
          <t>No</t>
        </is>
      </c>
      <c r="H970" s="170">
        <f>IF(A970="","",IF(OR(NOT(ISNUMBER(C970)),C970=""),"No",IF(AND(HOUR(C970)&gt;=0,HOUR(C970)&lt;5),"Yes","No")))</f>
        <v/>
      </c>
      <c r="I970" s="183">
        <f>IF(OR(B970="",NOT(ISNUMBER(B970))),"",INT(B970))</f>
        <v/>
      </c>
    </row>
    <row r="971" ht="15" customHeight="1" s="122">
      <c r="A971" s="179" t="inlineStr">
        <is>
          <t>KBB 103Q</t>
        </is>
      </c>
      <c r="B971" s="172" t="inlineStr">
        <is>
          <t>27-02-2026 13:29:44</t>
        </is>
      </c>
      <c r="C971" s="172" t="inlineStr">
        <is>
          <t>27-02-2026 13:30:44</t>
        </is>
      </c>
      <c r="D971" s="173" t="inlineStr">
        <is>
          <t>0 Km</t>
        </is>
      </c>
      <c r="E971" s="181" t="n">
        <v>6</v>
      </c>
      <c r="F971" s="182" t="n">
        <v>6</v>
      </c>
      <c r="G971" s="172" t="inlineStr">
        <is>
          <t>No</t>
        </is>
      </c>
      <c r="H971" s="170">
        <f>IF(A971="","",IF(OR(NOT(ISNUMBER(C971)),C971=""),"No",IF(AND(HOUR(C971)&gt;=0,HOUR(C971)&lt;5),"Yes","No")))</f>
        <v/>
      </c>
      <c r="I971" s="183">
        <f>IF(OR(B971="",NOT(ISNUMBER(B971))),"",INT(B971))</f>
        <v/>
      </c>
    </row>
    <row r="972" ht="15" customHeight="1" s="122">
      <c r="A972" s="179" t="inlineStr">
        <is>
          <t>KBB 103Q</t>
        </is>
      </c>
      <c r="B972" s="172" t="inlineStr">
        <is>
          <t>27-02-2026 13:35:40</t>
        </is>
      </c>
      <c r="C972" s="172" t="inlineStr">
        <is>
          <t>27-02-2026 14:12:49</t>
        </is>
      </c>
      <c r="D972" s="173" t="inlineStr">
        <is>
          <t>34.88 Km</t>
        </is>
      </c>
      <c r="E972" s="181" t="n">
        <v>56</v>
      </c>
      <c r="F972" s="182" t="n">
        <v>76</v>
      </c>
      <c r="G972" s="172" t="inlineStr">
        <is>
          <t>No</t>
        </is>
      </c>
      <c r="H972" s="170">
        <f>IF(A972="","",IF(OR(NOT(ISNUMBER(C972)),C972=""),"No",IF(AND(HOUR(C972)&gt;=0,HOUR(C972)&lt;5),"Yes","No")))</f>
        <v/>
      </c>
      <c r="I972" s="183">
        <f>IF(OR(B972="",NOT(ISNUMBER(B972))),"",INT(B972))</f>
        <v/>
      </c>
    </row>
    <row r="973" ht="15" customHeight="1" s="122">
      <c r="A973" s="179" t="inlineStr">
        <is>
          <t>KBB 103Q</t>
        </is>
      </c>
      <c r="B973" s="172" t="inlineStr">
        <is>
          <t>27-02-2026 14:24:21</t>
        </is>
      </c>
      <c r="C973" s="172" t="inlineStr">
        <is>
          <t>27-02-2026 14:28:11</t>
        </is>
      </c>
      <c r="D973" s="173" t="inlineStr">
        <is>
          <t>0.41 Km</t>
        </is>
      </c>
      <c r="E973" s="181" t="n">
        <v>12</v>
      </c>
      <c r="F973" s="182" t="n">
        <v>22</v>
      </c>
      <c r="G973" s="172" t="inlineStr">
        <is>
          <t>No</t>
        </is>
      </c>
      <c r="H973" s="170">
        <f>IF(A973="","",IF(OR(NOT(ISNUMBER(C973)),C973=""),"No",IF(AND(HOUR(C973)&gt;=0,HOUR(C973)&lt;5),"Yes","No")))</f>
        <v/>
      </c>
      <c r="I973" s="183">
        <f>IF(OR(B973="",NOT(ISNUMBER(B973))),"",INT(B973))</f>
        <v/>
      </c>
    </row>
    <row r="974" ht="15" customHeight="1" s="122">
      <c r="A974" s="179" t="inlineStr">
        <is>
          <t>KBB 103Q</t>
        </is>
      </c>
      <c r="B974" s="172" t="inlineStr">
        <is>
          <t>27-02-2026 14:30:34</t>
        </is>
      </c>
      <c r="C974" s="172" t="inlineStr">
        <is>
          <t>27-02-2026 14:32:49</t>
        </is>
      </c>
      <c r="D974" s="173" t="inlineStr">
        <is>
          <t>0.46 Km</t>
        </is>
      </c>
      <c r="E974" s="181" t="n">
        <v>14</v>
      </c>
      <c r="F974" s="182" t="n">
        <v>24</v>
      </c>
      <c r="G974" s="172" t="inlineStr">
        <is>
          <t>No</t>
        </is>
      </c>
      <c r="H974" s="170">
        <f>IF(A974="","",IF(OR(NOT(ISNUMBER(C974)),C974=""),"No",IF(AND(HOUR(C974)&gt;=0,HOUR(C974)&lt;5),"Yes","No")))</f>
        <v/>
      </c>
      <c r="I974" s="183">
        <f>IF(OR(B974="",NOT(ISNUMBER(B974))),"",INT(B974))</f>
        <v/>
      </c>
    </row>
    <row r="975" ht="15" customHeight="1" s="122">
      <c r="A975" s="179" t="inlineStr">
        <is>
          <t>KBB 103Q</t>
        </is>
      </c>
      <c r="B975" s="172" t="inlineStr">
        <is>
          <t>27-02-2026 15:52:56</t>
        </is>
      </c>
      <c r="C975" s="172" t="inlineStr">
        <is>
          <t>27-02-2026 16:28:13</t>
        </is>
      </c>
      <c r="D975" s="173" t="inlineStr">
        <is>
          <t>34.02 Km</t>
        </is>
      </c>
      <c r="E975" s="181" t="n">
        <v>58</v>
      </c>
      <c r="F975" s="182" t="n">
        <v>79</v>
      </c>
      <c r="G975" s="172" t="inlineStr">
        <is>
          <t>No</t>
        </is>
      </c>
      <c r="H975" s="170">
        <f>IF(A975="","",IF(OR(NOT(ISNUMBER(C975)),C975=""),"No",IF(AND(HOUR(C975)&gt;=0,HOUR(C975)&lt;5),"Yes","No")))</f>
        <v/>
      </c>
      <c r="I975" s="183">
        <f>IF(OR(B975="",NOT(ISNUMBER(B975))),"",INT(B975))</f>
        <v/>
      </c>
    </row>
    <row r="976" ht="15" customHeight="1" s="122">
      <c r="A976" s="179" t="inlineStr">
        <is>
          <t>KBB 103Q</t>
        </is>
      </c>
      <c r="B976" s="172" t="inlineStr">
        <is>
          <t>27-02-2026 16:29:32</t>
        </is>
      </c>
      <c r="C976" s="172" t="inlineStr">
        <is>
          <t>27-02-2026 17:17:55</t>
        </is>
      </c>
      <c r="D976" s="173" t="inlineStr">
        <is>
          <t>35.74 Km</t>
        </is>
      </c>
      <c r="E976" s="181" t="n">
        <v>50</v>
      </c>
      <c r="F976" s="182" t="n">
        <v>81</v>
      </c>
      <c r="G976" s="172" t="inlineStr">
        <is>
          <t>No</t>
        </is>
      </c>
      <c r="H976" s="170">
        <f>IF(A976="","",IF(OR(NOT(ISNUMBER(C976)),C976=""),"No",IF(AND(HOUR(C976)&gt;=0,HOUR(C976)&lt;5),"Yes","No")))</f>
        <v/>
      </c>
      <c r="I976" s="183">
        <f>IF(OR(B976="",NOT(ISNUMBER(B976))),"",INT(B976))</f>
        <v/>
      </c>
    </row>
    <row r="977" ht="15" customHeight="1" s="122">
      <c r="A977" s="179" t="inlineStr">
        <is>
          <t>KBB 103Q</t>
        </is>
      </c>
      <c r="B977" s="172" t="inlineStr">
        <is>
          <t>27-02-2026 17:19:08</t>
        </is>
      </c>
      <c r="C977" s="172" t="inlineStr">
        <is>
          <t>27-02-2026 17:20:07</t>
        </is>
      </c>
      <c r="D977" s="173" t="inlineStr">
        <is>
          <t>0 Km</t>
        </is>
      </c>
      <c r="E977" s="181" t="n">
        <v>8</v>
      </c>
      <c r="F977" s="182" t="n">
        <v>8</v>
      </c>
      <c r="G977" s="172" t="inlineStr">
        <is>
          <t>No</t>
        </is>
      </c>
      <c r="H977" s="170">
        <f>IF(A977="","",IF(OR(NOT(ISNUMBER(C977)),C977=""),"No",IF(AND(HOUR(C977)&gt;=0,HOUR(C977)&lt;5),"Yes","No")))</f>
        <v/>
      </c>
      <c r="I977" s="183">
        <f>IF(OR(B977="",NOT(ISNUMBER(B977))),"",INT(B977))</f>
        <v/>
      </c>
    </row>
    <row r="978" ht="15" customHeight="1" s="122">
      <c r="A978" s="179" t="inlineStr">
        <is>
          <t>KBB 103Q</t>
        </is>
      </c>
      <c r="B978" s="172" t="inlineStr">
        <is>
          <t>27-02-2026 17:26:19</t>
        </is>
      </c>
      <c r="C978" s="172" t="inlineStr">
        <is>
          <t>27-02-2026 18:24:58</t>
        </is>
      </c>
      <c r="D978" s="173" t="inlineStr">
        <is>
          <t>42.48 Km</t>
        </is>
      </c>
      <c r="E978" s="181" t="n">
        <v>44</v>
      </c>
      <c r="F978" s="182" t="n">
        <v>66</v>
      </c>
      <c r="G978" s="172" t="inlineStr">
        <is>
          <t>No</t>
        </is>
      </c>
      <c r="H978" s="170">
        <f>IF(A978="","",IF(OR(NOT(ISNUMBER(C978)),C978=""),"No",IF(AND(HOUR(C978)&gt;=0,HOUR(C978)&lt;5),"Yes","No")))</f>
        <v/>
      </c>
      <c r="I978" s="183">
        <f>IF(OR(B978="",NOT(ISNUMBER(B978))),"",INT(B978))</f>
        <v/>
      </c>
    </row>
    <row r="979" ht="15" customHeight="1" s="122">
      <c r="A979" s="179" t="inlineStr">
        <is>
          <t>KBB 103Q</t>
        </is>
      </c>
      <c r="B979" s="172" t="inlineStr">
        <is>
          <t>27-02-2026 18:32:50</t>
        </is>
      </c>
      <c r="C979" s="172" t="inlineStr">
        <is>
          <t>27-02-2026 18:37:15</t>
        </is>
      </c>
      <c r="D979" s="173" t="inlineStr">
        <is>
          <t>0.54 Km</t>
        </is>
      </c>
      <c r="E979" s="181" t="n">
        <v>11</v>
      </c>
      <c r="F979" s="182" t="n">
        <v>16</v>
      </c>
      <c r="G979" s="172" t="inlineStr">
        <is>
          <t>No</t>
        </is>
      </c>
      <c r="H979" s="170">
        <f>IF(A979="","",IF(OR(NOT(ISNUMBER(C979)),C979=""),"No",IF(AND(HOUR(C979)&gt;=0,HOUR(C979)&lt;5),"Yes","No")))</f>
        <v/>
      </c>
      <c r="I979" s="183">
        <f>IF(OR(B979="",NOT(ISNUMBER(B979))),"",INT(B979))</f>
        <v/>
      </c>
    </row>
    <row r="980" ht="15" customHeight="1" s="122">
      <c r="A980" s="179" t="inlineStr">
        <is>
          <t>KBB 103Q</t>
        </is>
      </c>
      <c r="B980" s="172" t="inlineStr">
        <is>
          <t>27-02-2026 18:39:26</t>
        </is>
      </c>
      <c r="C980" s="172" t="inlineStr">
        <is>
          <t>27-02-2026 18:40:35</t>
        </is>
      </c>
      <c r="D980" s="173" t="inlineStr">
        <is>
          <t>0 Km</t>
        </is>
      </c>
      <c r="E980" s="181" t="n">
        <v>7</v>
      </c>
      <c r="F980" s="182" t="n">
        <v>7</v>
      </c>
      <c r="G980" s="172" t="inlineStr">
        <is>
          <t>No</t>
        </is>
      </c>
      <c r="H980" s="170">
        <f>IF(A980="","",IF(OR(NOT(ISNUMBER(C980)),C980=""),"No",IF(AND(HOUR(C980)&gt;=0,HOUR(C980)&lt;5),"Yes","No")))</f>
        <v/>
      </c>
      <c r="I980" s="183">
        <f>IF(OR(B980="",NOT(ISNUMBER(B980))),"",INT(B980))</f>
        <v/>
      </c>
    </row>
    <row r="981" ht="15" customHeight="1" s="122">
      <c r="A981" s="179" t="inlineStr">
        <is>
          <t>KBB 103Q</t>
        </is>
      </c>
      <c r="B981" s="172" t="inlineStr">
        <is>
          <t>27-02-2026 18:42:50</t>
        </is>
      </c>
      <c r="C981" s="172" t="inlineStr">
        <is>
          <t>27-02-2026 18:42:53</t>
        </is>
      </c>
      <c r="D981" s="173" t="inlineStr">
        <is>
          <t>0 Km</t>
        </is>
      </c>
      <c r="E981" s="181" t="n">
        <v>9</v>
      </c>
      <c r="F981" s="182" t="n">
        <v>9</v>
      </c>
      <c r="G981" s="172" t="inlineStr">
        <is>
          <t>No</t>
        </is>
      </c>
      <c r="H981" s="170">
        <f>IF(A981="","",IF(OR(NOT(ISNUMBER(C981)),C981=""),"No",IF(AND(HOUR(C981)&gt;=0,HOUR(C981)&lt;5),"Yes","No")))</f>
        <v/>
      </c>
      <c r="I981" s="183">
        <f>IF(OR(B981="",NOT(ISNUMBER(B981))),"",INT(B981))</f>
        <v/>
      </c>
    </row>
    <row r="982" ht="15" customHeight="1" s="122">
      <c r="A982" s="179" t="inlineStr">
        <is>
          <t>KBB 103Q</t>
        </is>
      </c>
      <c r="B982" s="172" t="inlineStr">
        <is>
          <t>27-02-2026 19:06:47</t>
        </is>
      </c>
      <c r="C982" s="172" t="inlineStr">
        <is>
          <t>27-02-2026 19:08:51</t>
        </is>
      </c>
      <c r="D982" s="173" t="inlineStr">
        <is>
          <t>0.12 Km</t>
        </is>
      </c>
      <c r="E982" s="181" t="n">
        <v>7</v>
      </c>
      <c r="F982" s="182" t="n">
        <v>9</v>
      </c>
      <c r="G982" s="172" t="inlineStr">
        <is>
          <t>No</t>
        </is>
      </c>
      <c r="H982" s="170">
        <f>IF(A982="","",IF(OR(NOT(ISNUMBER(C982)),C982=""),"No",IF(AND(HOUR(C982)&gt;=0,HOUR(C982)&lt;5),"Yes","No")))</f>
        <v/>
      </c>
      <c r="I982" s="183">
        <f>IF(OR(B982="",NOT(ISNUMBER(B982))),"",INT(B982))</f>
        <v/>
      </c>
    </row>
    <row r="983" ht="15" customHeight="1" s="122">
      <c r="A983" s="179" t="inlineStr">
        <is>
          <t>KBB 103Q</t>
        </is>
      </c>
      <c r="B983" s="172" t="inlineStr">
        <is>
          <t>27-02-2026 19:12:33</t>
        </is>
      </c>
      <c r="C983" s="172" t="inlineStr">
        <is>
          <t>27-02-2026 19:15:02</t>
        </is>
      </c>
      <c r="D983" s="173" t="inlineStr">
        <is>
          <t>0.13 Km</t>
        </is>
      </c>
      <c r="E983" s="181" t="n">
        <v>8</v>
      </c>
      <c r="F983" s="182" t="n">
        <v>9</v>
      </c>
      <c r="G983" s="172" t="inlineStr">
        <is>
          <t>No</t>
        </is>
      </c>
      <c r="H983" s="170">
        <f>IF(A983="","",IF(OR(NOT(ISNUMBER(C983)),C983=""),"No",IF(AND(HOUR(C983)&gt;=0,HOUR(C983)&lt;5),"Yes","No")))</f>
        <v/>
      </c>
      <c r="I983" s="183">
        <f>IF(OR(B983="",NOT(ISNUMBER(B983))),"",INT(B983))</f>
        <v/>
      </c>
    </row>
    <row r="984" ht="15" customHeight="1" s="122">
      <c r="A984" s="179" t="inlineStr">
        <is>
          <t>KBB 103Q</t>
        </is>
      </c>
      <c r="B984" s="172" t="inlineStr">
        <is>
          <t>27-02-2026 19:15:48</t>
        </is>
      </c>
      <c r="C984" s="172" t="inlineStr">
        <is>
          <t>27-02-2026 19:21:56</t>
        </is>
      </c>
      <c r="D984" s="173" t="inlineStr">
        <is>
          <t>0.55 Km</t>
        </is>
      </c>
      <c r="E984" s="181" t="n">
        <v>10</v>
      </c>
      <c r="F984" s="182" t="n">
        <v>17</v>
      </c>
      <c r="G984" s="172" t="inlineStr">
        <is>
          <t>No</t>
        </is>
      </c>
      <c r="H984" s="170">
        <f>IF(A984="","",IF(OR(NOT(ISNUMBER(C984)),C984=""),"No",IF(AND(HOUR(C984)&gt;=0,HOUR(C984)&lt;5),"Yes","No")))</f>
        <v/>
      </c>
      <c r="I984" s="183">
        <f>IF(OR(B984="",NOT(ISNUMBER(B984))),"",INT(B984))</f>
        <v/>
      </c>
    </row>
    <row r="985" ht="15" customHeight="1" s="122">
      <c r="A985" s="179" t="inlineStr">
        <is>
          <t>KBB 103Q</t>
        </is>
      </c>
      <c r="B985" s="172" t="inlineStr">
        <is>
          <t>27-02-2026 19:22:10</t>
        </is>
      </c>
      <c r="C985" s="172" t="inlineStr">
        <is>
          <t>27-02-2026 19:45:33</t>
        </is>
      </c>
      <c r="D985" s="173" t="inlineStr">
        <is>
          <t>14.16 Km</t>
        </is>
      </c>
      <c r="E985" s="181" t="n">
        <v>36</v>
      </c>
      <c r="F985" s="182" t="n">
        <v>62</v>
      </c>
      <c r="G985" s="172" t="inlineStr">
        <is>
          <t>No</t>
        </is>
      </c>
      <c r="H985" s="170">
        <f>IF(A985="","",IF(OR(NOT(ISNUMBER(C985)),C985=""),"No",IF(AND(HOUR(C985)&gt;=0,HOUR(C985)&lt;5),"Yes","No")))</f>
        <v/>
      </c>
      <c r="I985" s="183">
        <f>IF(OR(B985="",NOT(ISNUMBER(B985))),"",INT(B985))</f>
        <v/>
      </c>
    </row>
    <row r="986" ht="15" customHeight="1" s="122">
      <c r="A986" s="179" t="inlineStr">
        <is>
          <t>KBB 103Q</t>
        </is>
      </c>
      <c r="B986" s="172" t="inlineStr">
        <is>
          <t>27-02-2026 20:04:45</t>
        </is>
      </c>
      <c r="C986" s="172" t="inlineStr">
        <is>
          <t>27-02-2026 20:19:58</t>
        </is>
      </c>
      <c r="D986" s="173" t="inlineStr">
        <is>
          <t>5.9 Km</t>
        </is>
      </c>
      <c r="E986" s="181" t="n">
        <v>21</v>
      </c>
      <c r="F986" s="182" t="n">
        <v>54</v>
      </c>
      <c r="G986" s="172" t="inlineStr">
        <is>
          <t>No</t>
        </is>
      </c>
      <c r="H986" s="170">
        <f>IF(A986="","",IF(OR(NOT(ISNUMBER(C986)),C986=""),"No",IF(AND(HOUR(C986)&gt;=0,HOUR(C986)&lt;5),"Yes","No")))</f>
        <v/>
      </c>
      <c r="I986" s="183">
        <f>IF(OR(B986="",NOT(ISNUMBER(B986))),"",INT(B986))</f>
        <v/>
      </c>
    </row>
    <row r="987" ht="15" customHeight="1" s="122">
      <c r="A987" s="179" t="inlineStr">
        <is>
          <t>KBB 103Q</t>
        </is>
      </c>
      <c r="B987" s="172" t="inlineStr">
        <is>
          <t>27-02-2026 20:40:17</t>
        </is>
      </c>
      <c r="C987" s="172" t="inlineStr">
        <is>
          <t>27-02-2026 21:03:54</t>
        </is>
      </c>
      <c r="D987" s="173" t="inlineStr">
        <is>
          <t>14.74 Km</t>
        </is>
      </c>
      <c r="E987" s="181" t="n">
        <v>37</v>
      </c>
      <c r="F987" s="182" t="n">
        <v>74</v>
      </c>
      <c r="G987" s="172" t="inlineStr">
        <is>
          <t>No</t>
        </is>
      </c>
      <c r="H987" s="170">
        <f>IF(A987="","",IF(OR(NOT(ISNUMBER(C987)),C987=""),"No",IF(AND(HOUR(C987)&gt;=0,HOUR(C987)&lt;5),"Yes","No")))</f>
        <v/>
      </c>
      <c r="I987" s="183">
        <f>IF(OR(B987="",NOT(ISNUMBER(B987))),"",INT(B987))</f>
        <v/>
      </c>
    </row>
    <row r="988" ht="15" customHeight="1" s="122">
      <c r="A988" s="179" t="inlineStr">
        <is>
          <t>KBB 104Q</t>
        </is>
      </c>
      <c r="B988" s="180" t="n">
        <v>46024.71616898148</v>
      </c>
      <c r="C988" s="180" t="n">
        <v>46024.72439814815</v>
      </c>
      <c r="D988" s="173" t="inlineStr">
        <is>
          <t>8.08 Km</t>
        </is>
      </c>
      <c r="E988" s="181" t="n">
        <v>46</v>
      </c>
      <c r="F988" s="182" t="n">
        <v>91</v>
      </c>
      <c r="G988" s="172" t="inlineStr">
        <is>
          <t>No</t>
        </is>
      </c>
      <c r="H988" s="170">
        <f>IF(A988="","",IF(OR(NOT(ISNUMBER(C988)),C988=""),"No",IF(AND(HOUR(C988)&gt;=0,HOUR(C988)&lt;5),"Yes","No")))</f>
        <v/>
      </c>
      <c r="I988" s="183">
        <f>IF(OR(B988="",NOT(ISNUMBER(B988))),"",INT(B988))</f>
        <v/>
      </c>
    </row>
    <row r="989" ht="15" customHeight="1" s="122">
      <c r="A989" s="179" t="inlineStr">
        <is>
          <t>KBB 104Q</t>
        </is>
      </c>
      <c r="B989" s="180" t="n">
        <v>46024.73055555556</v>
      </c>
      <c r="C989" s="180" t="n">
        <v>46024.73127314815</v>
      </c>
      <c r="D989" s="173" t="inlineStr">
        <is>
          <t>0.01 Km</t>
        </is>
      </c>
      <c r="E989" s="181" t="n">
        <v>6</v>
      </c>
      <c r="F989" s="182" t="n">
        <v>6</v>
      </c>
      <c r="G989" s="172" t="inlineStr">
        <is>
          <t>No</t>
        </is>
      </c>
      <c r="H989" s="170">
        <f>IF(A989="","",IF(OR(NOT(ISNUMBER(C989)),C989=""),"No",IF(AND(HOUR(C989)&gt;=0,HOUR(C989)&lt;5),"Yes","No")))</f>
        <v/>
      </c>
      <c r="I989" s="183">
        <f>IF(OR(B989="",NOT(ISNUMBER(B989))),"",INT(B989))</f>
        <v/>
      </c>
    </row>
    <row r="990" ht="15" customHeight="1" s="122">
      <c r="A990" s="179" t="inlineStr">
        <is>
          <t>KBB 104Q</t>
        </is>
      </c>
      <c r="B990" s="180" t="n">
        <v>46024.73141203704</v>
      </c>
      <c r="C990" s="180" t="n">
        <v>46024.73584490741</v>
      </c>
      <c r="D990" s="173" t="inlineStr">
        <is>
          <t>3.42 Km</t>
        </is>
      </c>
      <c r="E990" s="181" t="n">
        <v>32</v>
      </c>
      <c r="F990" s="182" t="n">
        <v>83</v>
      </c>
      <c r="G990" s="172" t="inlineStr">
        <is>
          <t>No</t>
        </is>
      </c>
      <c r="H990" s="170">
        <f>IF(A990="","",IF(OR(NOT(ISNUMBER(C990)),C990=""),"No",IF(AND(HOUR(C990)&gt;=0,HOUR(C990)&lt;5),"Yes","No")))</f>
        <v/>
      </c>
      <c r="I990" s="183">
        <f>IF(OR(B990="",NOT(ISNUMBER(B990))),"",INT(B990))</f>
        <v/>
      </c>
    </row>
    <row r="991" ht="15" customHeight="1" s="122">
      <c r="A991" s="179" t="inlineStr">
        <is>
          <t>KBB 104Q</t>
        </is>
      </c>
      <c r="B991" s="180" t="n">
        <v>46024.7380787037</v>
      </c>
      <c r="C991" s="180" t="n">
        <v>46024.74144675926</v>
      </c>
      <c r="D991" s="173" t="inlineStr">
        <is>
          <t>1.24 Km</t>
        </is>
      </c>
      <c r="E991" s="181" t="n">
        <v>15</v>
      </c>
      <c r="F991" s="182" t="n">
        <v>35</v>
      </c>
      <c r="G991" s="172" t="inlineStr">
        <is>
          <t>No</t>
        </is>
      </c>
      <c r="H991" s="170">
        <f>IF(A991="","",IF(OR(NOT(ISNUMBER(C991)),C991=""),"No",IF(AND(HOUR(C991)&gt;=0,HOUR(C991)&lt;5),"Yes","No")))</f>
        <v/>
      </c>
      <c r="I991" s="183">
        <f>IF(OR(B991="",NOT(ISNUMBER(B991))),"",INT(B991))</f>
        <v/>
      </c>
    </row>
    <row r="992" ht="15" customHeight="1" s="122">
      <c r="A992" s="179" t="inlineStr">
        <is>
          <t>KBB 104Q</t>
        </is>
      </c>
      <c r="B992" s="180" t="n">
        <v>46024.78711805555</v>
      </c>
      <c r="C992" s="180" t="n">
        <v>46024.80344907408</v>
      </c>
      <c r="D992" s="173" t="inlineStr">
        <is>
          <t>14.02 Km</t>
        </is>
      </c>
      <c r="E992" s="181" t="n">
        <v>34</v>
      </c>
      <c r="F992" s="182" t="n">
        <v>77</v>
      </c>
      <c r="G992" s="172" t="inlineStr">
        <is>
          <t>No</t>
        </is>
      </c>
      <c r="H992" s="170">
        <f>IF(A992="","",IF(OR(NOT(ISNUMBER(C992)),C992=""),"No",IF(AND(HOUR(C992)&gt;=0,HOUR(C992)&lt;5),"Yes","No")))</f>
        <v/>
      </c>
      <c r="I992" s="183">
        <f>IF(OR(B992="",NOT(ISNUMBER(B992))),"",INT(B992))</f>
        <v/>
      </c>
    </row>
    <row r="993" ht="15" customHeight="1" s="122">
      <c r="A993" s="179" t="inlineStr">
        <is>
          <t>KBB 104Q</t>
        </is>
      </c>
      <c r="B993" s="180" t="n">
        <v>46024.81201388889</v>
      </c>
      <c r="C993" s="180" t="n">
        <v>46024.82203703704</v>
      </c>
      <c r="D993" s="173" t="inlineStr">
        <is>
          <t>4.65 Km</t>
        </is>
      </c>
      <c r="E993" s="181" t="n">
        <v>21</v>
      </c>
      <c r="F993" s="182" t="n">
        <v>65</v>
      </c>
      <c r="G993" s="172" t="inlineStr">
        <is>
          <t>No</t>
        </is>
      </c>
      <c r="H993" s="170">
        <f>IF(A993="","",IF(OR(NOT(ISNUMBER(C993)),C993=""),"No",IF(AND(HOUR(C993)&gt;=0,HOUR(C993)&lt;5),"Yes","No")))</f>
        <v/>
      </c>
      <c r="I993" s="183">
        <f>IF(OR(B993="",NOT(ISNUMBER(B993))),"",INT(B993))</f>
        <v/>
      </c>
    </row>
    <row r="994" ht="15" customHeight="1" s="122">
      <c r="A994" s="179" t="inlineStr">
        <is>
          <t>KBB 104Q</t>
        </is>
      </c>
      <c r="B994" s="180" t="n">
        <v>46055.47387731481</v>
      </c>
      <c r="C994" s="180" t="n">
        <v>46055.47780092592</v>
      </c>
      <c r="D994" s="173" t="inlineStr">
        <is>
          <t>0.94 Km</t>
        </is>
      </c>
      <c r="E994" s="181" t="n">
        <v>14</v>
      </c>
      <c r="F994" s="182" t="n">
        <v>35</v>
      </c>
      <c r="G994" s="172" t="inlineStr">
        <is>
          <t>No</t>
        </is>
      </c>
      <c r="H994" s="170">
        <f>IF(A994="","",IF(OR(NOT(ISNUMBER(C994)),C994=""),"No",IF(AND(HOUR(C994)&gt;=0,HOUR(C994)&lt;5),"Yes","No")))</f>
        <v/>
      </c>
      <c r="I994" s="183">
        <f>IF(OR(B994="",NOT(ISNUMBER(B994))),"",INT(B994))</f>
        <v/>
      </c>
    </row>
    <row r="995" ht="15" customHeight="1" s="122">
      <c r="A995" s="179" t="inlineStr">
        <is>
          <t>KBB 104Q</t>
        </is>
      </c>
      <c r="B995" s="180" t="n">
        <v>46055.50736111111</v>
      </c>
      <c r="C995" s="180" t="n">
        <v>46055.50788194445</v>
      </c>
      <c r="D995" s="173" t="inlineStr">
        <is>
          <t>0.02 Km</t>
        </is>
      </c>
      <c r="E995" s="181" t="n">
        <v>9</v>
      </c>
      <c r="F995" s="182" t="n">
        <v>11</v>
      </c>
      <c r="G995" s="172" t="inlineStr">
        <is>
          <t>No</t>
        </is>
      </c>
      <c r="H995" s="170">
        <f>IF(A995="","",IF(OR(NOT(ISNUMBER(C995)),C995=""),"No",IF(AND(HOUR(C995)&gt;=0,HOUR(C995)&lt;5),"Yes","No")))</f>
        <v/>
      </c>
      <c r="I995" s="183">
        <f>IF(OR(B995="",NOT(ISNUMBER(B995))),"",INT(B995))</f>
        <v/>
      </c>
    </row>
    <row r="996" ht="15" customHeight="1" s="122">
      <c r="A996" s="179" t="inlineStr">
        <is>
          <t>KBB 104Q</t>
        </is>
      </c>
      <c r="B996" s="180" t="n">
        <v>46055.77258101852</v>
      </c>
      <c r="C996" s="180" t="n">
        <v>46055.77549768519</v>
      </c>
      <c r="D996" s="173" t="inlineStr">
        <is>
          <t>0.9 Km</t>
        </is>
      </c>
      <c r="E996" s="181" t="n">
        <v>15</v>
      </c>
      <c r="F996" s="182" t="n">
        <v>35</v>
      </c>
      <c r="G996" s="172" t="inlineStr">
        <is>
          <t>No</t>
        </is>
      </c>
      <c r="H996" s="170">
        <f>IF(A996="","",IF(OR(NOT(ISNUMBER(C996)),C996=""),"No",IF(AND(HOUR(C996)&gt;=0,HOUR(C996)&lt;5),"Yes","No")))</f>
        <v/>
      </c>
      <c r="I996" s="183">
        <f>IF(OR(B996="",NOT(ISNUMBER(B996))),"",INT(B996))</f>
        <v/>
      </c>
    </row>
    <row r="997" ht="15" customHeight="1" s="122">
      <c r="A997" s="179" t="inlineStr">
        <is>
          <t>KBB 104Q</t>
        </is>
      </c>
      <c r="B997" s="180" t="n">
        <v>46083.33619212963</v>
      </c>
      <c r="C997" s="180" t="n">
        <v>46083.34739583333</v>
      </c>
      <c r="D997" s="173" t="inlineStr">
        <is>
          <t>14.91 Km</t>
        </is>
      </c>
      <c r="E997" s="181" t="n">
        <v>58</v>
      </c>
      <c r="F997" s="182" t="n">
        <v>98</v>
      </c>
      <c r="G997" s="172" t="inlineStr">
        <is>
          <t>No</t>
        </is>
      </c>
      <c r="H997" s="170">
        <f>IF(A997="","",IF(OR(NOT(ISNUMBER(C997)),C997=""),"No",IF(AND(HOUR(C997)&gt;=0,HOUR(C997)&lt;5),"Yes","No")))</f>
        <v/>
      </c>
      <c r="I997" s="183">
        <f>IF(OR(B997="",NOT(ISNUMBER(B997))),"",INT(B997))</f>
        <v/>
      </c>
    </row>
    <row r="998" ht="15" customHeight="1" s="122">
      <c r="A998" s="179" t="inlineStr">
        <is>
          <t>KBB 104Q</t>
        </is>
      </c>
      <c r="B998" s="180" t="n">
        <v>46083.40396990741</v>
      </c>
      <c r="C998" s="180" t="n">
        <v>46083.40873842593</v>
      </c>
      <c r="D998" s="173" t="inlineStr">
        <is>
          <t>5.53 Km</t>
        </is>
      </c>
      <c r="E998" s="181" t="n">
        <v>47</v>
      </c>
      <c r="F998" s="182" t="n">
        <v>64</v>
      </c>
      <c r="G998" s="172" t="inlineStr">
        <is>
          <t>No</t>
        </is>
      </c>
      <c r="H998" s="170">
        <f>IF(A998="","",IF(OR(NOT(ISNUMBER(C998)),C998=""),"No",IF(AND(HOUR(C998)&gt;=0,HOUR(C998)&lt;5),"Yes","No")))</f>
        <v/>
      </c>
      <c r="I998" s="183">
        <f>IF(OR(B998="",NOT(ISNUMBER(B998))),"",INT(B998))</f>
        <v/>
      </c>
    </row>
    <row r="999" ht="15" customHeight="1" s="122">
      <c r="A999" s="179" t="inlineStr">
        <is>
          <t>KBB 104Q</t>
        </is>
      </c>
      <c r="B999" s="180" t="n">
        <v>46083.41028935185</v>
      </c>
      <c r="C999" s="180" t="n">
        <v>46083.43099537037</v>
      </c>
      <c r="D999" s="173" t="inlineStr">
        <is>
          <t>19.64 Km</t>
        </is>
      </c>
      <c r="E999" s="181" t="n">
        <v>41</v>
      </c>
      <c r="F999" s="182" t="n">
        <v>82</v>
      </c>
      <c r="G999" s="172" t="inlineStr">
        <is>
          <t>No</t>
        </is>
      </c>
      <c r="H999" s="170">
        <f>IF(A999="","",IF(OR(NOT(ISNUMBER(C999)),C999=""),"No",IF(AND(HOUR(C999)&gt;=0,HOUR(C999)&lt;5),"Yes","No")))</f>
        <v/>
      </c>
      <c r="I999" s="183">
        <f>IF(OR(B999="",NOT(ISNUMBER(B999))),"",INT(B999))</f>
        <v/>
      </c>
    </row>
    <row r="1000" ht="15" customHeight="1" s="122">
      <c r="A1000" s="179" t="inlineStr">
        <is>
          <t>KBB 104Q</t>
        </is>
      </c>
      <c r="B1000" s="180" t="n">
        <v>46083.4575</v>
      </c>
      <c r="C1000" s="180" t="n">
        <v>46083.46392361111</v>
      </c>
      <c r="D1000" s="173" t="inlineStr">
        <is>
          <t>0.04 Km</t>
        </is>
      </c>
      <c r="E1000" s="181" t="n">
        <v>7</v>
      </c>
      <c r="F1000" s="182" t="n">
        <v>11</v>
      </c>
      <c r="G1000" s="172" t="inlineStr">
        <is>
          <t>No</t>
        </is>
      </c>
      <c r="H1000" s="170">
        <f>IF(A1000="","",IF(OR(NOT(ISNUMBER(C1000)),C1000=""),"No",IF(AND(HOUR(C1000)&gt;=0,HOUR(C1000)&lt;5),"Yes","No")))</f>
        <v/>
      </c>
      <c r="I1000" s="183">
        <f>IF(OR(B1000="",NOT(ISNUMBER(B1000))),"",INT(B1000))</f>
        <v/>
      </c>
    </row>
    <row r="1001" ht="15" customHeight="1" s="122">
      <c r="A1001" s="179" t="inlineStr">
        <is>
          <t>KBB 104Q</t>
        </is>
      </c>
      <c r="B1001" s="180" t="n">
        <v>46083.46402777778</v>
      </c>
      <c r="C1001" s="180" t="n">
        <v>46083.46641203704</v>
      </c>
      <c r="D1001" s="173" t="inlineStr">
        <is>
          <t>0.02 Km</t>
        </is>
      </c>
      <c r="E1001" s="181" t="n">
        <v>7</v>
      </c>
      <c r="F1001" s="182" t="n">
        <v>7</v>
      </c>
      <c r="G1001" s="172" t="inlineStr">
        <is>
          <t>No</t>
        </is>
      </c>
      <c r="H1001" s="170">
        <f>IF(A1001="","",IF(OR(NOT(ISNUMBER(C1001)),C1001=""),"No",IF(AND(HOUR(C1001)&gt;=0,HOUR(C1001)&lt;5),"Yes","No")))</f>
        <v/>
      </c>
      <c r="I1001" s="183">
        <f>IF(OR(B1001="",NOT(ISNUMBER(B1001))),"",INT(B1001))</f>
        <v/>
      </c>
    </row>
    <row r="1002" ht="15" customHeight="1" s="122">
      <c r="A1002" s="179" t="inlineStr">
        <is>
          <t>KBB 104Q</t>
        </is>
      </c>
      <c r="B1002" s="180" t="n">
        <v>46083.58310185185</v>
      </c>
      <c r="C1002" s="180" t="n">
        <v>46083.60243055555</v>
      </c>
      <c r="D1002" s="173" t="inlineStr">
        <is>
          <t>16.84 Km</t>
        </is>
      </c>
      <c r="E1002" s="181" t="n">
        <v>38</v>
      </c>
      <c r="F1002" s="182" t="n">
        <v>78</v>
      </c>
      <c r="G1002" s="172" t="inlineStr">
        <is>
          <t>No</t>
        </is>
      </c>
      <c r="H1002" s="170">
        <f>IF(A1002="","",IF(OR(NOT(ISNUMBER(C1002)),C1002=""),"No",IF(AND(HOUR(C1002)&gt;=0,HOUR(C1002)&lt;5),"Yes","No")))</f>
        <v/>
      </c>
      <c r="I1002" s="183">
        <f>IF(OR(B1002="",NOT(ISNUMBER(B1002))),"",INT(B1002))</f>
        <v/>
      </c>
    </row>
    <row r="1003" ht="15" customHeight="1" s="122">
      <c r="A1003" s="179" t="inlineStr">
        <is>
          <t>KBB 104Q</t>
        </is>
      </c>
      <c r="B1003" s="180" t="n">
        <v>46083.60413194444</v>
      </c>
      <c r="C1003" s="180" t="n">
        <v>46083.60928240741</v>
      </c>
      <c r="D1003" s="173" t="inlineStr">
        <is>
          <t>5.9 Km</t>
        </is>
      </c>
      <c r="E1003" s="181" t="n">
        <v>52</v>
      </c>
      <c r="F1003" s="182" t="n">
        <v>75</v>
      </c>
      <c r="G1003" s="172" t="inlineStr">
        <is>
          <t>No</t>
        </is>
      </c>
      <c r="H1003" s="170">
        <f>IF(A1003="","",IF(OR(NOT(ISNUMBER(C1003)),C1003=""),"No",IF(AND(HOUR(C1003)&gt;=0,HOUR(C1003)&lt;5),"Yes","No")))</f>
        <v/>
      </c>
      <c r="I1003" s="183">
        <f>IF(OR(B1003="",NOT(ISNUMBER(B1003))),"",INT(B1003))</f>
        <v/>
      </c>
    </row>
    <row r="1004" ht="15" customHeight="1" s="122">
      <c r="A1004" s="179" t="inlineStr">
        <is>
          <t>KBB 104Q</t>
        </is>
      </c>
      <c r="B1004" s="180" t="n">
        <v>46083.61138888889</v>
      </c>
      <c r="C1004" s="180" t="n">
        <v>46083.63011574074</v>
      </c>
      <c r="D1004" s="173" t="inlineStr">
        <is>
          <t>27.37 Km</t>
        </is>
      </c>
      <c r="E1004" s="181" t="n">
        <v>62</v>
      </c>
      <c r="F1004" s="182" t="n">
        <v>101</v>
      </c>
      <c r="G1004" s="172" t="inlineStr">
        <is>
          <t>No</t>
        </is>
      </c>
      <c r="H1004" s="170">
        <f>IF(A1004="","",IF(OR(NOT(ISNUMBER(C1004)),C1004=""),"No",IF(AND(HOUR(C1004)&gt;=0,HOUR(C1004)&lt;5),"Yes","No")))</f>
        <v/>
      </c>
      <c r="I1004" s="183">
        <f>IF(OR(B1004="",NOT(ISNUMBER(B1004))),"",INT(B1004))</f>
        <v/>
      </c>
    </row>
    <row r="1005" ht="15" customHeight="1" s="122">
      <c r="A1005" s="179" t="inlineStr">
        <is>
          <t>KBB 104Q</t>
        </is>
      </c>
      <c r="B1005" s="180" t="n">
        <v>46083.6319212963</v>
      </c>
      <c r="C1005" s="180" t="n">
        <v>46083.64407407407</v>
      </c>
      <c r="D1005" s="173" t="inlineStr">
        <is>
          <t>12.07 Km</t>
        </is>
      </c>
      <c r="E1005" s="181" t="n">
        <v>44</v>
      </c>
      <c r="F1005" s="182" t="n">
        <v>83</v>
      </c>
      <c r="G1005" s="172" t="inlineStr">
        <is>
          <t>No</t>
        </is>
      </c>
      <c r="H1005" s="170">
        <f>IF(A1005="","",IF(OR(NOT(ISNUMBER(C1005)),C1005=""),"No",IF(AND(HOUR(C1005)&gt;=0,HOUR(C1005)&lt;5),"Yes","No")))</f>
        <v/>
      </c>
      <c r="I1005" s="183">
        <f>IF(OR(B1005="",NOT(ISNUMBER(B1005))),"",INT(B1005))</f>
        <v/>
      </c>
    </row>
    <row r="1006" ht="15" customHeight="1" s="122">
      <c r="A1006" s="179" t="inlineStr">
        <is>
          <t>KBB 104Q</t>
        </is>
      </c>
      <c r="B1006" s="180" t="n">
        <v>46083.64414351852</v>
      </c>
      <c r="C1006" s="180" t="n">
        <v>46083.64443287037</v>
      </c>
      <c r="D1006" s="173" t="inlineStr">
        <is>
          <t>0 Km</t>
        </is>
      </c>
      <c r="E1006" s="181" t="n">
        <v>9</v>
      </c>
      <c r="F1006" s="182" t="n">
        <v>9</v>
      </c>
      <c r="G1006" s="172" t="inlineStr">
        <is>
          <t>No</t>
        </is>
      </c>
      <c r="H1006" s="170">
        <f>IF(A1006="","",IF(OR(NOT(ISNUMBER(C1006)),C1006=""),"No",IF(AND(HOUR(C1006)&gt;=0,HOUR(C1006)&lt;5),"Yes","No")))</f>
        <v/>
      </c>
      <c r="I1006" s="183">
        <f>IF(OR(B1006="",NOT(ISNUMBER(B1006))),"",INT(B1006))</f>
        <v/>
      </c>
    </row>
    <row r="1007" ht="15" customHeight="1" s="122">
      <c r="A1007" s="179" t="inlineStr">
        <is>
          <t>KBB 104Q</t>
        </is>
      </c>
      <c r="B1007" s="180" t="n">
        <v>46083.65792824074</v>
      </c>
      <c r="C1007" s="180" t="n">
        <v>46083.66179398148</v>
      </c>
      <c r="D1007" s="173" t="inlineStr">
        <is>
          <t>1.15 Km</t>
        </is>
      </c>
      <c r="E1007" s="181" t="n">
        <v>14</v>
      </c>
      <c r="F1007" s="182" t="n">
        <v>31</v>
      </c>
      <c r="G1007" s="172" t="inlineStr">
        <is>
          <t>No</t>
        </is>
      </c>
      <c r="H1007" s="170">
        <f>IF(A1007="","",IF(OR(NOT(ISNUMBER(C1007)),C1007=""),"No",IF(AND(HOUR(C1007)&gt;=0,HOUR(C1007)&lt;5),"Yes","No")))</f>
        <v/>
      </c>
      <c r="I1007" s="183">
        <f>IF(OR(B1007="",NOT(ISNUMBER(B1007))),"",INT(B1007))</f>
        <v/>
      </c>
    </row>
    <row r="1008" ht="15" customHeight="1" s="122">
      <c r="A1008" s="179" t="inlineStr">
        <is>
          <t>KBB 104Q</t>
        </is>
      </c>
      <c r="B1008" s="180" t="n">
        <v>46083.66487268519</v>
      </c>
      <c r="C1008" s="180" t="n">
        <v>46083.66490740741</v>
      </c>
      <c r="D1008" s="173" t="inlineStr">
        <is>
          <t>0.01 Km</t>
        </is>
      </c>
      <c r="E1008" s="181" t="n">
        <v>10</v>
      </c>
      <c r="F1008" s="182" t="n">
        <v>11</v>
      </c>
      <c r="G1008" s="172" t="inlineStr">
        <is>
          <t>No</t>
        </is>
      </c>
      <c r="H1008" s="170">
        <f>IF(A1008="","",IF(OR(NOT(ISNUMBER(C1008)),C1008=""),"No",IF(AND(HOUR(C1008)&gt;=0,HOUR(C1008)&lt;5),"Yes","No")))</f>
        <v/>
      </c>
      <c r="I1008" s="183">
        <f>IF(OR(B1008="",NOT(ISNUMBER(B1008))),"",INT(B1008))</f>
        <v/>
      </c>
    </row>
    <row r="1009" ht="15" customHeight="1" s="122">
      <c r="A1009" s="179" t="inlineStr">
        <is>
          <t>KBB 104Q</t>
        </is>
      </c>
      <c r="B1009" s="180" t="n">
        <v>46083.66671296296</v>
      </c>
      <c r="C1009" s="180" t="n">
        <v>46083.67927083333</v>
      </c>
      <c r="D1009" s="173" t="inlineStr">
        <is>
          <t>9.38 Km</t>
        </is>
      </c>
      <c r="E1009" s="181" t="n">
        <v>31</v>
      </c>
      <c r="F1009" s="182" t="n">
        <v>67</v>
      </c>
      <c r="G1009" s="172" t="inlineStr">
        <is>
          <t>No</t>
        </is>
      </c>
      <c r="H1009" s="170">
        <f>IF(A1009="","",IF(OR(NOT(ISNUMBER(C1009)),C1009=""),"No",IF(AND(HOUR(C1009)&gt;=0,HOUR(C1009)&lt;5),"Yes","No")))</f>
        <v/>
      </c>
      <c r="I1009" s="183">
        <f>IF(OR(B1009="",NOT(ISNUMBER(B1009))),"",INT(B1009))</f>
        <v/>
      </c>
    </row>
    <row r="1010" ht="15" customHeight="1" s="122">
      <c r="A1010" s="179" t="inlineStr">
        <is>
          <t>KBB 104Q</t>
        </is>
      </c>
      <c r="B1010" s="180" t="n">
        <v>46083.68209490741</v>
      </c>
      <c r="C1010" s="180" t="n">
        <v>46083.68371527778</v>
      </c>
      <c r="D1010" s="173" t="inlineStr">
        <is>
          <t>0.54 Km</t>
        </is>
      </c>
      <c r="E1010" s="181" t="n">
        <v>19</v>
      </c>
      <c r="F1010" s="182" t="n">
        <v>34</v>
      </c>
      <c r="G1010" s="172" t="inlineStr">
        <is>
          <t>No</t>
        </is>
      </c>
      <c r="H1010" s="170">
        <f>IF(A1010="","",IF(OR(NOT(ISNUMBER(C1010)),C1010=""),"No",IF(AND(HOUR(C1010)&gt;=0,HOUR(C1010)&lt;5),"Yes","No")))</f>
        <v/>
      </c>
      <c r="I1010" s="183">
        <f>IF(OR(B1010="",NOT(ISNUMBER(B1010))),"",INT(B1010))</f>
        <v/>
      </c>
    </row>
    <row r="1011" ht="15" customHeight="1" s="122">
      <c r="A1011" s="179" t="inlineStr">
        <is>
          <t>KBB 104Q</t>
        </is>
      </c>
      <c r="B1011" s="180" t="n">
        <v>46083.68453703704</v>
      </c>
      <c r="C1011" s="180" t="n">
        <v>46083.68623842593</v>
      </c>
      <c r="D1011" s="173" t="inlineStr">
        <is>
          <t>0.04 Km</t>
        </is>
      </c>
      <c r="E1011" s="181" t="n">
        <v>7</v>
      </c>
      <c r="F1011" s="182" t="n">
        <v>9</v>
      </c>
      <c r="G1011" s="172" t="inlineStr">
        <is>
          <t>No</t>
        </is>
      </c>
      <c r="H1011" s="170">
        <f>IF(A1011="","",IF(OR(NOT(ISNUMBER(C1011)),C1011=""),"No",IF(AND(HOUR(C1011)&gt;=0,HOUR(C1011)&lt;5),"Yes","No")))</f>
        <v/>
      </c>
      <c r="I1011" s="183">
        <f>IF(OR(B1011="",NOT(ISNUMBER(B1011))),"",INT(B1011))</f>
        <v/>
      </c>
    </row>
    <row r="1012" ht="15" customHeight="1" s="122">
      <c r="A1012" s="179" t="inlineStr">
        <is>
          <t>KBB 104Q</t>
        </is>
      </c>
      <c r="B1012" s="180" t="n">
        <v>46114.36490740741</v>
      </c>
      <c r="C1012" s="180" t="n">
        <v>46114.38938657408</v>
      </c>
      <c r="D1012" s="173" t="inlineStr">
        <is>
          <t>28.38 Km</t>
        </is>
      </c>
      <c r="E1012" s="181" t="n">
        <v>49</v>
      </c>
      <c r="F1012" s="182" t="n">
        <v>90</v>
      </c>
      <c r="G1012" s="172" t="inlineStr">
        <is>
          <t>No</t>
        </is>
      </c>
      <c r="H1012" s="170">
        <f>IF(A1012="","",IF(OR(NOT(ISNUMBER(C1012)),C1012=""),"No",IF(AND(HOUR(C1012)&gt;=0,HOUR(C1012)&lt;5),"Yes","No")))</f>
        <v/>
      </c>
      <c r="I1012" s="183">
        <f>IF(OR(B1012="",NOT(ISNUMBER(B1012))),"",INT(B1012))</f>
        <v/>
      </c>
    </row>
    <row r="1013" ht="15" customHeight="1" s="122">
      <c r="A1013" s="179" t="inlineStr">
        <is>
          <t>KBB 104Q</t>
        </is>
      </c>
      <c r="B1013" s="180" t="n">
        <v>46114.46099537037</v>
      </c>
      <c r="C1013" s="180" t="n">
        <v>46114.46104166667</v>
      </c>
      <c r="D1013" s="173" t="inlineStr">
        <is>
          <t>0.01 Km</t>
        </is>
      </c>
      <c r="E1013" s="181" t="n">
        <v>6</v>
      </c>
      <c r="F1013" s="182" t="n">
        <v>6</v>
      </c>
      <c r="G1013" s="172" t="inlineStr">
        <is>
          <t>No</t>
        </is>
      </c>
      <c r="H1013" s="170">
        <f>IF(A1013="","",IF(OR(NOT(ISNUMBER(C1013)),C1013=""),"No",IF(AND(HOUR(C1013)&gt;=0,HOUR(C1013)&lt;5),"Yes","No")))</f>
        <v/>
      </c>
      <c r="I1013" s="183">
        <f>IF(OR(B1013="",NOT(ISNUMBER(B1013))),"",INT(B1013))</f>
        <v/>
      </c>
    </row>
    <row r="1014" ht="15" customHeight="1" s="122">
      <c r="A1014" s="179" t="inlineStr">
        <is>
          <t>KBB 104Q</t>
        </is>
      </c>
      <c r="B1014" s="180" t="n">
        <v>46114.46952546296</v>
      </c>
      <c r="C1014" s="180" t="n">
        <v>46114.47021990741</v>
      </c>
      <c r="D1014" s="173" t="inlineStr">
        <is>
          <t>0 Km</t>
        </is>
      </c>
      <c r="E1014" s="181" t="n">
        <v>6</v>
      </c>
      <c r="F1014" s="182" t="n">
        <v>6</v>
      </c>
      <c r="G1014" s="172" t="inlineStr">
        <is>
          <t>No</t>
        </is>
      </c>
      <c r="H1014" s="170">
        <f>IF(A1014="","",IF(OR(NOT(ISNUMBER(C1014)),C1014=""),"No",IF(AND(HOUR(C1014)&gt;=0,HOUR(C1014)&lt;5),"Yes","No")))</f>
        <v/>
      </c>
      <c r="I1014" s="183">
        <f>IF(OR(B1014="",NOT(ISNUMBER(B1014))),"",INT(B1014))</f>
        <v/>
      </c>
    </row>
    <row r="1015" ht="15" customHeight="1" s="122">
      <c r="A1015" s="179" t="inlineStr">
        <is>
          <t>KBB 104Q</t>
        </is>
      </c>
      <c r="B1015" s="180" t="n">
        <v>46114.48797453703</v>
      </c>
      <c r="C1015" s="180" t="n">
        <v>46114.51520833333</v>
      </c>
      <c r="D1015" s="173" t="inlineStr">
        <is>
          <t>24.87 Km</t>
        </is>
      </c>
      <c r="E1015" s="181" t="n">
        <v>41</v>
      </c>
      <c r="F1015" s="182" t="n">
        <v>78</v>
      </c>
      <c r="G1015" s="172" t="inlineStr">
        <is>
          <t>No</t>
        </is>
      </c>
      <c r="H1015" s="170">
        <f>IF(A1015="","",IF(OR(NOT(ISNUMBER(C1015)),C1015=""),"No",IF(AND(HOUR(C1015)&gt;=0,HOUR(C1015)&lt;5),"Yes","No")))</f>
        <v/>
      </c>
      <c r="I1015" s="183">
        <f>IF(OR(B1015="",NOT(ISNUMBER(B1015))),"",INT(B1015))</f>
        <v/>
      </c>
    </row>
    <row r="1016" ht="15" customHeight="1" s="122">
      <c r="A1016" s="179" t="inlineStr">
        <is>
          <t>KBB 104Q</t>
        </is>
      </c>
      <c r="B1016" s="180" t="n">
        <v>46114.65924768519</v>
      </c>
      <c r="C1016" s="180" t="n">
        <v>46114.66320601852</v>
      </c>
      <c r="D1016" s="173" t="inlineStr">
        <is>
          <t>2.36 Km</t>
        </is>
      </c>
      <c r="E1016" s="181" t="n">
        <v>24</v>
      </c>
      <c r="F1016" s="182" t="n">
        <v>56</v>
      </c>
      <c r="G1016" s="172" t="inlineStr">
        <is>
          <t>No</t>
        </is>
      </c>
      <c r="H1016" s="170">
        <f>IF(A1016="","",IF(OR(NOT(ISNUMBER(C1016)),C1016=""),"No",IF(AND(HOUR(C1016)&gt;=0,HOUR(C1016)&lt;5),"Yes","No")))</f>
        <v/>
      </c>
      <c r="I1016" s="183">
        <f>IF(OR(B1016="",NOT(ISNUMBER(B1016))),"",INT(B1016))</f>
        <v/>
      </c>
    </row>
    <row r="1017" ht="15" customHeight="1" s="122">
      <c r="A1017" s="179" t="inlineStr">
        <is>
          <t>KBB 104Q</t>
        </is>
      </c>
      <c r="B1017" s="180" t="n">
        <v>46114.66694444444</v>
      </c>
      <c r="C1017" s="180" t="n">
        <v>46114.66903935185</v>
      </c>
      <c r="D1017" s="173" t="inlineStr">
        <is>
          <t>0.35 Km</t>
        </is>
      </c>
      <c r="E1017" s="181" t="n">
        <v>12</v>
      </c>
      <c r="F1017" s="182" t="n">
        <v>25</v>
      </c>
      <c r="G1017" s="172" t="inlineStr">
        <is>
          <t>No</t>
        </is>
      </c>
      <c r="H1017" s="170">
        <f>IF(A1017="","",IF(OR(NOT(ISNUMBER(C1017)),C1017=""),"No",IF(AND(HOUR(C1017)&gt;=0,HOUR(C1017)&lt;5),"Yes","No")))</f>
        <v/>
      </c>
      <c r="I1017" s="183">
        <f>IF(OR(B1017="",NOT(ISNUMBER(B1017))),"",INT(B1017))</f>
        <v/>
      </c>
    </row>
    <row r="1018" ht="15" customHeight="1" s="122">
      <c r="A1018" s="179" t="inlineStr">
        <is>
          <t>KBB 104Q</t>
        </is>
      </c>
      <c r="B1018" s="180" t="n">
        <v>46114.67552083333</v>
      </c>
      <c r="C1018" s="180" t="n">
        <v>46114.68162037037</v>
      </c>
      <c r="D1018" s="173" t="inlineStr">
        <is>
          <t>4.12 Km</t>
        </is>
      </c>
      <c r="E1018" s="181" t="n">
        <v>29</v>
      </c>
      <c r="F1018" s="182" t="n">
        <v>79</v>
      </c>
      <c r="G1018" s="172" t="inlineStr">
        <is>
          <t>No</t>
        </is>
      </c>
      <c r="H1018" s="170">
        <f>IF(A1018="","",IF(OR(NOT(ISNUMBER(C1018)),C1018=""),"No",IF(AND(HOUR(C1018)&gt;=0,HOUR(C1018)&lt;5),"Yes","No")))</f>
        <v/>
      </c>
      <c r="I1018" s="183">
        <f>IF(OR(B1018="",NOT(ISNUMBER(B1018))),"",INT(B1018))</f>
        <v/>
      </c>
    </row>
    <row r="1019" ht="15" customHeight="1" s="122">
      <c r="A1019" s="179" t="inlineStr">
        <is>
          <t>KBB 104Q</t>
        </is>
      </c>
      <c r="B1019" s="180" t="n">
        <v>46114.6840625</v>
      </c>
      <c r="C1019" s="180" t="n">
        <v>46114.69628472222</v>
      </c>
      <c r="D1019" s="173" t="inlineStr">
        <is>
          <t>9.04 Km</t>
        </is>
      </c>
      <c r="E1019" s="181" t="n">
        <v>41</v>
      </c>
      <c r="F1019" s="182" t="n">
        <v>94</v>
      </c>
      <c r="G1019" s="172" t="inlineStr">
        <is>
          <t>No</t>
        </is>
      </c>
      <c r="H1019" s="170">
        <f>IF(A1019="","",IF(OR(NOT(ISNUMBER(C1019)),C1019=""),"No",IF(AND(HOUR(C1019)&gt;=0,HOUR(C1019)&lt;5),"Yes","No")))</f>
        <v/>
      </c>
      <c r="I1019" s="183">
        <f>IF(OR(B1019="",NOT(ISNUMBER(B1019))),"",INT(B1019))</f>
        <v/>
      </c>
    </row>
    <row r="1020" ht="15" customHeight="1" s="122">
      <c r="A1020" s="179" t="inlineStr">
        <is>
          <t>KBB 104Q</t>
        </is>
      </c>
      <c r="B1020" s="180" t="n">
        <v>46144.43142361111</v>
      </c>
      <c r="C1020" s="180" t="n">
        <v>46144.44252314815</v>
      </c>
      <c r="D1020" s="173" t="inlineStr">
        <is>
          <t>10.43 Km</t>
        </is>
      </c>
      <c r="E1020" s="181" t="n">
        <v>52</v>
      </c>
      <c r="F1020" s="182" t="n">
        <v>103</v>
      </c>
      <c r="G1020" s="172" t="inlineStr">
        <is>
          <t>No</t>
        </is>
      </c>
      <c r="H1020" s="170">
        <f>IF(A1020="","",IF(OR(NOT(ISNUMBER(C1020)),C1020=""),"No",IF(AND(HOUR(C1020)&gt;=0,HOUR(C1020)&lt;5),"Yes","No")))</f>
        <v/>
      </c>
      <c r="I1020" s="183">
        <f>IF(OR(B1020="",NOT(ISNUMBER(B1020))),"",INT(B1020))</f>
        <v/>
      </c>
    </row>
    <row r="1021" ht="15" customHeight="1" s="122">
      <c r="A1021" s="179" t="inlineStr">
        <is>
          <t>KBB 104Q</t>
        </is>
      </c>
      <c r="B1021" s="180" t="n">
        <v>46144.53052083333</v>
      </c>
      <c r="C1021" s="180" t="n">
        <v>46144.53768518518</v>
      </c>
      <c r="D1021" s="173" t="inlineStr">
        <is>
          <t>5.19 Km</t>
        </is>
      </c>
      <c r="E1021" s="181" t="n">
        <v>29</v>
      </c>
      <c r="F1021" s="182" t="n">
        <v>63</v>
      </c>
      <c r="G1021" s="172" t="inlineStr">
        <is>
          <t>No</t>
        </is>
      </c>
      <c r="H1021" s="170">
        <f>IF(A1021="","",IF(OR(NOT(ISNUMBER(C1021)),C1021=""),"No",IF(AND(HOUR(C1021)&gt;=0,HOUR(C1021)&lt;5),"Yes","No")))</f>
        <v/>
      </c>
      <c r="I1021" s="183">
        <f>IF(OR(B1021="",NOT(ISNUMBER(B1021))),"",INT(B1021))</f>
        <v/>
      </c>
    </row>
    <row r="1022" ht="15" customHeight="1" s="122">
      <c r="A1022" s="179" t="inlineStr">
        <is>
          <t>KBB 104Q</t>
        </is>
      </c>
      <c r="B1022" s="180" t="n">
        <v>46144.64878472222</v>
      </c>
      <c r="C1022" s="180" t="n">
        <v>46144.65464120371</v>
      </c>
      <c r="D1022" s="173" t="inlineStr">
        <is>
          <t>4.8 Km</t>
        </is>
      </c>
      <c r="E1022" s="181" t="n">
        <v>33</v>
      </c>
      <c r="F1022" s="182" t="n">
        <v>68</v>
      </c>
      <c r="G1022" s="172" t="inlineStr">
        <is>
          <t>No</t>
        </is>
      </c>
      <c r="H1022" s="170">
        <f>IF(A1022="","",IF(OR(NOT(ISNUMBER(C1022)),C1022=""),"No",IF(AND(HOUR(C1022)&gt;=0,HOUR(C1022)&lt;5),"Yes","No")))</f>
        <v/>
      </c>
      <c r="I1022" s="183">
        <f>IF(OR(B1022="",NOT(ISNUMBER(B1022))),"",INT(B1022))</f>
        <v/>
      </c>
    </row>
    <row r="1023" ht="15" customHeight="1" s="122">
      <c r="A1023" s="179" t="inlineStr">
        <is>
          <t>KBB 104Q</t>
        </is>
      </c>
      <c r="B1023" s="180" t="n">
        <v>46144.65616898148</v>
      </c>
      <c r="C1023" s="180" t="n">
        <v>46144.65623842592</v>
      </c>
      <c r="D1023" s="173" t="inlineStr">
        <is>
          <t>0 Km</t>
        </is>
      </c>
      <c r="E1023" s="181" t="n">
        <v>6</v>
      </c>
      <c r="F1023" s="182" t="n">
        <v>6</v>
      </c>
      <c r="G1023" s="172" t="inlineStr">
        <is>
          <t>No</t>
        </is>
      </c>
      <c r="H1023" s="170">
        <f>IF(A1023="","",IF(OR(NOT(ISNUMBER(C1023)),C1023=""),"No",IF(AND(HOUR(C1023)&gt;=0,HOUR(C1023)&lt;5),"Yes","No")))</f>
        <v/>
      </c>
      <c r="I1023" s="183">
        <f>IF(OR(B1023="",NOT(ISNUMBER(B1023))),"",INT(B1023))</f>
        <v/>
      </c>
    </row>
    <row r="1024" ht="15" customHeight="1" s="122">
      <c r="A1024" s="179" t="inlineStr">
        <is>
          <t>KBB 104Q</t>
        </is>
      </c>
      <c r="B1024" s="180" t="n">
        <v>46144.66201388889</v>
      </c>
      <c r="C1024" s="180" t="n">
        <v>46144.66456018519</v>
      </c>
      <c r="D1024" s="173" t="inlineStr">
        <is>
          <t>1.02 Km</t>
        </is>
      </c>
      <c r="E1024" s="181" t="n">
        <v>15</v>
      </c>
      <c r="F1024" s="182" t="n">
        <v>38</v>
      </c>
      <c r="G1024" s="172" t="inlineStr">
        <is>
          <t>No</t>
        </is>
      </c>
      <c r="H1024" s="170">
        <f>IF(A1024="","",IF(OR(NOT(ISNUMBER(C1024)),C1024=""),"No",IF(AND(HOUR(C1024)&gt;=0,HOUR(C1024)&lt;5),"Yes","No")))</f>
        <v/>
      </c>
      <c r="I1024" s="183">
        <f>IF(OR(B1024="",NOT(ISNUMBER(B1024))),"",INT(B1024))</f>
        <v/>
      </c>
    </row>
    <row r="1025" ht="15" customHeight="1" s="122">
      <c r="A1025" s="179" t="inlineStr">
        <is>
          <t>KBB 104Q</t>
        </is>
      </c>
      <c r="B1025" s="180" t="n">
        <v>46144.66809027778</v>
      </c>
      <c r="C1025" s="180" t="n">
        <v>46144.68082175926</v>
      </c>
      <c r="D1025" s="173" t="inlineStr">
        <is>
          <t>9.91 Km</t>
        </is>
      </c>
      <c r="E1025" s="181" t="n">
        <v>33</v>
      </c>
      <c r="F1025" s="182" t="n">
        <v>71</v>
      </c>
      <c r="G1025" s="172" t="inlineStr">
        <is>
          <t>No</t>
        </is>
      </c>
      <c r="H1025" s="170">
        <f>IF(A1025="","",IF(OR(NOT(ISNUMBER(C1025)),C1025=""),"No",IF(AND(HOUR(C1025)&gt;=0,HOUR(C1025)&lt;5),"Yes","No")))</f>
        <v/>
      </c>
      <c r="I1025" s="183">
        <f>IF(OR(B1025="",NOT(ISNUMBER(B1025))),"",INT(B1025))</f>
        <v/>
      </c>
    </row>
    <row r="1026" ht="15" customHeight="1" s="122">
      <c r="A1026" s="179" t="inlineStr">
        <is>
          <t>KBB 104Q</t>
        </is>
      </c>
      <c r="B1026" s="180" t="n">
        <v>46144.68091435185</v>
      </c>
      <c r="C1026" s="180" t="n">
        <v>46144.68267361111</v>
      </c>
      <c r="D1026" s="173" t="inlineStr">
        <is>
          <t>0.03 Km</t>
        </is>
      </c>
      <c r="E1026" s="181" t="n">
        <v>7</v>
      </c>
      <c r="F1026" s="182" t="n">
        <v>9</v>
      </c>
      <c r="G1026" s="172" t="inlineStr">
        <is>
          <t>No</t>
        </is>
      </c>
      <c r="H1026" s="170">
        <f>IF(A1026="","",IF(OR(NOT(ISNUMBER(C1026)),C1026=""),"No",IF(AND(HOUR(C1026)&gt;=0,HOUR(C1026)&lt;5),"Yes","No")))</f>
        <v/>
      </c>
      <c r="I1026" s="183">
        <f>IF(OR(B1026="",NOT(ISNUMBER(B1026))),"",INT(B1026))</f>
        <v/>
      </c>
    </row>
    <row r="1027" ht="15" customHeight="1" s="122">
      <c r="A1027" s="179" t="inlineStr">
        <is>
          <t>KBB 104Q</t>
        </is>
      </c>
      <c r="B1027" s="180" t="n">
        <v>46175.34581018519</v>
      </c>
      <c r="C1027" s="180" t="n">
        <v>46175.3465162037</v>
      </c>
      <c r="D1027" s="173" t="inlineStr">
        <is>
          <t>0 Km</t>
        </is>
      </c>
      <c r="E1027" s="181" t="n">
        <v>7</v>
      </c>
      <c r="F1027" s="182" t="n">
        <v>7</v>
      </c>
      <c r="G1027" s="172" t="inlineStr">
        <is>
          <t>No</t>
        </is>
      </c>
      <c r="H1027" s="170">
        <f>IF(A1027="","",IF(OR(NOT(ISNUMBER(C1027)),C1027=""),"No",IF(AND(HOUR(C1027)&gt;=0,HOUR(C1027)&lt;5),"Yes","No")))</f>
        <v/>
      </c>
      <c r="I1027" s="183">
        <f>IF(OR(B1027="",NOT(ISNUMBER(B1027))),"",INT(B1027))</f>
        <v/>
      </c>
    </row>
    <row r="1028" ht="15" customHeight="1" s="122">
      <c r="A1028" s="179" t="inlineStr">
        <is>
          <t>KBB 104Q</t>
        </is>
      </c>
      <c r="B1028" s="180" t="n">
        <v>46175.34666666666</v>
      </c>
      <c r="C1028" s="180" t="n">
        <v>46175.35614583334</v>
      </c>
      <c r="D1028" s="173" t="inlineStr">
        <is>
          <t>9.12 Km</t>
        </is>
      </c>
      <c r="E1028" s="181" t="n">
        <v>42</v>
      </c>
      <c r="F1028" s="182" t="n">
        <v>81</v>
      </c>
      <c r="G1028" s="172" t="inlineStr">
        <is>
          <t>No</t>
        </is>
      </c>
      <c r="H1028" s="170">
        <f>IF(A1028="","",IF(OR(NOT(ISNUMBER(C1028)),C1028=""),"No",IF(AND(HOUR(C1028)&gt;=0,HOUR(C1028)&lt;5),"Yes","No")))</f>
        <v/>
      </c>
      <c r="I1028" s="183">
        <f>IF(OR(B1028="",NOT(ISNUMBER(B1028))),"",INT(B1028))</f>
        <v/>
      </c>
    </row>
    <row r="1029" ht="15" customHeight="1" s="122">
      <c r="A1029" s="179" t="inlineStr">
        <is>
          <t>KBB 104Q</t>
        </is>
      </c>
      <c r="B1029" s="180" t="n">
        <v>46175.35855324074</v>
      </c>
      <c r="C1029" s="180" t="n">
        <v>46175.36927083333</v>
      </c>
      <c r="D1029" s="173" t="inlineStr">
        <is>
          <t>8.99 Km</t>
        </is>
      </c>
      <c r="E1029" s="181" t="n">
        <v>37</v>
      </c>
      <c r="F1029" s="182" t="n">
        <v>84</v>
      </c>
      <c r="G1029" s="172" t="inlineStr">
        <is>
          <t>No</t>
        </is>
      </c>
      <c r="H1029" s="170">
        <f>IF(A1029="","",IF(OR(NOT(ISNUMBER(C1029)),C1029=""),"No",IF(AND(HOUR(C1029)&gt;=0,HOUR(C1029)&lt;5),"Yes","No")))</f>
        <v/>
      </c>
      <c r="I1029" s="183">
        <f>IF(OR(B1029="",NOT(ISNUMBER(B1029))),"",INT(B1029))</f>
        <v/>
      </c>
    </row>
    <row r="1030" ht="15" customHeight="1" s="122">
      <c r="A1030" s="179" t="inlineStr">
        <is>
          <t>KBB 104Q</t>
        </is>
      </c>
      <c r="B1030" s="180" t="n">
        <v>46175.72880787037</v>
      </c>
      <c r="C1030" s="180" t="n">
        <v>46175.74222222222</v>
      </c>
      <c r="D1030" s="173" t="inlineStr">
        <is>
          <t>12.13 Km</t>
        </is>
      </c>
      <c r="E1030" s="181" t="n">
        <v>45</v>
      </c>
      <c r="F1030" s="182" t="n">
        <v>89</v>
      </c>
      <c r="G1030" s="172" t="inlineStr">
        <is>
          <t>No</t>
        </is>
      </c>
      <c r="H1030" s="170">
        <f>IF(A1030="","",IF(OR(NOT(ISNUMBER(C1030)),C1030=""),"No",IF(AND(HOUR(C1030)&gt;=0,HOUR(C1030)&lt;5),"Yes","No")))</f>
        <v/>
      </c>
      <c r="I1030" s="183">
        <f>IF(OR(B1030="",NOT(ISNUMBER(B1030))),"",INT(B1030))</f>
        <v/>
      </c>
    </row>
    <row r="1031" ht="15" customHeight="1" s="122">
      <c r="A1031" s="179" t="inlineStr">
        <is>
          <t>KBB 104Q</t>
        </is>
      </c>
      <c r="B1031" s="180" t="n">
        <v>46205.38780092593</v>
      </c>
      <c r="C1031" s="180" t="n">
        <v>46205.38938657408</v>
      </c>
      <c r="D1031" s="173" t="inlineStr">
        <is>
          <t>0.92 Km</t>
        </is>
      </c>
      <c r="E1031" s="181" t="n">
        <v>18</v>
      </c>
      <c r="F1031" s="182" t="n">
        <v>57</v>
      </c>
      <c r="G1031" s="172" t="inlineStr">
        <is>
          <t>No</t>
        </is>
      </c>
      <c r="H1031" s="170">
        <f>IF(A1031="","",IF(OR(NOT(ISNUMBER(C1031)),C1031=""),"No",IF(AND(HOUR(C1031)&gt;=0,HOUR(C1031)&lt;5),"Yes","No")))</f>
        <v/>
      </c>
      <c r="I1031" s="183">
        <f>IF(OR(B1031="",NOT(ISNUMBER(B1031))),"",INT(B1031))</f>
        <v/>
      </c>
    </row>
    <row r="1032" ht="15" customHeight="1" s="122">
      <c r="A1032" s="179" t="inlineStr">
        <is>
          <t>KBB 104Q</t>
        </is>
      </c>
      <c r="B1032" s="180" t="n">
        <v>46205.48450231482</v>
      </c>
      <c r="C1032" s="180" t="n">
        <v>46205.49460648148</v>
      </c>
      <c r="D1032" s="173" t="inlineStr">
        <is>
          <t>5.35 Km</t>
        </is>
      </c>
      <c r="E1032" s="181" t="n">
        <v>22</v>
      </c>
      <c r="F1032" s="182" t="n">
        <v>51</v>
      </c>
      <c r="G1032" s="172" t="inlineStr">
        <is>
          <t>No</t>
        </is>
      </c>
      <c r="H1032" s="170">
        <f>IF(A1032="","",IF(OR(NOT(ISNUMBER(C1032)),C1032=""),"No",IF(AND(HOUR(C1032)&gt;=0,HOUR(C1032)&lt;5),"Yes","No")))</f>
        <v/>
      </c>
      <c r="I1032" s="183">
        <f>IF(OR(B1032="",NOT(ISNUMBER(B1032))),"",INT(B1032))</f>
        <v/>
      </c>
    </row>
    <row r="1033" ht="15" customHeight="1" s="122">
      <c r="A1033" s="179" t="inlineStr">
        <is>
          <t>KBB 104Q</t>
        </is>
      </c>
      <c r="B1033" s="180" t="n">
        <v>46205.53023148148</v>
      </c>
      <c r="C1033" s="180" t="n">
        <v>46205.54034722222</v>
      </c>
      <c r="D1033" s="173" t="inlineStr">
        <is>
          <t>5.75 Km</t>
        </is>
      </c>
      <c r="E1033" s="181" t="n">
        <v>22</v>
      </c>
      <c r="F1033" s="182" t="n">
        <v>82</v>
      </c>
      <c r="G1033" s="172" t="inlineStr">
        <is>
          <t>No</t>
        </is>
      </c>
      <c r="H1033" s="170">
        <f>IF(A1033="","",IF(OR(NOT(ISNUMBER(C1033)),C1033=""),"No",IF(AND(HOUR(C1033)&gt;=0,HOUR(C1033)&lt;5),"Yes","No")))</f>
        <v/>
      </c>
      <c r="I1033" s="183">
        <f>IF(OR(B1033="",NOT(ISNUMBER(B1033))),"",INT(B1033))</f>
        <v/>
      </c>
    </row>
    <row r="1034" ht="15" customHeight="1" s="122">
      <c r="A1034" s="179" t="inlineStr">
        <is>
          <t>KBB 104Q</t>
        </is>
      </c>
      <c r="B1034" s="180" t="n">
        <v>46205.61806712963</v>
      </c>
      <c r="C1034" s="180" t="n">
        <v>46205.62512731482</v>
      </c>
      <c r="D1034" s="173" t="inlineStr">
        <is>
          <t>1.47 Km</t>
        </is>
      </c>
      <c r="E1034" s="181" t="n">
        <v>10</v>
      </c>
      <c r="F1034" s="182" t="n">
        <v>28</v>
      </c>
      <c r="G1034" s="172" t="inlineStr">
        <is>
          <t>No</t>
        </is>
      </c>
      <c r="H1034" s="170">
        <f>IF(A1034="","",IF(OR(NOT(ISNUMBER(C1034)),C1034=""),"No",IF(AND(HOUR(C1034)&gt;=0,HOUR(C1034)&lt;5),"Yes","No")))</f>
        <v/>
      </c>
      <c r="I1034" s="183">
        <f>IF(OR(B1034="",NOT(ISNUMBER(B1034))),"",INT(B1034))</f>
        <v/>
      </c>
    </row>
    <row r="1035" ht="15" customHeight="1" s="122">
      <c r="A1035" s="179" t="inlineStr">
        <is>
          <t>KBB 104Q</t>
        </is>
      </c>
      <c r="B1035" s="180" t="n">
        <v>46205.62575231482</v>
      </c>
      <c r="C1035" s="180" t="n">
        <v>46205.63637731481</v>
      </c>
      <c r="D1035" s="173" t="inlineStr">
        <is>
          <t>6.37 Km</t>
        </is>
      </c>
      <c r="E1035" s="181" t="n">
        <v>23</v>
      </c>
      <c r="F1035" s="182" t="n">
        <v>52</v>
      </c>
      <c r="G1035" s="172" t="inlineStr">
        <is>
          <t>No</t>
        </is>
      </c>
      <c r="H1035" s="170">
        <f>IF(A1035="","",IF(OR(NOT(ISNUMBER(C1035)),C1035=""),"No",IF(AND(HOUR(C1035)&gt;=0,HOUR(C1035)&lt;5),"Yes","No")))</f>
        <v/>
      </c>
      <c r="I1035" s="183">
        <f>IF(OR(B1035="",NOT(ISNUMBER(B1035))),"",INT(B1035))</f>
        <v/>
      </c>
    </row>
    <row r="1036" ht="15" customHeight="1" s="122">
      <c r="A1036" s="179" t="inlineStr">
        <is>
          <t>KBB 104Q</t>
        </is>
      </c>
      <c r="B1036" s="180" t="n">
        <v>46205.84868055556</v>
      </c>
      <c r="C1036" s="180" t="n">
        <v>46205.84934027777</v>
      </c>
      <c r="D1036" s="173" t="inlineStr">
        <is>
          <t>0.03 Km</t>
        </is>
      </c>
      <c r="E1036" s="181" t="n">
        <v>7</v>
      </c>
      <c r="F1036" s="182" t="n">
        <v>8</v>
      </c>
      <c r="G1036" s="172" t="inlineStr">
        <is>
          <t>No</t>
        </is>
      </c>
      <c r="H1036" s="170">
        <f>IF(A1036="","",IF(OR(NOT(ISNUMBER(C1036)),C1036=""),"No",IF(AND(HOUR(C1036)&gt;=0,HOUR(C1036)&lt;5),"Yes","No")))</f>
        <v/>
      </c>
      <c r="I1036" s="183">
        <f>IF(OR(B1036="",NOT(ISNUMBER(B1036))),"",INT(B1036))</f>
        <v/>
      </c>
    </row>
    <row r="1037" ht="15" customHeight="1" s="122">
      <c r="A1037" s="179" t="inlineStr">
        <is>
          <t>KBB 104Q</t>
        </is>
      </c>
      <c r="B1037" s="180" t="n">
        <v>46236.43903935186</v>
      </c>
      <c r="C1037" s="180" t="n">
        <v>46236.44207175926</v>
      </c>
      <c r="D1037" s="173" t="inlineStr">
        <is>
          <t>1.08 Km</t>
        </is>
      </c>
      <c r="E1037" s="181" t="n">
        <v>17</v>
      </c>
      <c r="F1037" s="182" t="n">
        <v>37</v>
      </c>
      <c r="G1037" s="172" t="inlineStr">
        <is>
          <t>No</t>
        </is>
      </c>
      <c r="H1037" s="170">
        <f>IF(A1037="","",IF(OR(NOT(ISNUMBER(C1037)),C1037=""),"No",IF(AND(HOUR(C1037)&gt;=0,HOUR(C1037)&lt;5),"Yes","No")))</f>
        <v/>
      </c>
      <c r="I1037" s="183">
        <f>IF(OR(B1037="",NOT(ISNUMBER(B1037))),"",INT(B1037))</f>
        <v/>
      </c>
    </row>
    <row r="1038" ht="15" customHeight="1" s="122">
      <c r="A1038" s="179" t="inlineStr">
        <is>
          <t>KBB 104Q</t>
        </is>
      </c>
      <c r="B1038" s="180" t="n">
        <v>46236.53376157407</v>
      </c>
      <c r="C1038" s="180" t="n">
        <v>46236.53460648148</v>
      </c>
      <c r="D1038" s="173" t="inlineStr">
        <is>
          <t>0.04 Km</t>
        </is>
      </c>
      <c r="E1038" s="181" t="n">
        <v>6</v>
      </c>
      <c r="F1038" s="182" t="n">
        <v>7</v>
      </c>
      <c r="G1038" s="172" t="inlineStr">
        <is>
          <t>No</t>
        </is>
      </c>
      <c r="H1038" s="170">
        <f>IF(A1038="","",IF(OR(NOT(ISNUMBER(C1038)),C1038=""),"No",IF(AND(HOUR(C1038)&gt;=0,HOUR(C1038)&lt;5),"Yes","No")))</f>
        <v/>
      </c>
      <c r="I1038" s="183">
        <f>IF(OR(B1038="",NOT(ISNUMBER(B1038))),"",INT(B1038))</f>
        <v/>
      </c>
    </row>
    <row r="1039" ht="15" customHeight="1" s="122">
      <c r="A1039" s="179" t="inlineStr">
        <is>
          <t>KBB 104Q</t>
        </is>
      </c>
      <c r="B1039" s="180" t="n">
        <v>46236.53501157407</v>
      </c>
      <c r="C1039" s="180" t="n">
        <v>46236.53861111111</v>
      </c>
      <c r="D1039" s="173" t="inlineStr">
        <is>
          <t>1.22 Km</t>
        </is>
      </c>
      <c r="E1039" s="181" t="n">
        <v>17</v>
      </c>
      <c r="F1039" s="182" t="n">
        <v>33</v>
      </c>
      <c r="G1039" s="172" t="inlineStr">
        <is>
          <t>No</t>
        </is>
      </c>
      <c r="H1039" s="170">
        <f>IF(A1039="","",IF(OR(NOT(ISNUMBER(C1039)),C1039=""),"No",IF(AND(HOUR(C1039)&gt;=0,HOUR(C1039)&lt;5),"Yes","No")))</f>
        <v/>
      </c>
      <c r="I1039" s="183">
        <f>IF(OR(B1039="",NOT(ISNUMBER(B1039))),"",INT(B1039))</f>
        <v/>
      </c>
    </row>
    <row r="1040" ht="15" customHeight="1" s="122">
      <c r="A1040" s="179" t="inlineStr">
        <is>
          <t>KBB 104Q</t>
        </is>
      </c>
      <c r="B1040" s="180" t="n">
        <v>46236.54265046296</v>
      </c>
      <c r="C1040" s="180" t="n">
        <v>46236.54445601852</v>
      </c>
      <c r="D1040" s="173" t="inlineStr">
        <is>
          <t>0.69 Km</t>
        </is>
      </c>
      <c r="E1040" s="181" t="n">
        <v>14</v>
      </c>
      <c r="F1040" s="182" t="n">
        <v>29</v>
      </c>
      <c r="G1040" s="172" t="inlineStr">
        <is>
          <t>No</t>
        </is>
      </c>
      <c r="H1040" s="170">
        <f>IF(A1040="","",IF(OR(NOT(ISNUMBER(C1040)),C1040=""),"No",IF(AND(HOUR(C1040)&gt;=0,HOUR(C1040)&lt;5),"Yes","No")))</f>
        <v/>
      </c>
      <c r="I1040" s="183">
        <f>IF(OR(B1040="",NOT(ISNUMBER(B1040))),"",INT(B1040))</f>
        <v/>
      </c>
    </row>
    <row r="1041" ht="15" customHeight="1" s="122">
      <c r="A1041" s="179" t="inlineStr">
        <is>
          <t>KBB 104Q</t>
        </is>
      </c>
      <c r="B1041" s="180" t="n">
        <v>46236.72398148148</v>
      </c>
      <c r="C1041" s="180" t="n">
        <v>46236.72791666666</v>
      </c>
      <c r="D1041" s="173" t="inlineStr">
        <is>
          <t>1.04 Km</t>
        </is>
      </c>
      <c r="E1041" s="181" t="n">
        <v>13</v>
      </c>
      <c r="F1041" s="182" t="n">
        <v>32</v>
      </c>
      <c r="G1041" s="172" t="inlineStr">
        <is>
          <t>No</t>
        </is>
      </c>
      <c r="H1041" s="170">
        <f>IF(A1041="","",IF(OR(NOT(ISNUMBER(C1041)),C1041=""),"No",IF(AND(HOUR(C1041)&gt;=0,HOUR(C1041)&lt;5),"Yes","No")))</f>
        <v/>
      </c>
      <c r="I1041" s="183">
        <f>IF(OR(B1041="",NOT(ISNUMBER(B1041))),"",INT(B1041))</f>
        <v/>
      </c>
    </row>
    <row r="1042" ht="15" customHeight="1" s="122">
      <c r="A1042" s="179" t="inlineStr">
        <is>
          <t>KBB 104Q</t>
        </is>
      </c>
      <c r="B1042" s="180" t="n">
        <v>46236.73265046296</v>
      </c>
      <c r="C1042" s="180" t="n">
        <v>46236.7365162037</v>
      </c>
      <c r="D1042" s="173" t="inlineStr">
        <is>
          <t>1.06 Km</t>
        </is>
      </c>
      <c r="E1042" s="181" t="n">
        <v>15</v>
      </c>
      <c r="F1042" s="182" t="n">
        <v>36</v>
      </c>
      <c r="G1042" s="172" t="inlineStr">
        <is>
          <t>No</t>
        </is>
      </c>
      <c r="H1042" s="170">
        <f>IF(A1042="","",IF(OR(NOT(ISNUMBER(C1042)),C1042=""),"No",IF(AND(HOUR(C1042)&gt;=0,HOUR(C1042)&lt;5),"Yes","No")))</f>
        <v/>
      </c>
      <c r="I1042" s="183">
        <f>IF(OR(B1042="",NOT(ISNUMBER(B1042))),"",INT(B1042))</f>
        <v/>
      </c>
    </row>
    <row r="1043" ht="15" customHeight="1" s="122">
      <c r="A1043" s="179" t="inlineStr">
        <is>
          <t>KBB 104Q</t>
        </is>
      </c>
      <c r="B1043" s="180" t="n">
        <v>46267.37506944445</v>
      </c>
      <c r="C1043" s="180" t="n">
        <v>46267.38291666667</v>
      </c>
      <c r="D1043" s="173" t="inlineStr">
        <is>
          <t>9.14 Km</t>
        </is>
      </c>
      <c r="E1043" s="181" t="n">
        <v>49</v>
      </c>
      <c r="F1043" s="182" t="n">
        <v>95</v>
      </c>
      <c r="G1043" s="172" t="inlineStr">
        <is>
          <t>No</t>
        </is>
      </c>
      <c r="H1043" s="170">
        <f>IF(A1043="","",IF(OR(NOT(ISNUMBER(C1043)),C1043=""),"No",IF(AND(HOUR(C1043)&gt;=0,HOUR(C1043)&lt;5),"Yes","No")))</f>
        <v/>
      </c>
      <c r="I1043" s="183">
        <f>IF(OR(B1043="",NOT(ISNUMBER(B1043))),"",INT(B1043))</f>
        <v/>
      </c>
    </row>
    <row r="1044" ht="15" customHeight="1" s="122">
      <c r="A1044" s="179" t="inlineStr">
        <is>
          <t>KBB 104Q</t>
        </is>
      </c>
      <c r="B1044" s="180" t="n">
        <v>46267.38442129629</v>
      </c>
      <c r="C1044" s="180" t="n">
        <v>46267.39609953704</v>
      </c>
      <c r="D1044" s="173" t="inlineStr">
        <is>
          <t>9.91 Km</t>
        </is>
      </c>
      <c r="E1044" s="181" t="n">
        <v>33</v>
      </c>
      <c r="F1044" s="182" t="n">
        <v>71</v>
      </c>
      <c r="G1044" s="172" t="inlineStr">
        <is>
          <t>No</t>
        </is>
      </c>
      <c r="H1044" s="170">
        <f>IF(A1044="","",IF(OR(NOT(ISNUMBER(C1044)),C1044=""),"No",IF(AND(HOUR(C1044)&gt;=0,HOUR(C1044)&lt;5),"Yes","No")))</f>
        <v/>
      </c>
      <c r="I1044" s="183">
        <f>IF(OR(B1044="",NOT(ISNUMBER(B1044))),"",INT(B1044))</f>
        <v/>
      </c>
    </row>
    <row r="1045" ht="15" customHeight="1" s="122">
      <c r="A1045" s="179" t="inlineStr">
        <is>
          <t>KBB 104Q</t>
        </is>
      </c>
      <c r="B1045" s="180" t="n">
        <v>46267.42650462963</v>
      </c>
      <c r="C1045" s="180" t="n">
        <v>46267.43131944445</v>
      </c>
      <c r="D1045" s="173" t="inlineStr">
        <is>
          <t>3.53 Km</t>
        </is>
      </c>
      <c r="E1045" s="181" t="n">
        <v>33</v>
      </c>
      <c r="F1045" s="182" t="n">
        <v>77</v>
      </c>
      <c r="G1045" s="172" t="inlineStr">
        <is>
          <t>No</t>
        </is>
      </c>
      <c r="H1045" s="170">
        <f>IF(A1045="","",IF(OR(NOT(ISNUMBER(C1045)),C1045=""),"No",IF(AND(HOUR(C1045)&gt;=0,HOUR(C1045)&lt;5),"Yes","No")))</f>
        <v/>
      </c>
      <c r="I1045" s="183">
        <f>IF(OR(B1045="",NOT(ISNUMBER(B1045))),"",INT(B1045))</f>
        <v/>
      </c>
    </row>
    <row r="1046" ht="15" customHeight="1" s="122">
      <c r="A1046" s="179" t="inlineStr">
        <is>
          <t>KBB 104Q</t>
        </is>
      </c>
      <c r="B1046" s="180" t="n">
        <v>46267.46619212963</v>
      </c>
      <c r="C1046" s="180" t="n">
        <v>46267.4662962963</v>
      </c>
      <c r="D1046" s="173" t="inlineStr">
        <is>
          <t>0.02 Km</t>
        </is>
      </c>
      <c r="E1046" s="181" t="n">
        <v>8</v>
      </c>
      <c r="F1046" s="182" t="n">
        <v>9</v>
      </c>
      <c r="G1046" s="172" t="inlineStr">
        <is>
          <t>No</t>
        </is>
      </c>
      <c r="H1046" s="170">
        <f>IF(A1046="","",IF(OR(NOT(ISNUMBER(C1046)),C1046=""),"No",IF(AND(HOUR(C1046)&gt;=0,HOUR(C1046)&lt;5),"Yes","No")))</f>
        <v/>
      </c>
      <c r="I1046" s="183">
        <f>IF(OR(B1046="",NOT(ISNUMBER(B1046))),"",INT(B1046))</f>
        <v/>
      </c>
    </row>
    <row r="1047" ht="15" customHeight="1" s="122">
      <c r="A1047" s="179" t="inlineStr">
        <is>
          <t>KBB 104Q</t>
        </is>
      </c>
      <c r="B1047" s="180" t="n">
        <v>46267.53878472222</v>
      </c>
      <c r="C1047" s="180" t="n">
        <v>46267.5390162037</v>
      </c>
      <c r="D1047" s="173" t="inlineStr">
        <is>
          <t>0.03 Km</t>
        </is>
      </c>
      <c r="E1047" s="181" t="n">
        <v>7</v>
      </c>
      <c r="F1047" s="182" t="n">
        <v>8</v>
      </c>
      <c r="G1047" s="172" t="inlineStr">
        <is>
          <t>No</t>
        </is>
      </c>
      <c r="H1047" s="170">
        <f>IF(A1047="","",IF(OR(NOT(ISNUMBER(C1047)),C1047=""),"No",IF(AND(HOUR(C1047)&gt;=0,HOUR(C1047)&lt;5),"Yes","No")))</f>
        <v/>
      </c>
      <c r="I1047" s="183">
        <f>IF(OR(B1047="",NOT(ISNUMBER(B1047))),"",INT(B1047))</f>
        <v/>
      </c>
    </row>
    <row r="1048" ht="15" customHeight="1" s="122">
      <c r="A1048" s="179" t="inlineStr">
        <is>
          <t>KBB 104Q</t>
        </is>
      </c>
      <c r="B1048" s="180" t="n">
        <v>46267.58339120371</v>
      </c>
      <c r="C1048" s="180" t="n">
        <v>46267.58349537037</v>
      </c>
      <c r="D1048" s="173" t="inlineStr">
        <is>
          <t>0 Km</t>
        </is>
      </c>
      <c r="E1048" s="181" t="n">
        <v>6</v>
      </c>
      <c r="F1048" s="182" t="n">
        <v>6</v>
      </c>
      <c r="G1048" s="172" t="inlineStr">
        <is>
          <t>No</t>
        </is>
      </c>
      <c r="H1048" s="170">
        <f>IF(A1048="","",IF(OR(NOT(ISNUMBER(C1048)),C1048=""),"No",IF(AND(HOUR(C1048)&gt;=0,HOUR(C1048)&lt;5),"Yes","No")))</f>
        <v/>
      </c>
      <c r="I1048" s="183">
        <f>IF(OR(B1048="",NOT(ISNUMBER(B1048))),"",INT(B1048))</f>
        <v/>
      </c>
    </row>
    <row r="1049" ht="15" customHeight="1" s="122">
      <c r="A1049" s="179" t="inlineStr">
        <is>
          <t>KBB 104Q</t>
        </is>
      </c>
      <c r="B1049" s="180" t="n">
        <v>46267.65881944444</v>
      </c>
      <c r="C1049" s="180" t="n">
        <v>46267.66447916667</v>
      </c>
      <c r="D1049" s="173" t="inlineStr">
        <is>
          <t>5.69 Km</t>
        </is>
      </c>
      <c r="E1049" s="181" t="n">
        <v>42</v>
      </c>
      <c r="F1049" s="182" t="n">
        <v>78</v>
      </c>
      <c r="G1049" s="172" t="inlineStr">
        <is>
          <t>No</t>
        </is>
      </c>
      <c r="H1049" s="170">
        <f>IF(A1049="","",IF(OR(NOT(ISNUMBER(C1049)),C1049=""),"No",IF(AND(HOUR(C1049)&gt;=0,HOUR(C1049)&lt;5),"Yes","No")))</f>
        <v/>
      </c>
      <c r="I1049" s="183">
        <f>IF(OR(B1049="",NOT(ISNUMBER(B1049))),"",INT(B1049))</f>
        <v/>
      </c>
    </row>
    <row r="1050" ht="15" customHeight="1" s="122">
      <c r="A1050" s="179" t="inlineStr">
        <is>
          <t>KBB 104Q</t>
        </is>
      </c>
      <c r="B1050" s="180" t="n">
        <v>46267.66747685185</v>
      </c>
      <c r="C1050" s="180" t="n">
        <v>46267.67155092592</v>
      </c>
      <c r="D1050" s="173" t="inlineStr">
        <is>
          <t>3.97 Km</t>
        </is>
      </c>
      <c r="E1050" s="181" t="n">
        <v>39</v>
      </c>
      <c r="F1050" s="182" t="n">
        <v>75</v>
      </c>
      <c r="G1050" s="172" t="inlineStr">
        <is>
          <t>No</t>
        </is>
      </c>
      <c r="H1050" s="170">
        <f>IF(A1050="","",IF(OR(NOT(ISNUMBER(C1050)),C1050=""),"No",IF(AND(HOUR(C1050)&gt;=0,HOUR(C1050)&lt;5),"Yes","No")))</f>
        <v/>
      </c>
      <c r="I1050" s="183">
        <f>IF(OR(B1050="",NOT(ISNUMBER(B1050))),"",INT(B1050))</f>
        <v/>
      </c>
    </row>
    <row r="1051" ht="15" customHeight="1" s="122">
      <c r="A1051" s="179" t="inlineStr">
        <is>
          <t>KBB 104Q</t>
        </is>
      </c>
      <c r="B1051" s="180" t="n">
        <v>46267.68092592592</v>
      </c>
      <c r="C1051" s="180" t="n">
        <v>46267.68096064815</v>
      </c>
      <c r="D1051" s="173" t="inlineStr">
        <is>
          <t>0.02 Km</t>
        </is>
      </c>
      <c r="E1051" s="181" t="n">
        <v>6</v>
      </c>
      <c r="F1051" s="182" t="n">
        <v>6</v>
      </c>
      <c r="G1051" s="172" t="inlineStr">
        <is>
          <t>No</t>
        </is>
      </c>
      <c r="H1051" s="170">
        <f>IF(A1051="","",IF(OR(NOT(ISNUMBER(C1051)),C1051=""),"No",IF(AND(HOUR(C1051)&gt;=0,HOUR(C1051)&lt;5),"Yes","No")))</f>
        <v/>
      </c>
      <c r="I1051" s="183">
        <f>IF(OR(B1051="",NOT(ISNUMBER(B1051))),"",INT(B1051))</f>
        <v/>
      </c>
    </row>
    <row r="1052" ht="15" customHeight="1" s="122">
      <c r="A1052" s="179" t="inlineStr">
        <is>
          <t>KBB 104Q</t>
        </is>
      </c>
      <c r="B1052" s="180" t="n">
        <v>46267.68209490741</v>
      </c>
      <c r="C1052" s="180" t="n">
        <v>46267.68431712963</v>
      </c>
      <c r="D1052" s="173" t="inlineStr">
        <is>
          <t>0.98 Km</t>
        </is>
      </c>
      <c r="E1052" s="181" t="n">
        <v>20</v>
      </c>
      <c r="F1052" s="182" t="n">
        <v>35</v>
      </c>
      <c r="G1052" s="172" t="inlineStr">
        <is>
          <t>No</t>
        </is>
      </c>
      <c r="H1052" s="170">
        <f>IF(A1052="","",IF(OR(NOT(ISNUMBER(C1052)),C1052=""),"No",IF(AND(HOUR(C1052)&gt;=0,HOUR(C1052)&lt;5),"Yes","No")))</f>
        <v/>
      </c>
      <c r="I1052" s="183">
        <f>IF(OR(B1052="",NOT(ISNUMBER(B1052))),"",INT(B1052))</f>
        <v/>
      </c>
    </row>
    <row r="1053" ht="15" customHeight="1" s="122">
      <c r="A1053" s="179" t="inlineStr">
        <is>
          <t>KBB 104Q</t>
        </is>
      </c>
      <c r="B1053" s="180" t="n">
        <v>46267.68453703704</v>
      </c>
      <c r="C1053" s="180" t="n">
        <v>46267.68510416667</v>
      </c>
      <c r="D1053" s="173" t="inlineStr">
        <is>
          <t>0.13 Km</t>
        </is>
      </c>
      <c r="E1053" s="181" t="n">
        <v>10</v>
      </c>
      <c r="F1053" s="182" t="n">
        <v>12</v>
      </c>
      <c r="G1053" s="172" t="inlineStr">
        <is>
          <t>No</t>
        </is>
      </c>
      <c r="H1053" s="170">
        <f>IF(A1053="","",IF(OR(NOT(ISNUMBER(C1053)),C1053=""),"No",IF(AND(HOUR(C1053)&gt;=0,HOUR(C1053)&lt;5),"Yes","No")))</f>
        <v/>
      </c>
      <c r="I1053" s="183">
        <f>IF(OR(B1053="",NOT(ISNUMBER(B1053))),"",INT(B1053))</f>
        <v/>
      </c>
    </row>
    <row r="1054" ht="15" customHeight="1" s="122">
      <c r="A1054" s="179" t="inlineStr">
        <is>
          <t>KBB 104Q</t>
        </is>
      </c>
      <c r="B1054" s="180" t="n">
        <v>46267.68731481482</v>
      </c>
      <c r="C1054" s="180" t="n">
        <v>46267.69976851852</v>
      </c>
      <c r="D1054" s="173" t="inlineStr">
        <is>
          <t>9.88 Km</t>
        </is>
      </c>
      <c r="E1054" s="181" t="n">
        <v>32</v>
      </c>
      <c r="F1054" s="182" t="n">
        <v>68</v>
      </c>
      <c r="G1054" s="172" t="inlineStr">
        <is>
          <t>No</t>
        </is>
      </c>
      <c r="H1054" s="170">
        <f>IF(A1054="","",IF(OR(NOT(ISNUMBER(C1054)),C1054=""),"No",IF(AND(HOUR(C1054)&gt;=0,HOUR(C1054)&lt;5),"Yes","No")))</f>
        <v/>
      </c>
      <c r="I1054" s="183">
        <f>IF(OR(B1054="",NOT(ISNUMBER(B1054))),"",INT(B1054))</f>
        <v/>
      </c>
    </row>
    <row r="1055" ht="15" customHeight="1" s="122">
      <c r="A1055" s="179" t="inlineStr">
        <is>
          <t>KBB 104Q</t>
        </is>
      </c>
      <c r="B1055" s="180" t="n">
        <v>46267.95305555555</v>
      </c>
      <c r="C1055" s="180" t="n">
        <v>46267.95328703704</v>
      </c>
      <c r="D1055" s="173" t="inlineStr">
        <is>
          <t>0.02 Km</t>
        </is>
      </c>
      <c r="E1055" s="181" t="n">
        <v>6</v>
      </c>
      <c r="F1055" s="182" t="n">
        <v>6</v>
      </c>
      <c r="G1055" s="172" t="inlineStr">
        <is>
          <t>Yes</t>
        </is>
      </c>
      <c r="H1055" s="170">
        <f>IF(A1055="","",IF(OR(NOT(ISNUMBER(C1055)),C1055=""),"No",IF(AND(HOUR(C1055)&gt;=0,HOUR(C1055)&lt;5),"Yes","No")))</f>
        <v/>
      </c>
      <c r="I1055" s="183">
        <f>IF(OR(B1055="",NOT(ISNUMBER(B1055))),"",INT(B1055))</f>
        <v/>
      </c>
    </row>
    <row r="1056" ht="15" customHeight="1" s="122">
      <c r="A1056" s="179" t="inlineStr">
        <is>
          <t>KBB 104Q</t>
        </is>
      </c>
      <c r="B1056" s="180" t="n">
        <v>46297.87935185185</v>
      </c>
      <c r="C1056" s="180" t="n">
        <v>46297.88002314815</v>
      </c>
      <c r="D1056" s="173" t="inlineStr">
        <is>
          <t>0.04 Km</t>
        </is>
      </c>
      <c r="E1056" s="181" t="n">
        <v>8</v>
      </c>
      <c r="F1056" s="182" t="n">
        <v>11</v>
      </c>
      <c r="G1056" s="172" t="inlineStr">
        <is>
          <t>No</t>
        </is>
      </c>
      <c r="H1056" s="170">
        <f>IF(A1056="","",IF(OR(NOT(ISNUMBER(C1056)),C1056=""),"No",IF(AND(HOUR(C1056)&gt;=0,HOUR(C1056)&lt;5),"Yes","No")))</f>
        <v/>
      </c>
      <c r="I1056" s="183">
        <f>IF(OR(B1056="",NOT(ISNUMBER(B1056))),"",INT(B1056))</f>
        <v/>
      </c>
    </row>
    <row r="1057" ht="15" customHeight="1" s="122">
      <c r="A1057" s="179" t="inlineStr">
        <is>
          <t>KBB 104Q</t>
        </is>
      </c>
      <c r="B1057" s="180" t="n">
        <v>46328.38753472222</v>
      </c>
      <c r="C1057" s="180" t="n">
        <v>46328.40283564815</v>
      </c>
      <c r="D1057" s="173" t="inlineStr">
        <is>
          <t>21.95 Km</t>
        </is>
      </c>
      <c r="E1057" s="181" t="n">
        <v>64</v>
      </c>
      <c r="F1057" s="182" t="n">
        <v>103</v>
      </c>
      <c r="G1057" s="172" t="inlineStr">
        <is>
          <t>No</t>
        </is>
      </c>
      <c r="H1057" s="170">
        <f>IF(A1057="","",IF(OR(NOT(ISNUMBER(C1057)),C1057=""),"No",IF(AND(HOUR(C1057)&gt;=0,HOUR(C1057)&lt;5),"Yes","No")))</f>
        <v/>
      </c>
      <c r="I1057" s="183">
        <f>IF(OR(B1057="",NOT(ISNUMBER(B1057))),"",INT(B1057))</f>
        <v/>
      </c>
    </row>
    <row r="1058" ht="15" customHeight="1" s="122">
      <c r="A1058" s="179" t="inlineStr">
        <is>
          <t>KBB 104Q</t>
        </is>
      </c>
      <c r="B1058" s="180" t="n">
        <v>46328.40436342593</v>
      </c>
      <c r="C1058" s="180" t="n">
        <v>46328.42092592592</v>
      </c>
      <c r="D1058" s="173" t="inlineStr">
        <is>
          <t>25.9 Km</t>
        </is>
      </c>
      <c r="E1058" s="181" t="n">
        <v>68</v>
      </c>
      <c r="F1058" s="182" t="n">
        <v>107</v>
      </c>
      <c r="G1058" s="172" t="inlineStr">
        <is>
          <t>No</t>
        </is>
      </c>
      <c r="H1058" s="170">
        <f>IF(A1058="","",IF(OR(NOT(ISNUMBER(C1058)),C1058=""),"No",IF(AND(HOUR(C1058)&gt;=0,HOUR(C1058)&lt;5),"Yes","No")))</f>
        <v/>
      </c>
      <c r="I1058" s="183">
        <f>IF(OR(B1058="",NOT(ISNUMBER(B1058))),"",INT(B1058))</f>
        <v/>
      </c>
    </row>
    <row r="1059" ht="15" customHeight="1" s="122">
      <c r="A1059" s="179" t="inlineStr">
        <is>
          <t>KBB 104Q</t>
        </is>
      </c>
      <c r="B1059" s="180" t="n">
        <v>46328.54984953703</v>
      </c>
      <c r="C1059" s="180" t="n">
        <v>46328.55055555556</v>
      </c>
      <c r="D1059" s="173" t="inlineStr">
        <is>
          <t>0.02 Km</t>
        </is>
      </c>
      <c r="E1059" s="181" t="n">
        <v>6</v>
      </c>
      <c r="F1059" s="182" t="n">
        <v>6</v>
      </c>
      <c r="G1059" s="172" t="inlineStr">
        <is>
          <t>No</t>
        </is>
      </c>
      <c r="H1059" s="170">
        <f>IF(A1059="","",IF(OR(NOT(ISNUMBER(C1059)),C1059=""),"No",IF(AND(HOUR(C1059)&gt;=0,HOUR(C1059)&lt;5),"Yes","No")))</f>
        <v/>
      </c>
      <c r="I1059" s="183">
        <f>IF(OR(B1059="",NOT(ISNUMBER(B1059))),"",INT(B1059))</f>
        <v/>
      </c>
    </row>
    <row r="1060" ht="15" customHeight="1" s="122">
      <c r="A1060" s="179" t="inlineStr">
        <is>
          <t>KBB 104Q</t>
        </is>
      </c>
      <c r="B1060" s="180" t="n">
        <v>46328.55087962963</v>
      </c>
      <c r="C1060" s="180" t="n">
        <v>46328.56071759259</v>
      </c>
      <c r="D1060" s="173" t="inlineStr">
        <is>
          <t>9.34 Km</t>
        </is>
      </c>
      <c r="E1060" s="181" t="n">
        <v>41</v>
      </c>
      <c r="F1060" s="182" t="n">
        <v>69</v>
      </c>
      <c r="G1060" s="172" t="inlineStr">
        <is>
          <t>No</t>
        </is>
      </c>
      <c r="H1060" s="170">
        <f>IF(A1060="","",IF(OR(NOT(ISNUMBER(C1060)),C1060=""),"No",IF(AND(HOUR(C1060)&gt;=0,HOUR(C1060)&lt;5),"Yes","No")))</f>
        <v/>
      </c>
      <c r="I1060" s="183">
        <f>IF(OR(B1060="",NOT(ISNUMBER(B1060))),"",INT(B1060))</f>
        <v/>
      </c>
    </row>
    <row r="1061" ht="15" customHeight="1" s="122">
      <c r="A1061" s="179" t="inlineStr">
        <is>
          <t>KBB 104Q</t>
        </is>
      </c>
      <c r="B1061" s="180" t="n">
        <v>46328.56596064815</v>
      </c>
      <c r="C1061" s="180" t="n">
        <v>46328.58416666667</v>
      </c>
      <c r="D1061" s="173" t="inlineStr">
        <is>
          <t>12.08 Km</t>
        </is>
      </c>
      <c r="E1061" s="181" t="n">
        <v>33</v>
      </c>
      <c r="F1061" s="182" t="n">
        <v>68</v>
      </c>
      <c r="G1061" s="172" t="inlineStr">
        <is>
          <t>No</t>
        </is>
      </c>
      <c r="H1061" s="170">
        <f>IF(A1061="","",IF(OR(NOT(ISNUMBER(C1061)),C1061=""),"No",IF(AND(HOUR(C1061)&gt;=0,HOUR(C1061)&lt;5),"Yes","No")))</f>
        <v/>
      </c>
      <c r="I1061" s="183">
        <f>IF(OR(B1061="",NOT(ISNUMBER(B1061))),"",INT(B1061))</f>
        <v/>
      </c>
    </row>
    <row r="1062" ht="15" customHeight="1" s="122">
      <c r="A1062" s="179" t="inlineStr">
        <is>
          <t>KBB 104Q</t>
        </is>
      </c>
      <c r="B1062" s="180" t="n">
        <v>46328.59840277778</v>
      </c>
      <c r="C1062" s="180" t="n">
        <v>46328.60712962963</v>
      </c>
      <c r="D1062" s="173" t="inlineStr">
        <is>
          <t>2.96 Km</t>
        </is>
      </c>
      <c r="E1062" s="181" t="n">
        <v>15</v>
      </c>
      <c r="F1062" s="182" t="n">
        <v>37</v>
      </c>
      <c r="G1062" s="172" t="inlineStr">
        <is>
          <t>No</t>
        </is>
      </c>
      <c r="H1062" s="170">
        <f>IF(A1062="","",IF(OR(NOT(ISNUMBER(C1062)),C1062=""),"No",IF(AND(HOUR(C1062)&gt;=0,HOUR(C1062)&lt;5),"Yes","No")))</f>
        <v/>
      </c>
      <c r="I1062" s="183">
        <f>IF(OR(B1062="",NOT(ISNUMBER(B1062))),"",INT(B1062))</f>
        <v/>
      </c>
    </row>
    <row r="1063" ht="15" customHeight="1" s="122">
      <c r="A1063" s="179" t="inlineStr">
        <is>
          <t>KBB 104Q</t>
        </is>
      </c>
      <c r="B1063" s="180" t="n">
        <v>46328.61041666667</v>
      </c>
      <c r="C1063" s="180" t="n">
        <v>46328.64909722222</v>
      </c>
      <c r="D1063" s="173" t="inlineStr">
        <is>
          <t>32.93 Km</t>
        </is>
      </c>
      <c r="E1063" s="181" t="n">
        <v>37</v>
      </c>
      <c r="F1063" s="182" t="n">
        <v>84</v>
      </c>
      <c r="G1063" s="172" t="inlineStr">
        <is>
          <t>No</t>
        </is>
      </c>
      <c r="H1063" s="170">
        <f>IF(A1063="","",IF(OR(NOT(ISNUMBER(C1063)),C1063=""),"No",IF(AND(HOUR(C1063)&gt;=0,HOUR(C1063)&lt;5),"Yes","No")))</f>
        <v/>
      </c>
      <c r="I1063" s="183">
        <f>IF(OR(B1063="",NOT(ISNUMBER(B1063))),"",INT(B1063))</f>
        <v/>
      </c>
    </row>
    <row r="1064" ht="15" customHeight="1" s="122">
      <c r="A1064" s="179" t="inlineStr">
        <is>
          <t>KBB 104Q</t>
        </is>
      </c>
      <c r="B1064" s="180" t="n">
        <v>46328.65076388889</v>
      </c>
      <c r="C1064" s="180" t="n">
        <v>46328.66697916666</v>
      </c>
      <c r="D1064" s="173" t="inlineStr">
        <is>
          <t>9.92 Km</t>
        </is>
      </c>
      <c r="E1064" s="181" t="n">
        <v>32</v>
      </c>
      <c r="F1064" s="182" t="n">
        <v>74</v>
      </c>
      <c r="G1064" s="172" t="inlineStr">
        <is>
          <t>No</t>
        </is>
      </c>
      <c r="H1064" s="170">
        <f>IF(A1064="","",IF(OR(NOT(ISNUMBER(C1064)),C1064=""),"No",IF(AND(HOUR(C1064)&gt;=0,HOUR(C1064)&lt;5),"Yes","No")))</f>
        <v/>
      </c>
      <c r="I1064" s="183">
        <f>IF(OR(B1064="",NOT(ISNUMBER(B1064))),"",INT(B1064))</f>
        <v/>
      </c>
    </row>
    <row r="1065" ht="15" customHeight="1" s="122">
      <c r="A1065" s="179" t="inlineStr">
        <is>
          <t>KBB 104Q</t>
        </is>
      </c>
      <c r="B1065" s="180" t="n">
        <v>46328.66783564815</v>
      </c>
      <c r="C1065" s="180" t="n">
        <v>46328.66871527778</v>
      </c>
      <c r="D1065" s="173" t="inlineStr">
        <is>
          <t>0.04 Km</t>
        </is>
      </c>
      <c r="E1065" s="181" t="n">
        <v>7</v>
      </c>
      <c r="F1065" s="182" t="n">
        <v>10</v>
      </c>
      <c r="G1065" s="172" t="inlineStr">
        <is>
          <t>No</t>
        </is>
      </c>
      <c r="H1065" s="170">
        <f>IF(A1065="","",IF(OR(NOT(ISNUMBER(C1065)),C1065=""),"No",IF(AND(HOUR(C1065)&gt;=0,HOUR(C1065)&lt;5),"Yes","No")))</f>
        <v/>
      </c>
      <c r="I1065" s="183">
        <f>IF(OR(B1065="",NOT(ISNUMBER(B1065))),"",INT(B1065))</f>
        <v/>
      </c>
    </row>
    <row r="1066" ht="15" customHeight="1" s="122">
      <c r="A1066" s="179" t="inlineStr">
        <is>
          <t>KBB 104Q</t>
        </is>
      </c>
      <c r="B1066" s="180" t="n">
        <v>46358.51361111111</v>
      </c>
      <c r="C1066" s="180" t="n">
        <v>46358.52674768519</v>
      </c>
      <c r="D1066" s="173" t="inlineStr">
        <is>
          <t>15.28 Km</t>
        </is>
      </c>
      <c r="E1066" s="181" t="n">
        <v>52</v>
      </c>
      <c r="F1066" s="182" t="n">
        <v>90</v>
      </c>
      <c r="G1066" s="172" t="inlineStr">
        <is>
          <t>No</t>
        </is>
      </c>
      <c r="H1066" s="170">
        <f>IF(A1066="","",IF(OR(NOT(ISNUMBER(C1066)),C1066=""),"No",IF(AND(HOUR(C1066)&gt;=0,HOUR(C1066)&lt;5),"Yes","No")))</f>
        <v/>
      </c>
      <c r="I1066" s="183">
        <f>IF(OR(B1066="",NOT(ISNUMBER(B1066))),"",INT(B1066))</f>
        <v/>
      </c>
    </row>
    <row r="1067" ht="15" customHeight="1" s="122">
      <c r="A1067" s="179" t="inlineStr">
        <is>
          <t>KBB 104Q</t>
        </is>
      </c>
      <c r="B1067" s="180" t="n">
        <v>46358.67585648148</v>
      </c>
      <c r="C1067" s="180" t="n">
        <v>46358.68113425926</v>
      </c>
      <c r="D1067" s="173" t="inlineStr">
        <is>
          <t>4.74 Km</t>
        </is>
      </c>
      <c r="E1067" s="181" t="n">
        <v>32</v>
      </c>
      <c r="F1067" s="182" t="n">
        <v>77</v>
      </c>
      <c r="G1067" s="172" t="inlineStr">
        <is>
          <t>No</t>
        </is>
      </c>
      <c r="H1067" s="170">
        <f>IF(A1067="","",IF(OR(NOT(ISNUMBER(C1067)),C1067=""),"No",IF(AND(HOUR(C1067)&gt;=0,HOUR(C1067)&lt;5),"Yes","No")))</f>
        <v/>
      </c>
      <c r="I1067" s="183">
        <f>IF(OR(B1067="",NOT(ISNUMBER(B1067))),"",INT(B1067))</f>
        <v/>
      </c>
    </row>
    <row r="1068" ht="15" customHeight="1" s="122">
      <c r="A1068" s="179" t="inlineStr">
        <is>
          <t>KBB 104Q</t>
        </is>
      </c>
      <c r="B1068" s="180" t="n">
        <v>46358.68997685185</v>
      </c>
      <c r="C1068" s="180" t="n">
        <v>46358.69326388889</v>
      </c>
      <c r="D1068" s="173" t="inlineStr">
        <is>
          <t>1.21 Km</t>
        </is>
      </c>
      <c r="E1068" s="181" t="n">
        <v>14</v>
      </c>
      <c r="F1068" s="182" t="n">
        <v>37</v>
      </c>
      <c r="G1068" s="172" t="inlineStr">
        <is>
          <t>No</t>
        </is>
      </c>
      <c r="H1068" s="170">
        <f>IF(A1068="","",IF(OR(NOT(ISNUMBER(C1068)),C1068=""),"No",IF(AND(HOUR(C1068)&gt;=0,HOUR(C1068)&lt;5),"Yes","No")))</f>
        <v/>
      </c>
      <c r="I1068" s="183">
        <f>IF(OR(B1068="",NOT(ISNUMBER(B1068))),"",INT(B1068))</f>
        <v/>
      </c>
    </row>
    <row r="1069" ht="15" customHeight="1" s="122">
      <c r="A1069" s="179" t="inlineStr">
        <is>
          <t>KBB 104Q</t>
        </is>
      </c>
      <c r="B1069" s="180" t="n">
        <v>46358.69813657407</v>
      </c>
      <c r="C1069" s="180" t="n">
        <v>46358.71334490741</v>
      </c>
      <c r="D1069" s="173" t="inlineStr">
        <is>
          <t>9.92 Km</t>
        </is>
      </c>
      <c r="E1069" s="181" t="n">
        <v>32</v>
      </c>
      <c r="F1069" s="182" t="n">
        <v>84</v>
      </c>
      <c r="G1069" s="172" t="inlineStr">
        <is>
          <t>No</t>
        </is>
      </c>
      <c r="H1069" s="170">
        <f>IF(A1069="","",IF(OR(NOT(ISNUMBER(C1069)),C1069=""),"No",IF(AND(HOUR(C1069)&gt;=0,HOUR(C1069)&lt;5),"Yes","No")))</f>
        <v/>
      </c>
      <c r="I1069" s="183">
        <f>IF(OR(B1069="",NOT(ISNUMBER(B1069))),"",INT(B1069))</f>
        <v/>
      </c>
    </row>
    <row r="1070" ht="15" customHeight="1" s="122">
      <c r="A1070" s="179" t="inlineStr">
        <is>
          <t>KBB 104Q</t>
        </is>
      </c>
      <c r="B1070" s="180" t="n">
        <v>46358.71675925926</v>
      </c>
      <c r="C1070" s="180" t="n">
        <v>46358.72479166667</v>
      </c>
      <c r="D1070" s="173" t="inlineStr">
        <is>
          <t>5.32 Km</t>
        </is>
      </c>
      <c r="E1070" s="181" t="n">
        <v>26</v>
      </c>
      <c r="F1070" s="182" t="n">
        <v>76</v>
      </c>
      <c r="G1070" s="172" t="inlineStr">
        <is>
          <t>No</t>
        </is>
      </c>
      <c r="H1070" s="170">
        <f>IF(A1070="","",IF(OR(NOT(ISNUMBER(C1070)),C1070=""),"No",IF(AND(HOUR(C1070)&gt;=0,HOUR(C1070)&lt;5),"Yes","No")))</f>
        <v/>
      </c>
      <c r="I1070" s="183">
        <f>IF(OR(B1070="",NOT(ISNUMBER(B1070))),"",INT(B1070))</f>
        <v/>
      </c>
    </row>
    <row r="1071" ht="15" customHeight="1" s="122">
      <c r="A1071" s="179" t="inlineStr">
        <is>
          <t>KBB 104Q</t>
        </is>
      </c>
      <c r="B1071" s="180" t="n">
        <v>46358.85626157407</v>
      </c>
      <c r="C1071" s="180" t="n">
        <v>46358.86355324074</v>
      </c>
      <c r="D1071" s="173" t="inlineStr">
        <is>
          <t>4.45 Km</t>
        </is>
      </c>
      <c r="E1071" s="181" t="n">
        <v>21</v>
      </c>
      <c r="F1071" s="182" t="n">
        <v>58</v>
      </c>
      <c r="G1071" s="172" t="inlineStr">
        <is>
          <t>No</t>
        </is>
      </c>
      <c r="H1071" s="170">
        <f>IF(A1071="","",IF(OR(NOT(ISNUMBER(C1071)),C1071=""),"No",IF(AND(HOUR(C1071)&gt;=0,HOUR(C1071)&lt;5),"Yes","No")))</f>
        <v/>
      </c>
      <c r="I1071" s="183">
        <f>IF(OR(B1071="",NOT(ISNUMBER(B1071))),"",INT(B1071))</f>
        <v/>
      </c>
    </row>
    <row r="1072" ht="15" customHeight="1" s="122">
      <c r="A1072" s="179" t="inlineStr">
        <is>
          <t>KBB 104Q</t>
        </is>
      </c>
      <c r="B1072" s="172" t="inlineStr">
        <is>
          <t>13-02-2026 06:52:45</t>
        </is>
      </c>
      <c r="C1072" s="172" t="inlineStr">
        <is>
          <t>13-02-2026 07:24:17</t>
        </is>
      </c>
      <c r="D1072" s="173" t="inlineStr">
        <is>
          <t>28.61 Km</t>
        </is>
      </c>
      <c r="E1072" s="181" t="n">
        <v>56</v>
      </c>
      <c r="F1072" s="182" t="n">
        <v>95</v>
      </c>
      <c r="G1072" s="172" t="inlineStr">
        <is>
          <t>No</t>
        </is>
      </c>
      <c r="H1072" s="170">
        <f>IF(A1072="","",IF(OR(NOT(ISNUMBER(C1072)),C1072=""),"No",IF(AND(HOUR(C1072)&gt;=0,HOUR(C1072)&lt;5),"Yes","No")))</f>
        <v/>
      </c>
      <c r="I1072" s="183">
        <f>IF(OR(B1072="",NOT(ISNUMBER(B1072))),"",INT(B1072))</f>
        <v/>
      </c>
    </row>
    <row r="1073" ht="15" customHeight="1" s="122">
      <c r="A1073" s="179" t="inlineStr">
        <is>
          <t>KBB 104Q</t>
        </is>
      </c>
      <c r="B1073" s="172" t="inlineStr">
        <is>
          <t>13-02-2026 08:10:36</t>
        </is>
      </c>
      <c r="C1073" s="172" t="inlineStr">
        <is>
          <t>13-02-2026 08:27:07</t>
        </is>
      </c>
      <c r="D1073" s="173" t="inlineStr">
        <is>
          <t>11.57 Km</t>
        </is>
      </c>
      <c r="E1073" s="181" t="n">
        <v>41</v>
      </c>
      <c r="F1073" s="182" t="n">
        <v>82</v>
      </c>
      <c r="G1073" s="172" t="inlineStr">
        <is>
          <t>No</t>
        </is>
      </c>
      <c r="H1073" s="170">
        <f>IF(A1073="","",IF(OR(NOT(ISNUMBER(C1073)),C1073=""),"No",IF(AND(HOUR(C1073)&gt;=0,HOUR(C1073)&lt;5),"Yes","No")))</f>
        <v/>
      </c>
      <c r="I1073" s="183">
        <f>IF(OR(B1073="",NOT(ISNUMBER(B1073))),"",INT(B1073))</f>
        <v/>
      </c>
    </row>
    <row r="1074" ht="15" customHeight="1" s="122">
      <c r="A1074" s="179" t="inlineStr">
        <is>
          <t>KBB 104Q</t>
        </is>
      </c>
      <c r="B1074" s="172" t="inlineStr">
        <is>
          <t>13-02-2026 08:36:45</t>
        </is>
      </c>
      <c r="C1074" s="172" t="inlineStr">
        <is>
          <t>13-02-2026 08:38:36</t>
        </is>
      </c>
      <c r="D1074" s="173" t="inlineStr">
        <is>
          <t>0.15 Km</t>
        </is>
      </c>
      <c r="E1074" s="181" t="n">
        <v>8</v>
      </c>
      <c r="F1074" s="182" t="n">
        <v>12</v>
      </c>
      <c r="G1074" s="172" t="inlineStr">
        <is>
          <t>No</t>
        </is>
      </c>
      <c r="H1074" s="170">
        <f>IF(A1074="","",IF(OR(NOT(ISNUMBER(C1074)),C1074=""),"No",IF(AND(HOUR(C1074)&gt;=0,HOUR(C1074)&lt;5),"Yes","No")))</f>
        <v/>
      </c>
      <c r="I1074" s="183">
        <f>IF(OR(B1074="",NOT(ISNUMBER(B1074))),"",INT(B1074))</f>
        <v/>
      </c>
    </row>
    <row r="1075" ht="15" customHeight="1" s="122">
      <c r="A1075" s="179" t="inlineStr">
        <is>
          <t>KBB 104Q</t>
        </is>
      </c>
      <c r="B1075" s="172" t="inlineStr">
        <is>
          <t>13-02-2026 18:05:19</t>
        </is>
      </c>
      <c r="C1075" s="172" t="inlineStr">
        <is>
          <t>13-02-2026 18:37:00</t>
        </is>
      </c>
      <c r="D1075" s="173" t="inlineStr">
        <is>
          <t>22.14 Km</t>
        </is>
      </c>
      <c r="E1075" s="181" t="n">
        <v>41</v>
      </c>
      <c r="F1075" s="182" t="n">
        <v>78</v>
      </c>
      <c r="G1075" s="172" t="inlineStr">
        <is>
          <t>No</t>
        </is>
      </c>
      <c r="H1075" s="170">
        <f>IF(A1075="","",IF(OR(NOT(ISNUMBER(C1075)),C1075=""),"No",IF(AND(HOUR(C1075)&gt;=0,HOUR(C1075)&lt;5),"Yes","No")))</f>
        <v/>
      </c>
      <c r="I1075" s="183">
        <f>IF(OR(B1075="",NOT(ISNUMBER(B1075))),"",INT(B1075))</f>
        <v/>
      </c>
    </row>
    <row r="1076" ht="15" customHeight="1" s="122">
      <c r="A1076" s="179" t="inlineStr">
        <is>
          <t>KBB 104Q</t>
        </is>
      </c>
      <c r="B1076" s="172" t="inlineStr">
        <is>
          <t>13-02-2026 18:41:28</t>
        </is>
      </c>
      <c r="C1076" s="172" t="inlineStr">
        <is>
          <t>13-02-2026 18:48:05</t>
        </is>
      </c>
      <c r="D1076" s="173" t="inlineStr">
        <is>
          <t>6.42 Km</t>
        </is>
      </c>
      <c r="E1076" s="181" t="n">
        <v>59</v>
      </c>
      <c r="F1076" s="182" t="n">
        <v>90</v>
      </c>
      <c r="G1076" s="172" t="inlineStr">
        <is>
          <t>No</t>
        </is>
      </c>
      <c r="H1076" s="170">
        <f>IF(A1076="","",IF(OR(NOT(ISNUMBER(C1076)),C1076=""),"No",IF(AND(HOUR(C1076)&gt;=0,HOUR(C1076)&lt;5),"Yes","No")))</f>
        <v/>
      </c>
      <c r="I1076" s="183">
        <f>IF(OR(B1076="",NOT(ISNUMBER(B1076))),"",INT(B1076))</f>
        <v/>
      </c>
    </row>
    <row r="1077" ht="15" customHeight="1" s="122">
      <c r="A1077" s="179" t="inlineStr">
        <is>
          <t>KBB 104Q</t>
        </is>
      </c>
      <c r="B1077" s="172" t="inlineStr">
        <is>
          <t>13-02-2026 18:56:11</t>
        </is>
      </c>
      <c r="C1077" s="172" t="inlineStr">
        <is>
          <t>13-02-2026 19:52:51</t>
        </is>
      </c>
      <c r="D1077" s="173" t="inlineStr">
        <is>
          <t>41.46 Km</t>
        </is>
      </c>
      <c r="E1077" s="181" t="n">
        <v>46</v>
      </c>
      <c r="F1077" s="182" t="n">
        <v>80</v>
      </c>
      <c r="G1077" s="172" t="inlineStr">
        <is>
          <t>No</t>
        </is>
      </c>
      <c r="H1077" s="170">
        <f>IF(A1077="","",IF(OR(NOT(ISNUMBER(C1077)),C1077=""),"No",IF(AND(HOUR(C1077)&gt;=0,HOUR(C1077)&lt;5),"Yes","No")))</f>
        <v/>
      </c>
      <c r="I1077" s="183">
        <f>IF(OR(B1077="",NOT(ISNUMBER(B1077))),"",INT(B1077))</f>
        <v/>
      </c>
    </row>
    <row r="1078" ht="15" customHeight="1" s="122">
      <c r="A1078" s="179" t="inlineStr">
        <is>
          <t>KBB 104Q</t>
        </is>
      </c>
      <c r="B1078" s="172" t="inlineStr">
        <is>
          <t>14-02-2026 12:40:32</t>
        </is>
      </c>
      <c r="C1078" s="172" t="inlineStr">
        <is>
          <t>14-02-2026 12:45:33</t>
        </is>
      </c>
      <c r="D1078" s="173" t="inlineStr">
        <is>
          <t>0.9 Km</t>
        </is>
      </c>
      <c r="E1078" s="181" t="n">
        <v>15</v>
      </c>
      <c r="F1078" s="182" t="n">
        <v>39</v>
      </c>
      <c r="G1078" s="172" t="inlineStr">
        <is>
          <t>No</t>
        </is>
      </c>
      <c r="H1078" s="170">
        <f>IF(A1078="","",IF(OR(NOT(ISNUMBER(C1078)),C1078=""),"No",IF(AND(HOUR(C1078)&gt;=0,HOUR(C1078)&lt;5),"Yes","No")))</f>
        <v/>
      </c>
      <c r="I1078" s="183">
        <f>IF(OR(B1078="",NOT(ISNUMBER(B1078))),"",INT(B1078))</f>
        <v/>
      </c>
    </row>
    <row r="1079" ht="15" customHeight="1" s="122">
      <c r="A1079" s="179" t="inlineStr">
        <is>
          <t>KBB 104Q</t>
        </is>
      </c>
      <c r="B1079" s="172" t="inlineStr">
        <is>
          <t>14-02-2026 12:48:49</t>
        </is>
      </c>
      <c r="C1079" s="172" t="inlineStr">
        <is>
          <t>14-02-2026 12:58:52</t>
        </is>
      </c>
      <c r="D1079" s="173" t="inlineStr">
        <is>
          <t>4.47 Km</t>
        </is>
      </c>
      <c r="E1079" s="181" t="n">
        <v>27</v>
      </c>
      <c r="F1079" s="182" t="n">
        <v>69</v>
      </c>
      <c r="G1079" s="172" t="inlineStr">
        <is>
          <t>No</t>
        </is>
      </c>
      <c r="H1079" s="170">
        <f>IF(A1079="","",IF(OR(NOT(ISNUMBER(C1079)),C1079=""),"No",IF(AND(HOUR(C1079)&gt;=0,HOUR(C1079)&lt;5),"Yes","No")))</f>
        <v/>
      </c>
      <c r="I1079" s="183">
        <f>IF(OR(B1079="",NOT(ISNUMBER(B1079))),"",INT(B1079))</f>
        <v/>
      </c>
    </row>
    <row r="1080" ht="15" customHeight="1" s="122">
      <c r="A1080" s="179" t="inlineStr">
        <is>
          <t>KBB 104Q</t>
        </is>
      </c>
      <c r="B1080" s="172" t="inlineStr">
        <is>
          <t>14-02-2026 13:01:10</t>
        </is>
      </c>
      <c r="C1080" s="172" t="inlineStr">
        <is>
          <t>14-02-2026 13:02:11</t>
        </is>
      </c>
      <c r="D1080" s="173" t="inlineStr">
        <is>
          <t>0 Km</t>
        </is>
      </c>
      <c r="E1080" s="181" t="n">
        <v>7</v>
      </c>
      <c r="F1080" s="182" t="n">
        <v>8</v>
      </c>
      <c r="G1080" s="172" t="inlineStr">
        <is>
          <t>No</t>
        </is>
      </c>
      <c r="H1080" s="170">
        <f>IF(A1080="","",IF(OR(NOT(ISNUMBER(C1080)),C1080=""),"No",IF(AND(HOUR(C1080)&gt;=0,HOUR(C1080)&lt;5),"Yes","No")))</f>
        <v/>
      </c>
      <c r="I1080" s="183">
        <f>IF(OR(B1080="",NOT(ISNUMBER(B1080))),"",INT(B1080))</f>
        <v/>
      </c>
    </row>
    <row r="1081" ht="15" customHeight="1" s="122">
      <c r="A1081" s="179" t="inlineStr">
        <is>
          <t>KBB 104Q</t>
        </is>
      </c>
      <c r="B1081" s="172" t="inlineStr">
        <is>
          <t>14-02-2026 13:04:42</t>
        </is>
      </c>
      <c r="C1081" s="172" t="inlineStr">
        <is>
          <t>14-02-2026 13:07:59</t>
        </is>
      </c>
      <c r="D1081" s="173" t="inlineStr">
        <is>
          <t>0.16 Km</t>
        </is>
      </c>
      <c r="E1081" s="181" t="n">
        <v>9</v>
      </c>
      <c r="F1081" s="182" t="n">
        <v>13</v>
      </c>
      <c r="G1081" s="172" t="inlineStr">
        <is>
          <t>No</t>
        </is>
      </c>
      <c r="H1081" s="170">
        <f>IF(A1081="","",IF(OR(NOT(ISNUMBER(C1081)),C1081=""),"No",IF(AND(HOUR(C1081)&gt;=0,HOUR(C1081)&lt;5),"Yes","No")))</f>
        <v/>
      </c>
      <c r="I1081" s="183">
        <f>IF(OR(B1081="",NOT(ISNUMBER(B1081))),"",INT(B1081))</f>
        <v/>
      </c>
    </row>
    <row r="1082" ht="15" customHeight="1" s="122">
      <c r="A1082" s="179" t="inlineStr">
        <is>
          <t>KBB 104Q</t>
        </is>
      </c>
      <c r="B1082" s="172" t="inlineStr">
        <is>
          <t>14-02-2026 13:08:05</t>
        </is>
      </c>
      <c r="C1082" s="172" t="inlineStr">
        <is>
          <t>14-02-2026 13:13:40</t>
        </is>
      </c>
      <c r="D1082" s="173" t="inlineStr">
        <is>
          <t>0.4 Km</t>
        </is>
      </c>
      <c r="E1082" s="181" t="n">
        <v>8</v>
      </c>
      <c r="F1082" s="182" t="n">
        <v>13</v>
      </c>
      <c r="G1082" s="172" t="inlineStr">
        <is>
          <t>No</t>
        </is>
      </c>
      <c r="H1082" s="170">
        <f>IF(A1082="","",IF(OR(NOT(ISNUMBER(C1082)),C1082=""),"No",IF(AND(HOUR(C1082)&gt;=0,HOUR(C1082)&lt;5),"Yes","No")))</f>
        <v/>
      </c>
      <c r="I1082" s="183">
        <f>IF(OR(B1082="",NOT(ISNUMBER(B1082))),"",INT(B1082))</f>
        <v/>
      </c>
    </row>
    <row r="1083" ht="15" customHeight="1" s="122">
      <c r="A1083" s="179" t="inlineStr">
        <is>
          <t>KBB 104Q</t>
        </is>
      </c>
      <c r="B1083" s="172" t="inlineStr">
        <is>
          <t>14-02-2026 13:15:46</t>
        </is>
      </c>
      <c r="C1083" s="172" t="inlineStr">
        <is>
          <t>14-02-2026 13:16:17</t>
        </is>
      </c>
      <c r="D1083" s="173" t="inlineStr">
        <is>
          <t>0 Km</t>
        </is>
      </c>
      <c r="E1083" s="181" t="n">
        <v>6</v>
      </c>
      <c r="F1083" s="182" t="n">
        <v>6</v>
      </c>
      <c r="G1083" s="172" t="inlineStr">
        <is>
          <t>No</t>
        </is>
      </c>
      <c r="H1083" s="170">
        <f>IF(A1083="","",IF(OR(NOT(ISNUMBER(C1083)),C1083=""),"No",IF(AND(HOUR(C1083)&gt;=0,HOUR(C1083)&lt;5),"Yes","No")))</f>
        <v/>
      </c>
      <c r="I1083" s="183">
        <f>IF(OR(B1083="",NOT(ISNUMBER(B1083))),"",INT(B1083))</f>
        <v/>
      </c>
    </row>
    <row r="1084" ht="15" customHeight="1" s="122">
      <c r="A1084" s="179" t="inlineStr">
        <is>
          <t>KBB 104Q</t>
        </is>
      </c>
      <c r="B1084" s="172" t="inlineStr">
        <is>
          <t>14-02-2026 13:39:40</t>
        </is>
      </c>
      <c r="C1084" s="172" t="inlineStr">
        <is>
          <t>14-02-2026 13:40:25</t>
        </is>
      </c>
      <c r="D1084" s="173" t="inlineStr">
        <is>
          <t>0.01 Km</t>
        </is>
      </c>
      <c r="E1084" s="181" t="n">
        <v>8</v>
      </c>
      <c r="F1084" s="182" t="n">
        <v>8</v>
      </c>
      <c r="G1084" s="172" t="inlineStr">
        <is>
          <t>No</t>
        </is>
      </c>
      <c r="H1084" s="170">
        <f>IF(A1084="","",IF(OR(NOT(ISNUMBER(C1084)),C1084=""),"No",IF(AND(HOUR(C1084)&gt;=0,HOUR(C1084)&lt;5),"Yes","No")))</f>
        <v/>
      </c>
      <c r="I1084" s="183">
        <f>IF(OR(B1084="",NOT(ISNUMBER(B1084))),"",INT(B1084))</f>
        <v/>
      </c>
    </row>
    <row r="1085" ht="15" customHeight="1" s="122">
      <c r="A1085" s="179" t="inlineStr">
        <is>
          <t>KBB 104Q</t>
        </is>
      </c>
      <c r="B1085" s="172" t="inlineStr">
        <is>
          <t>14-02-2026 13:43:32</t>
        </is>
      </c>
      <c r="C1085" s="172" t="inlineStr">
        <is>
          <t>14-02-2026 13:48:40</t>
        </is>
      </c>
      <c r="D1085" s="173" t="inlineStr">
        <is>
          <t>0.88 Km</t>
        </is>
      </c>
      <c r="E1085" s="181" t="n">
        <v>14</v>
      </c>
      <c r="F1085" s="182" t="n">
        <v>38</v>
      </c>
      <c r="G1085" s="172" t="inlineStr">
        <is>
          <t>No</t>
        </is>
      </c>
      <c r="H1085" s="170">
        <f>IF(A1085="","",IF(OR(NOT(ISNUMBER(C1085)),C1085=""),"No",IF(AND(HOUR(C1085)&gt;=0,HOUR(C1085)&lt;5),"Yes","No")))</f>
        <v/>
      </c>
      <c r="I1085" s="183">
        <f>IF(OR(B1085="",NOT(ISNUMBER(B1085))),"",INT(B1085))</f>
        <v/>
      </c>
    </row>
    <row r="1086" ht="15" customHeight="1" s="122">
      <c r="A1086" s="179" t="inlineStr">
        <is>
          <t>KBB 104Q</t>
        </is>
      </c>
      <c r="B1086" s="172" t="inlineStr">
        <is>
          <t>14-02-2026 13:48:46</t>
        </is>
      </c>
      <c r="C1086" s="172" t="inlineStr">
        <is>
          <t>14-02-2026 13:53:40</t>
        </is>
      </c>
      <c r="D1086" s="173" t="inlineStr">
        <is>
          <t>0.29 Km</t>
        </is>
      </c>
      <c r="E1086" s="181" t="n">
        <v>9</v>
      </c>
      <c r="F1086" s="182" t="n">
        <v>21</v>
      </c>
      <c r="G1086" s="172" t="inlineStr">
        <is>
          <t>No</t>
        </is>
      </c>
      <c r="H1086" s="170">
        <f>IF(A1086="","",IF(OR(NOT(ISNUMBER(C1086)),C1086=""),"No",IF(AND(HOUR(C1086)&gt;=0,HOUR(C1086)&lt;5),"Yes","No")))</f>
        <v/>
      </c>
      <c r="I1086" s="183">
        <f>IF(OR(B1086="",NOT(ISNUMBER(B1086))),"",INT(B1086))</f>
        <v/>
      </c>
    </row>
    <row r="1087" ht="15" customHeight="1" s="122">
      <c r="A1087" s="179" t="inlineStr">
        <is>
          <t>KBB 104Q</t>
        </is>
      </c>
      <c r="B1087" s="172" t="inlineStr">
        <is>
          <t>14-02-2026 13:57:30</t>
        </is>
      </c>
      <c r="C1087" s="172" t="inlineStr">
        <is>
          <t>14-02-2026 14:06:36</t>
        </is>
      </c>
      <c r="D1087" s="173" t="inlineStr">
        <is>
          <t>1.96 Km</t>
        </is>
      </c>
      <c r="E1087" s="181" t="n">
        <v>22</v>
      </c>
      <c r="F1087" s="182" t="n">
        <v>51</v>
      </c>
      <c r="G1087" s="172" t="inlineStr">
        <is>
          <t>No</t>
        </is>
      </c>
      <c r="H1087" s="170">
        <f>IF(A1087="","",IF(OR(NOT(ISNUMBER(C1087)),C1087=""),"No",IF(AND(HOUR(C1087)&gt;=0,HOUR(C1087)&lt;5),"Yes","No")))</f>
        <v/>
      </c>
      <c r="I1087" s="183">
        <f>IF(OR(B1087="",NOT(ISNUMBER(B1087))),"",INT(B1087))</f>
        <v/>
      </c>
    </row>
    <row r="1088" ht="15" customHeight="1" s="122">
      <c r="A1088" s="179" t="inlineStr">
        <is>
          <t>KBB 104Q</t>
        </is>
      </c>
      <c r="B1088" s="172" t="inlineStr">
        <is>
          <t>14-02-2026 14:21:39</t>
        </is>
      </c>
      <c r="C1088" s="172" t="inlineStr">
        <is>
          <t>14-02-2026 14:35:24</t>
        </is>
      </c>
      <c r="D1088" s="173" t="inlineStr">
        <is>
          <t>3.75 Km</t>
        </is>
      </c>
      <c r="E1088" s="181" t="n">
        <v>16</v>
      </c>
      <c r="F1088" s="182" t="n">
        <v>41</v>
      </c>
      <c r="G1088" s="172" t="inlineStr">
        <is>
          <t>No</t>
        </is>
      </c>
      <c r="H1088" s="170">
        <f>IF(A1088="","",IF(OR(NOT(ISNUMBER(C1088)),C1088=""),"No",IF(AND(HOUR(C1088)&gt;=0,HOUR(C1088)&lt;5),"Yes","No")))</f>
        <v/>
      </c>
      <c r="I1088" s="183">
        <f>IF(OR(B1088="",NOT(ISNUMBER(B1088))),"",INT(B1088))</f>
        <v/>
      </c>
    </row>
    <row r="1089" ht="15" customHeight="1" s="122">
      <c r="A1089" s="179" t="inlineStr">
        <is>
          <t>KBB 104Q</t>
        </is>
      </c>
      <c r="B1089" s="172" t="inlineStr">
        <is>
          <t>14-02-2026 15:00:12</t>
        </is>
      </c>
      <c r="C1089" s="172" t="inlineStr">
        <is>
          <t>14-02-2026 15:01:13</t>
        </is>
      </c>
      <c r="D1089" s="173" t="inlineStr">
        <is>
          <t>0 Km</t>
        </is>
      </c>
      <c r="E1089" s="181" t="n">
        <v>7</v>
      </c>
      <c r="F1089" s="182" t="n">
        <v>7</v>
      </c>
      <c r="G1089" s="172" t="inlineStr">
        <is>
          <t>No</t>
        </is>
      </c>
      <c r="H1089" s="170">
        <f>IF(A1089="","",IF(OR(NOT(ISNUMBER(C1089)),C1089=""),"No",IF(AND(HOUR(C1089)&gt;=0,HOUR(C1089)&lt;5),"Yes","No")))</f>
        <v/>
      </c>
      <c r="I1089" s="183">
        <f>IF(OR(B1089="",NOT(ISNUMBER(B1089))),"",INT(B1089))</f>
        <v/>
      </c>
    </row>
    <row r="1090" ht="15" customHeight="1" s="122">
      <c r="A1090" s="179" t="inlineStr">
        <is>
          <t>KBB 104Q</t>
        </is>
      </c>
      <c r="B1090" s="172" t="inlineStr">
        <is>
          <t>14-02-2026 15:01:36</t>
        </is>
      </c>
      <c r="C1090" s="172" t="inlineStr">
        <is>
          <t>14-02-2026 15:03:43</t>
        </is>
      </c>
      <c r="D1090" s="173" t="inlineStr">
        <is>
          <t>0.26 Km</t>
        </is>
      </c>
      <c r="E1090" s="181" t="n">
        <v>8</v>
      </c>
      <c r="F1090" s="182" t="n">
        <v>17</v>
      </c>
      <c r="G1090" s="172" t="inlineStr">
        <is>
          <t>No</t>
        </is>
      </c>
      <c r="H1090" s="170">
        <f>IF(A1090="","",IF(OR(NOT(ISNUMBER(C1090)),C1090=""),"No",IF(AND(HOUR(C1090)&gt;=0,HOUR(C1090)&lt;5),"Yes","No")))</f>
        <v/>
      </c>
      <c r="I1090" s="183">
        <f>IF(OR(B1090="",NOT(ISNUMBER(B1090))),"",INT(B1090))</f>
        <v/>
      </c>
    </row>
    <row r="1091" ht="15" customHeight="1" s="122">
      <c r="A1091" s="179" t="inlineStr">
        <is>
          <t>KBB 104Q</t>
        </is>
      </c>
      <c r="B1091" s="172" t="inlineStr">
        <is>
          <t>14-02-2026 15:06:01</t>
        </is>
      </c>
      <c r="C1091" s="172" t="inlineStr">
        <is>
          <t>14-02-2026 15:07:23</t>
        </is>
      </c>
      <c r="D1091" s="173" t="inlineStr">
        <is>
          <t>0.02 Km</t>
        </is>
      </c>
      <c r="E1091" s="181" t="n">
        <v>7</v>
      </c>
      <c r="F1091" s="182" t="n">
        <v>8</v>
      </c>
      <c r="G1091" s="172" t="inlineStr">
        <is>
          <t>No</t>
        </is>
      </c>
      <c r="H1091" s="170">
        <f>IF(A1091="","",IF(OR(NOT(ISNUMBER(C1091)),C1091=""),"No",IF(AND(HOUR(C1091)&gt;=0,HOUR(C1091)&lt;5),"Yes","No")))</f>
        <v/>
      </c>
      <c r="I1091" s="183">
        <f>IF(OR(B1091="",NOT(ISNUMBER(B1091))),"",INT(B1091))</f>
        <v/>
      </c>
    </row>
    <row r="1092" ht="15" customHeight="1" s="122">
      <c r="A1092" s="179" t="inlineStr">
        <is>
          <t>KBB 104Q</t>
        </is>
      </c>
      <c r="B1092" s="172" t="inlineStr">
        <is>
          <t>14-02-2026 15:07:30</t>
        </is>
      </c>
      <c r="C1092" s="172" t="inlineStr">
        <is>
          <t>14-02-2026 15:08:29</t>
        </is>
      </c>
      <c r="D1092" s="173" t="inlineStr">
        <is>
          <t>0 Km</t>
        </is>
      </c>
      <c r="E1092" s="181" t="n">
        <v>6</v>
      </c>
      <c r="F1092" s="182" t="n">
        <v>6</v>
      </c>
      <c r="G1092" s="172" t="inlineStr">
        <is>
          <t>No</t>
        </is>
      </c>
      <c r="H1092" s="170">
        <f>IF(A1092="","",IF(OR(NOT(ISNUMBER(C1092)),C1092=""),"No",IF(AND(HOUR(C1092)&gt;=0,HOUR(C1092)&lt;5),"Yes","No")))</f>
        <v/>
      </c>
      <c r="I1092" s="183">
        <f>IF(OR(B1092="",NOT(ISNUMBER(B1092))),"",INT(B1092))</f>
        <v/>
      </c>
    </row>
    <row r="1093" ht="15" customHeight="1" s="122">
      <c r="A1093" s="179" t="inlineStr">
        <is>
          <t>KBB 104Q</t>
        </is>
      </c>
      <c r="B1093" s="172" t="inlineStr">
        <is>
          <t>14-02-2026 15:10:33</t>
        </is>
      </c>
      <c r="C1093" s="172" t="inlineStr">
        <is>
          <t>14-02-2026 15:12:41</t>
        </is>
      </c>
      <c r="D1093" s="173" t="inlineStr">
        <is>
          <t>0.02 Km</t>
        </is>
      </c>
      <c r="E1093" s="181" t="n">
        <v>6</v>
      </c>
      <c r="F1093" s="182" t="n">
        <v>6</v>
      </c>
      <c r="G1093" s="172" t="inlineStr">
        <is>
          <t>No</t>
        </is>
      </c>
      <c r="H1093" s="170">
        <f>IF(A1093="","",IF(OR(NOT(ISNUMBER(C1093)),C1093=""),"No",IF(AND(HOUR(C1093)&gt;=0,HOUR(C1093)&lt;5),"Yes","No")))</f>
        <v/>
      </c>
      <c r="I1093" s="183">
        <f>IF(OR(B1093="",NOT(ISNUMBER(B1093))),"",INT(B1093))</f>
        <v/>
      </c>
    </row>
    <row r="1094" ht="15" customHeight="1" s="122">
      <c r="A1094" s="179" t="inlineStr">
        <is>
          <t>KBB 104Q</t>
        </is>
      </c>
      <c r="B1094" s="172" t="inlineStr">
        <is>
          <t>14-02-2026 15:17:57</t>
        </is>
      </c>
      <c r="C1094" s="172" t="inlineStr">
        <is>
          <t>14-02-2026 15:18:57</t>
        </is>
      </c>
      <c r="D1094" s="173" t="inlineStr">
        <is>
          <t>0.01 Km</t>
        </is>
      </c>
      <c r="E1094" s="181" t="n">
        <v>6</v>
      </c>
      <c r="F1094" s="182" t="n">
        <v>6</v>
      </c>
      <c r="G1094" s="172" t="inlineStr">
        <is>
          <t>No</t>
        </is>
      </c>
      <c r="H1094" s="170">
        <f>IF(A1094="","",IF(OR(NOT(ISNUMBER(C1094)),C1094=""),"No",IF(AND(HOUR(C1094)&gt;=0,HOUR(C1094)&lt;5),"Yes","No")))</f>
        <v/>
      </c>
      <c r="I1094" s="183">
        <f>IF(OR(B1094="",NOT(ISNUMBER(B1094))),"",INT(B1094))</f>
        <v/>
      </c>
    </row>
    <row r="1095" ht="15" customHeight="1" s="122">
      <c r="A1095" s="179" t="inlineStr">
        <is>
          <t>KBB 104Q</t>
        </is>
      </c>
      <c r="B1095" s="172" t="inlineStr">
        <is>
          <t>14-02-2026 15:25:04</t>
        </is>
      </c>
      <c r="C1095" s="172" t="inlineStr">
        <is>
          <t>14-02-2026 15:26:04</t>
        </is>
      </c>
      <c r="D1095" s="173" t="inlineStr">
        <is>
          <t>0 Km</t>
        </is>
      </c>
      <c r="E1095" s="181" t="n">
        <v>6</v>
      </c>
      <c r="F1095" s="182" t="n">
        <v>6</v>
      </c>
      <c r="G1095" s="172" t="inlineStr">
        <is>
          <t>No</t>
        </is>
      </c>
      <c r="H1095" s="170">
        <f>IF(A1095="","",IF(OR(NOT(ISNUMBER(C1095)),C1095=""),"No",IF(AND(HOUR(C1095)&gt;=0,HOUR(C1095)&lt;5),"Yes","No")))</f>
        <v/>
      </c>
      <c r="I1095" s="183">
        <f>IF(OR(B1095="",NOT(ISNUMBER(B1095))),"",INT(B1095))</f>
        <v/>
      </c>
    </row>
    <row r="1096" ht="15" customHeight="1" s="122">
      <c r="A1096" s="179" t="inlineStr">
        <is>
          <t>KBB 104Q</t>
        </is>
      </c>
      <c r="B1096" s="172" t="inlineStr">
        <is>
          <t>14-02-2026 15:39:12</t>
        </is>
      </c>
      <c r="C1096" s="172" t="inlineStr">
        <is>
          <t>14-02-2026 15:40:13</t>
        </is>
      </c>
      <c r="D1096" s="173" t="inlineStr">
        <is>
          <t>0 Km</t>
        </is>
      </c>
      <c r="E1096" s="181" t="n">
        <v>7</v>
      </c>
      <c r="F1096" s="182" t="n">
        <v>7</v>
      </c>
      <c r="G1096" s="172" t="inlineStr">
        <is>
          <t>No</t>
        </is>
      </c>
      <c r="H1096" s="170">
        <f>IF(A1096="","",IF(OR(NOT(ISNUMBER(C1096)),C1096=""),"No",IF(AND(HOUR(C1096)&gt;=0,HOUR(C1096)&lt;5),"Yes","No")))</f>
        <v/>
      </c>
      <c r="I1096" s="183">
        <f>IF(OR(B1096="",NOT(ISNUMBER(B1096))),"",INT(B1096))</f>
        <v/>
      </c>
    </row>
    <row r="1097" ht="15" customHeight="1" s="122">
      <c r="A1097" s="179" t="inlineStr">
        <is>
          <t>KBB 104Q</t>
        </is>
      </c>
      <c r="B1097" s="172" t="inlineStr">
        <is>
          <t>14-02-2026 15:43:26</t>
        </is>
      </c>
      <c r="C1097" s="172" t="inlineStr">
        <is>
          <t>14-02-2026 15:44:27</t>
        </is>
      </c>
      <c r="D1097" s="173" t="inlineStr">
        <is>
          <t>0 Km</t>
        </is>
      </c>
      <c r="E1097" s="181" t="n">
        <v>7</v>
      </c>
      <c r="F1097" s="182" t="n">
        <v>7</v>
      </c>
      <c r="G1097" s="172" t="inlineStr">
        <is>
          <t>No</t>
        </is>
      </c>
      <c r="H1097" s="170">
        <f>IF(A1097="","",IF(OR(NOT(ISNUMBER(C1097)),C1097=""),"No",IF(AND(HOUR(C1097)&gt;=0,HOUR(C1097)&lt;5),"Yes","No")))</f>
        <v/>
      </c>
      <c r="I1097" s="183">
        <f>IF(OR(B1097="",NOT(ISNUMBER(B1097))),"",INT(B1097))</f>
        <v/>
      </c>
    </row>
    <row r="1098" ht="15" customHeight="1" s="122">
      <c r="A1098" s="179" t="inlineStr">
        <is>
          <t>KBB 104Q</t>
        </is>
      </c>
      <c r="B1098" s="172" t="inlineStr">
        <is>
          <t>14-02-2026 15:49:40</t>
        </is>
      </c>
      <c r="C1098" s="172" t="inlineStr">
        <is>
          <t>14-02-2026 15:50:40</t>
        </is>
      </c>
      <c r="D1098" s="173" t="inlineStr">
        <is>
          <t>0 Km</t>
        </is>
      </c>
      <c r="E1098" s="181" t="n">
        <v>8</v>
      </c>
      <c r="F1098" s="182" t="n">
        <v>8</v>
      </c>
      <c r="G1098" s="172" t="inlineStr">
        <is>
          <t>No</t>
        </is>
      </c>
      <c r="H1098" s="170">
        <f>IF(A1098="","",IF(OR(NOT(ISNUMBER(C1098)),C1098=""),"No",IF(AND(HOUR(C1098)&gt;=0,HOUR(C1098)&lt;5),"Yes","No")))</f>
        <v/>
      </c>
      <c r="I1098" s="183">
        <f>IF(OR(B1098="",NOT(ISNUMBER(B1098))),"",INT(B1098))</f>
        <v/>
      </c>
    </row>
    <row r="1099" ht="15" customHeight="1" s="122">
      <c r="A1099" s="179" t="inlineStr">
        <is>
          <t>KBB 104Q</t>
        </is>
      </c>
      <c r="B1099" s="172" t="inlineStr">
        <is>
          <t>14-02-2026 15:52:33</t>
        </is>
      </c>
      <c r="C1099" s="172" t="inlineStr">
        <is>
          <t>14-02-2026 16:05:38</t>
        </is>
      </c>
      <c r="D1099" s="173" t="inlineStr">
        <is>
          <t>4.77 Km</t>
        </is>
      </c>
      <c r="E1099" s="181" t="n">
        <v>19</v>
      </c>
      <c r="F1099" s="182" t="n">
        <v>62</v>
      </c>
      <c r="G1099" s="172" t="inlineStr">
        <is>
          <t>No</t>
        </is>
      </c>
      <c r="H1099" s="170">
        <f>IF(A1099="","",IF(OR(NOT(ISNUMBER(C1099)),C1099=""),"No",IF(AND(HOUR(C1099)&gt;=0,HOUR(C1099)&lt;5),"Yes","No")))</f>
        <v/>
      </c>
      <c r="I1099" s="183">
        <f>IF(OR(B1099="",NOT(ISNUMBER(B1099))),"",INT(B1099))</f>
        <v/>
      </c>
    </row>
    <row r="1100" ht="15" customHeight="1" s="122">
      <c r="A1100" s="179" t="inlineStr">
        <is>
          <t>KBB 104Q</t>
        </is>
      </c>
      <c r="B1100" s="172" t="inlineStr">
        <is>
          <t>14-02-2026 16:09:10</t>
        </is>
      </c>
      <c r="C1100" s="172" t="inlineStr">
        <is>
          <t>14-02-2026 16:12:36</t>
        </is>
      </c>
      <c r="D1100" s="173" t="inlineStr">
        <is>
          <t>0.88 Km</t>
        </is>
      </c>
      <c r="E1100" s="181" t="n">
        <v>19</v>
      </c>
      <c r="F1100" s="182" t="n">
        <v>41</v>
      </c>
      <c r="G1100" s="172" t="inlineStr">
        <is>
          <t>No</t>
        </is>
      </c>
      <c r="H1100" s="170">
        <f>IF(A1100="","",IF(OR(NOT(ISNUMBER(C1100)),C1100=""),"No",IF(AND(HOUR(C1100)&gt;=0,HOUR(C1100)&lt;5),"Yes","No")))</f>
        <v/>
      </c>
      <c r="I1100" s="183">
        <f>IF(OR(B1100="",NOT(ISNUMBER(B1100))),"",INT(B1100))</f>
        <v/>
      </c>
    </row>
    <row r="1101" ht="15" customHeight="1" s="122">
      <c r="A1101" s="179" t="inlineStr">
        <is>
          <t>KBB 104Q</t>
        </is>
      </c>
      <c r="B1101" s="172" t="inlineStr">
        <is>
          <t>14-02-2026 18:21:50</t>
        </is>
      </c>
      <c r="C1101" s="172" t="inlineStr">
        <is>
          <t>14-02-2026 18:22:12</t>
        </is>
      </c>
      <c r="D1101" s="173" t="inlineStr">
        <is>
          <t>0.03 Km</t>
        </is>
      </c>
      <c r="E1101" s="181" t="n">
        <v>8</v>
      </c>
      <c r="F1101" s="182" t="n">
        <v>12</v>
      </c>
      <c r="G1101" s="172" t="inlineStr">
        <is>
          <t>No</t>
        </is>
      </c>
      <c r="H1101" s="170">
        <f>IF(A1101="","",IF(OR(NOT(ISNUMBER(C1101)),C1101=""),"No",IF(AND(HOUR(C1101)&gt;=0,HOUR(C1101)&lt;5),"Yes","No")))</f>
        <v/>
      </c>
      <c r="I1101" s="183">
        <f>IF(OR(B1101="",NOT(ISNUMBER(B1101))),"",INT(B1101))</f>
        <v/>
      </c>
    </row>
    <row r="1102" ht="15" customHeight="1" s="122">
      <c r="A1102" s="179" t="inlineStr">
        <is>
          <t>KBB 104Q</t>
        </is>
      </c>
      <c r="B1102" s="172" t="inlineStr">
        <is>
          <t>16-02-2026 08:44:21</t>
        </is>
      </c>
      <c r="C1102" s="172" t="inlineStr">
        <is>
          <t>16-02-2026 09:07:55</t>
        </is>
      </c>
      <c r="D1102" s="173" t="inlineStr">
        <is>
          <t>13.31 Km</t>
        </is>
      </c>
      <c r="E1102" s="181" t="n">
        <v>37</v>
      </c>
      <c r="F1102" s="182" t="n">
        <v>82</v>
      </c>
      <c r="G1102" s="172" t="inlineStr">
        <is>
          <t>No</t>
        </is>
      </c>
      <c r="H1102" s="170">
        <f>IF(A1102="","",IF(OR(NOT(ISNUMBER(C1102)),C1102=""),"No",IF(AND(HOUR(C1102)&gt;=0,HOUR(C1102)&lt;5),"Yes","No")))</f>
        <v/>
      </c>
      <c r="I1102" s="183">
        <f>IF(OR(B1102="",NOT(ISNUMBER(B1102))),"",INT(B1102))</f>
        <v/>
      </c>
    </row>
    <row r="1103" ht="15" customHeight="1" s="122">
      <c r="A1103" s="179" t="inlineStr">
        <is>
          <t>KBB 104Q</t>
        </is>
      </c>
      <c r="B1103" s="172" t="inlineStr">
        <is>
          <t>16-02-2026 17:55:48</t>
        </is>
      </c>
      <c r="C1103" s="172" t="inlineStr">
        <is>
          <t>16-02-2026 18:04:38</t>
        </is>
      </c>
      <c r="D1103" s="173" t="inlineStr">
        <is>
          <t>6.23 Km</t>
        </is>
      </c>
      <c r="E1103" s="181" t="n">
        <v>47</v>
      </c>
      <c r="F1103" s="182" t="n">
        <v>94</v>
      </c>
      <c r="G1103" s="172" t="inlineStr">
        <is>
          <t>No</t>
        </is>
      </c>
      <c r="H1103" s="170">
        <f>IF(A1103="","",IF(OR(NOT(ISNUMBER(C1103)),C1103=""),"No",IF(AND(HOUR(C1103)&gt;=0,HOUR(C1103)&lt;5),"Yes","No")))</f>
        <v/>
      </c>
      <c r="I1103" s="183">
        <f>IF(OR(B1103="",NOT(ISNUMBER(B1103))),"",INT(B1103))</f>
        <v/>
      </c>
    </row>
    <row r="1104" ht="15" customHeight="1" s="122">
      <c r="A1104" s="179" t="inlineStr">
        <is>
          <t>KBB 104Q</t>
        </is>
      </c>
      <c r="B1104" s="172" t="inlineStr">
        <is>
          <t>16-02-2026 18:07:15</t>
        </is>
      </c>
      <c r="C1104" s="172" t="inlineStr">
        <is>
          <t>16-02-2026 18:14:46</t>
        </is>
      </c>
      <c r="D1104" s="173" t="inlineStr">
        <is>
          <t>4.65 Km</t>
        </is>
      </c>
      <c r="E1104" s="181" t="n">
        <v>52</v>
      </c>
      <c r="F1104" s="182" t="n">
        <v>96</v>
      </c>
      <c r="G1104" s="172" t="inlineStr">
        <is>
          <t>No</t>
        </is>
      </c>
      <c r="H1104" s="170">
        <f>IF(A1104="","",IF(OR(NOT(ISNUMBER(C1104)),C1104=""),"No",IF(AND(HOUR(C1104)&gt;=0,HOUR(C1104)&lt;5),"Yes","No")))</f>
        <v/>
      </c>
      <c r="I1104" s="183">
        <f>IF(OR(B1104="",NOT(ISNUMBER(B1104))),"",INT(B1104))</f>
        <v/>
      </c>
    </row>
    <row r="1105" ht="15" customHeight="1" s="122">
      <c r="A1105" s="179" t="inlineStr">
        <is>
          <t>KBB 104Q</t>
        </is>
      </c>
      <c r="B1105" s="172" t="inlineStr">
        <is>
          <t>17-02-2026 08:00:11</t>
        </is>
      </c>
      <c r="C1105" s="172" t="inlineStr">
        <is>
          <t>17-02-2026 08:51:22</t>
        </is>
      </c>
      <c r="D1105" s="173" t="inlineStr">
        <is>
          <t>57.47 Km</t>
        </is>
      </c>
      <c r="E1105" s="181" t="n">
        <v>68</v>
      </c>
      <c r="F1105" s="182" t="n">
        <v>109</v>
      </c>
      <c r="G1105" s="172" t="inlineStr">
        <is>
          <t>No</t>
        </is>
      </c>
      <c r="H1105" s="170">
        <f>IF(A1105="","",IF(OR(NOT(ISNUMBER(C1105)),C1105=""),"No",IF(AND(HOUR(C1105)&gt;=0,HOUR(C1105)&lt;5),"Yes","No")))</f>
        <v/>
      </c>
      <c r="I1105" s="183">
        <f>IF(OR(B1105="",NOT(ISNUMBER(B1105))),"",INT(B1105))</f>
        <v/>
      </c>
    </row>
    <row r="1106" ht="15" customHeight="1" s="122">
      <c r="A1106" s="179" t="inlineStr">
        <is>
          <t>KBB 104Q</t>
        </is>
      </c>
      <c r="B1106" s="172" t="inlineStr">
        <is>
          <t>17-02-2026 09:38:02</t>
        </is>
      </c>
      <c r="C1106" s="172" t="inlineStr">
        <is>
          <t>17-02-2026 09:39:03</t>
        </is>
      </c>
      <c r="D1106" s="173" t="inlineStr">
        <is>
          <t>0 Km</t>
        </is>
      </c>
      <c r="E1106" s="181" t="n">
        <v>7</v>
      </c>
      <c r="F1106" s="182" t="n">
        <v>7</v>
      </c>
      <c r="G1106" s="172" t="inlineStr">
        <is>
          <t>No</t>
        </is>
      </c>
      <c r="H1106" s="170">
        <f>IF(A1106="","",IF(OR(NOT(ISNUMBER(C1106)),C1106=""),"No",IF(AND(HOUR(C1106)&gt;=0,HOUR(C1106)&lt;5),"Yes","No")))</f>
        <v/>
      </c>
      <c r="I1106" s="183">
        <f>IF(OR(B1106="",NOT(ISNUMBER(B1106))),"",INT(B1106))</f>
        <v/>
      </c>
    </row>
    <row r="1107" ht="15" customHeight="1" s="122">
      <c r="A1107" s="179" t="inlineStr">
        <is>
          <t>KBB 104Q</t>
        </is>
      </c>
      <c r="B1107" s="172" t="inlineStr">
        <is>
          <t>17-02-2026 09:41:17</t>
        </is>
      </c>
      <c r="C1107" s="172" t="inlineStr">
        <is>
          <t>17-02-2026 10:20:00</t>
        </is>
      </c>
      <c r="D1107" s="173" t="inlineStr">
        <is>
          <t>29.16 Km</t>
        </is>
      </c>
      <c r="E1107" s="181" t="n">
        <v>45</v>
      </c>
      <c r="F1107" s="182" t="n">
        <v>82</v>
      </c>
      <c r="G1107" s="172" t="inlineStr">
        <is>
          <t>No</t>
        </is>
      </c>
      <c r="H1107" s="170">
        <f>IF(A1107="","",IF(OR(NOT(ISNUMBER(C1107)),C1107=""),"No",IF(AND(HOUR(C1107)&gt;=0,HOUR(C1107)&lt;5),"Yes","No")))</f>
        <v/>
      </c>
      <c r="I1107" s="183">
        <f>IF(OR(B1107="",NOT(ISNUMBER(B1107))),"",INT(B1107))</f>
        <v/>
      </c>
    </row>
    <row r="1108" ht="15" customHeight="1" s="122">
      <c r="A1108" s="179" t="inlineStr">
        <is>
          <t>KBB 104Q</t>
        </is>
      </c>
      <c r="B1108" s="172" t="inlineStr">
        <is>
          <t>17-02-2026 12:00:07</t>
        </is>
      </c>
      <c r="C1108" s="172" t="inlineStr">
        <is>
          <t>17-02-2026 12:08:28</t>
        </is>
      </c>
      <c r="D1108" s="173" t="inlineStr">
        <is>
          <t>2.99 Km</t>
        </is>
      </c>
      <c r="E1108" s="181" t="n">
        <v>19</v>
      </c>
      <c r="F1108" s="182" t="n">
        <v>52</v>
      </c>
      <c r="G1108" s="172" t="inlineStr">
        <is>
          <t>No</t>
        </is>
      </c>
      <c r="H1108" s="170">
        <f>IF(A1108="","",IF(OR(NOT(ISNUMBER(C1108)),C1108=""),"No",IF(AND(HOUR(C1108)&gt;=0,HOUR(C1108)&lt;5),"Yes","No")))</f>
        <v/>
      </c>
      <c r="I1108" s="183">
        <f>IF(OR(B1108="",NOT(ISNUMBER(B1108))),"",INT(B1108))</f>
        <v/>
      </c>
    </row>
    <row r="1109" ht="15" customHeight="1" s="122">
      <c r="A1109" s="179" t="inlineStr">
        <is>
          <t>KBB 104Q</t>
        </is>
      </c>
      <c r="B1109" s="172" t="inlineStr">
        <is>
          <t>17-02-2026 12:11:14</t>
        </is>
      </c>
      <c r="C1109" s="172" t="inlineStr">
        <is>
          <t>17-02-2026 12:13:14</t>
        </is>
      </c>
      <c r="D1109" s="173" t="inlineStr">
        <is>
          <t>0.22 Km</t>
        </is>
      </c>
      <c r="E1109" s="181" t="n">
        <v>11</v>
      </c>
      <c r="F1109" s="182" t="n">
        <v>30</v>
      </c>
      <c r="G1109" s="172" t="inlineStr">
        <is>
          <t>No</t>
        </is>
      </c>
      <c r="H1109" s="170">
        <f>IF(A1109="","",IF(OR(NOT(ISNUMBER(C1109)),C1109=""),"No",IF(AND(HOUR(C1109)&gt;=0,HOUR(C1109)&lt;5),"Yes","No")))</f>
        <v/>
      </c>
      <c r="I1109" s="183">
        <f>IF(OR(B1109="",NOT(ISNUMBER(B1109))),"",INT(B1109))</f>
        <v/>
      </c>
    </row>
    <row r="1110" ht="15" customHeight="1" s="122">
      <c r="A1110" s="179" t="inlineStr">
        <is>
          <t>KBB 104Q</t>
        </is>
      </c>
      <c r="B1110" s="172" t="inlineStr">
        <is>
          <t>17-02-2026 12:54:40</t>
        </is>
      </c>
      <c r="C1110" s="172" t="inlineStr">
        <is>
          <t>17-02-2026 13:02:36</t>
        </is>
      </c>
      <c r="D1110" s="173" t="inlineStr">
        <is>
          <t>2.57 Km</t>
        </is>
      </c>
      <c r="E1110" s="181" t="n">
        <v>19</v>
      </c>
      <c r="F1110" s="182" t="n">
        <v>60</v>
      </c>
      <c r="G1110" s="172" t="inlineStr">
        <is>
          <t>No</t>
        </is>
      </c>
      <c r="H1110" s="170">
        <f>IF(A1110="","",IF(OR(NOT(ISNUMBER(C1110)),C1110=""),"No",IF(AND(HOUR(C1110)&gt;=0,HOUR(C1110)&lt;5),"Yes","No")))</f>
        <v/>
      </c>
      <c r="I1110" s="183">
        <f>IF(OR(B1110="",NOT(ISNUMBER(B1110))),"",INT(B1110))</f>
        <v/>
      </c>
    </row>
    <row r="1111" ht="15" customHeight="1" s="122">
      <c r="A1111" s="179" t="inlineStr">
        <is>
          <t>KBB 104Q</t>
        </is>
      </c>
      <c r="B1111" s="172" t="inlineStr">
        <is>
          <t>17-02-2026 15:28:25</t>
        </is>
      </c>
      <c r="C1111" s="172" t="inlineStr">
        <is>
          <t>17-02-2026 16:26:44</t>
        </is>
      </c>
      <c r="D1111" s="173" t="inlineStr">
        <is>
          <t>31.82 Km</t>
        </is>
      </c>
      <c r="E1111" s="181" t="n">
        <v>35</v>
      </c>
      <c r="F1111" s="182" t="n">
        <v>84</v>
      </c>
      <c r="G1111" s="172" t="inlineStr">
        <is>
          <t>No</t>
        </is>
      </c>
      <c r="H1111" s="170">
        <f>IF(A1111="","",IF(OR(NOT(ISNUMBER(C1111)),C1111=""),"No",IF(AND(HOUR(C1111)&gt;=0,HOUR(C1111)&lt;5),"Yes","No")))</f>
        <v/>
      </c>
      <c r="I1111" s="183">
        <f>IF(OR(B1111="",NOT(ISNUMBER(B1111))),"",INT(B1111))</f>
        <v/>
      </c>
    </row>
    <row r="1112" ht="15" customHeight="1" s="122">
      <c r="A1112" s="179" t="inlineStr">
        <is>
          <t>KBB 104Q</t>
        </is>
      </c>
      <c r="B1112" s="172" t="inlineStr">
        <is>
          <t>17-02-2026 16:28:09</t>
        </is>
      </c>
      <c r="C1112" s="172" t="inlineStr">
        <is>
          <t>17-02-2026 16:28:33</t>
        </is>
      </c>
      <c r="D1112" s="173" t="inlineStr">
        <is>
          <t>0.08 Km</t>
        </is>
      </c>
      <c r="E1112" s="181" t="n">
        <v>14</v>
      </c>
      <c r="F1112" s="182" t="n">
        <v>22</v>
      </c>
      <c r="G1112" s="172" t="inlineStr">
        <is>
          <t>No</t>
        </is>
      </c>
      <c r="H1112" s="170">
        <f>IF(A1112="","",IF(OR(NOT(ISNUMBER(C1112)),C1112=""),"No",IF(AND(HOUR(C1112)&gt;=0,HOUR(C1112)&lt;5),"Yes","No")))</f>
        <v/>
      </c>
      <c r="I1112" s="183">
        <f>IF(OR(B1112="",NOT(ISNUMBER(B1112))),"",INT(B1112))</f>
        <v/>
      </c>
    </row>
    <row r="1113" ht="15" customHeight="1" s="122">
      <c r="A1113" s="179" t="inlineStr">
        <is>
          <t>KBB 104Q</t>
        </is>
      </c>
      <c r="B1113" s="172" t="inlineStr">
        <is>
          <t>17-02-2026 16:30:15</t>
        </is>
      </c>
      <c r="C1113" s="172" t="inlineStr">
        <is>
          <t>17-02-2026 17:21:47</t>
        </is>
      </c>
      <c r="D1113" s="173" t="inlineStr">
        <is>
          <t>46.11 Km</t>
        </is>
      </c>
      <c r="E1113" s="181" t="n">
        <v>55</v>
      </c>
      <c r="F1113" s="182" t="n">
        <v>93</v>
      </c>
      <c r="G1113" s="172" t="inlineStr">
        <is>
          <t>No</t>
        </is>
      </c>
      <c r="H1113" s="170">
        <f>IF(A1113="","",IF(OR(NOT(ISNUMBER(C1113)),C1113=""),"No",IF(AND(HOUR(C1113)&gt;=0,HOUR(C1113)&lt;5),"Yes","No")))</f>
        <v/>
      </c>
      <c r="I1113" s="183">
        <f>IF(OR(B1113="",NOT(ISNUMBER(B1113))),"",INT(B1113))</f>
        <v/>
      </c>
    </row>
    <row r="1114" ht="15" customHeight="1" s="122">
      <c r="A1114" s="179" t="inlineStr">
        <is>
          <t>KBB 104Q</t>
        </is>
      </c>
      <c r="B1114" s="172" t="inlineStr">
        <is>
          <t>17-02-2026 17:24:52</t>
        </is>
      </c>
      <c r="C1114" s="172" t="inlineStr">
        <is>
          <t>17-02-2026 17:28:39</t>
        </is>
      </c>
      <c r="D1114" s="173" t="inlineStr">
        <is>
          <t>0.42 Km</t>
        </is>
      </c>
      <c r="E1114" s="181" t="n">
        <v>11</v>
      </c>
      <c r="F1114" s="182" t="n">
        <v>17</v>
      </c>
      <c r="G1114" s="172" t="inlineStr">
        <is>
          <t>No</t>
        </is>
      </c>
      <c r="H1114" s="170">
        <f>IF(A1114="","",IF(OR(NOT(ISNUMBER(C1114)),C1114=""),"No",IF(AND(HOUR(C1114)&gt;=0,HOUR(C1114)&lt;5),"Yes","No")))</f>
        <v/>
      </c>
      <c r="I1114" s="183">
        <f>IF(OR(B1114="",NOT(ISNUMBER(B1114))),"",INT(B1114))</f>
        <v/>
      </c>
    </row>
    <row r="1115" ht="15" customHeight="1" s="122">
      <c r="A1115" s="179" t="inlineStr">
        <is>
          <t>KBB 104Q</t>
        </is>
      </c>
      <c r="B1115" s="172" t="inlineStr">
        <is>
          <t>17-02-2026 18:02:01</t>
        </is>
      </c>
      <c r="C1115" s="172" t="inlineStr">
        <is>
          <t>17-02-2026 18:24:40</t>
        </is>
      </c>
      <c r="D1115" s="173" t="inlineStr">
        <is>
          <t>11.39 Km</t>
        </is>
      </c>
      <c r="E1115" s="181" t="n">
        <v>30</v>
      </c>
      <c r="F1115" s="182" t="n">
        <v>62</v>
      </c>
      <c r="G1115" s="172" t="inlineStr">
        <is>
          <t>No</t>
        </is>
      </c>
      <c r="H1115" s="170">
        <f>IF(A1115="","",IF(OR(NOT(ISNUMBER(C1115)),C1115=""),"No",IF(AND(HOUR(C1115)&gt;=0,HOUR(C1115)&lt;5),"Yes","No")))</f>
        <v/>
      </c>
      <c r="I1115" s="183">
        <f>IF(OR(B1115="",NOT(ISNUMBER(B1115))),"",INT(B1115))</f>
        <v/>
      </c>
    </row>
    <row r="1116" ht="15" customHeight="1" s="122">
      <c r="A1116" s="179" t="inlineStr">
        <is>
          <t>KBB 104Q</t>
        </is>
      </c>
      <c r="B1116" s="172" t="inlineStr">
        <is>
          <t>17-02-2026 18:26:53</t>
        </is>
      </c>
      <c r="C1116" s="172" t="inlineStr">
        <is>
          <t>17-02-2026 18:27:53</t>
        </is>
      </c>
      <c r="D1116" s="173" t="inlineStr">
        <is>
          <t>0 Km</t>
        </is>
      </c>
      <c r="E1116" s="181" t="n">
        <v>6</v>
      </c>
      <c r="F1116" s="182" t="n">
        <v>6</v>
      </c>
      <c r="G1116" s="172" t="inlineStr">
        <is>
          <t>No</t>
        </is>
      </c>
      <c r="H1116" s="170">
        <f>IF(A1116="","",IF(OR(NOT(ISNUMBER(C1116)),C1116=""),"No",IF(AND(HOUR(C1116)&gt;=0,HOUR(C1116)&lt;5),"Yes","No")))</f>
        <v/>
      </c>
      <c r="I1116" s="183">
        <f>IF(OR(B1116="",NOT(ISNUMBER(B1116))),"",INT(B1116))</f>
        <v/>
      </c>
    </row>
    <row r="1117" ht="15" customHeight="1" s="122">
      <c r="A1117" s="179" t="inlineStr">
        <is>
          <t>KBB 104Q</t>
        </is>
      </c>
      <c r="B1117" s="172" t="inlineStr">
        <is>
          <t>17-02-2026 18:31:09</t>
        </is>
      </c>
      <c r="C1117" s="172" t="inlineStr">
        <is>
          <t>17-02-2026 18:31:10</t>
        </is>
      </c>
      <c r="D1117" s="173" t="inlineStr">
        <is>
          <t>0.01 Km</t>
        </is>
      </c>
      <c r="E1117" s="181" t="n">
        <v>13</v>
      </c>
      <c r="F1117" s="182" t="n">
        <v>13</v>
      </c>
      <c r="G1117" s="172" t="inlineStr">
        <is>
          <t>No</t>
        </is>
      </c>
      <c r="H1117" s="170">
        <f>IF(A1117="","",IF(OR(NOT(ISNUMBER(C1117)),C1117=""),"No",IF(AND(HOUR(C1117)&gt;=0,HOUR(C1117)&lt;5),"Yes","No")))</f>
        <v/>
      </c>
      <c r="I1117" s="183">
        <f>IF(OR(B1117="",NOT(ISNUMBER(B1117))),"",INT(B1117))</f>
        <v/>
      </c>
    </row>
    <row r="1118" ht="15" customHeight="1" s="122">
      <c r="A1118" s="179" t="inlineStr">
        <is>
          <t>KBB 104Q</t>
        </is>
      </c>
      <c r="B1118" s="172" t="inlineStr">
        <is>
          <t>17-02-2026 18:40:48</t>
        </is>
      </c>
      <c r="C1118" s="172" t="inlineStr">
        <is>
          <t>17-02-2026 18:42:55</t>
        </is>
      </c>
      <c r="D1118" s="173" t="inlineStr">
        <is>
          <t>0.01 Km</t>
        </is>
      </c>
      <c r="E1118" s="181" t="n">
        <v>7</v>
      </c>
      <c r="F1118" s="182" t="n">
        <v>7</v>
      </c>
      <c r="G1118" s="172" t="inlineStr">
        <is>
          <t>No</t>
        </is>
      </c>
      <c r="H1118" s="170">
        <f>IF(A1118="","",IF(OR(NOT(ISNUMBER(C1118)),C1118=""),"No",IF(AND(HOUR(C1118)&gt;=0,HOUR(C1118)&lt;5),"Yes","No")))</f>
        <v/>
      </c>
      <c r="I1118" s="183">
        <f>IF(OR(B1118="",NOT(ISNUMBER(B1118))),"",INT(B1118))</f>
        <v/>
      </c>
    </row>
    <row r="1119" ht="15" customHeight="1" s="122">
      <c r="A1119" s="179" t="inlineStr">
        <is>
          <t>KBB 104Q</t>
        </is>
      </c>
      <c r="B1119" s="172" t="inlineStr">
        <is>
          <t>18-02-2026 09:11:52</t>
        </is>
      </c>
      <c r="C1119" s="172" t="inlineStr">
        <is>
          <t>18-02-2026 09:12:50</t>
        </is>
      </c>
      <c r="D1119" s="173" t="inlineStr">
        <is>
          <t>0.24 Km</t>
        </is>
      </c>
      <c r="E1119" s="181" t="n">
        <v>12</v>
      </c>
      <c r="F1119" s="182" t="n">
        <v>16</v>
      </c>
      <c r="G1119" s="172" t="inlineStr">
        <is>
          <t>No</t>
        </is>
      </c>
      <c r="H1119" s="170">
        <f>IF(A1119="","",IF(OR(NOT(ISNUMBER(C1119)),C1119=""),"No",IF(AND(HOUR(C1119)&gt;=0,HOUR(C1119)&lt;5),"Yes","No")))</f>
        <v/>
      </c>
      <c r="I1119" s="183">
        <f>IF(OR(B1119="",NOT(ISNUMBER(B1119))),"",INT(B1119))</f>
        <v/>
      </c>
    </row>
    <row r="1120" ht="15" customHeight="1" s="122">
      <c r="A1120" s="179" t="inlineStr">
        <is>
          <t>KBB 104Q</t>
        </is>
      </c>
      <c r="B1120" s="172" t="inlineStr">
        <is>
          <t>18-02-2026 09:14:03</t>
        </is>
      </c>
      <c r="C1120" s="172" t="inlineStr">
        <is>
          <t>18-02-2026 10:11:14</t>
        </is>
      </c>
      <c r="D1120" s="173" t="inlineStr">
        <is>
          <t>56.76 Km</t>
        </is>
      </c>
      <c r="E1120" s="181" t="n">
        <v>62</v>
      </c>
      <c r="F1120" s="182" t="n">
        <v>107</v>
      </c>
      <c r="G1120" s="172" t="inlineStr">
        <is>
          <t>No</t>
        </is>
      </c>
      <c r="H1120" s="170">
        <f>IF(A1120="","",IF(OR(NOT(ISNUMBER(C1120)),C1120=""),"No",IF(AND(HOUR(C1120)&gt;=0,HOUR(C1120)&lt;5),"Yes","No")))</f>
        <v/>
      </c>
      <c r="I1120" s="183">
        <f>IF(OR(B1120="",NOT(ISNUMBER(B1120))),"",INT(B1120))</f>
        <v/>
      </c>
    </row>
    <row r="1121" ht="15" customHeight="1" s="122">
      <c r="A1121" s="179" t="inlineStr">
        <is>
          <t>KBB 104Q</t>
        </is>
      </c>
      <c r="B1121" s="172" t="inlineStr">
        <is>
          <t>18-02-2026 10:11:24</t>
        </is>
      </c>
      <c r="C1121" s="172" t="inlineStr">
        <is>
          <t>18-02-2026 10:12:24</t>
        </is>
      </c>
      <c r="D1121" s="173" t="inlineStr">
        <is>
          <t>0 Km</t>
        </is>
      </c>
      <c r="E1121" s="181" t="n">
        <v>8</v>
      </c>
      <c r="F1121" s="182" t="n">
        <v>8</v>
      </c>
      <c r="G1121" s="172" t="inlineStr">
        <is>
          <t>No</t>
        </is>
      </c>
      <c r="H1121" s="170">
        <f>IF(A1121="","",IF(OR(NOT(ISNUMBER(C1121)),C1121=""),"No",IF(AND(HOUR(C1121)&gt;=0,HOUR(C1121)&lt;5),"Yes","No")))</f>
        <v/>
      </c>
      <c r="I1121" s="183">
        <f>IF(OR(B1121="",NOT(ISNUMBER(B1121))),"",INT(B1121))</f>
        <v/>
      </c>
    </row>
    <row r="1122" ht="15" customHeight="1" s="122">
      <c r="A1122" s="179" t="inlineStr">
        <is>
          <t>KBB 104Q</t>
        </is>
      </c>
      <c r="B1122" s="172" t="inlineStr">
        <is>
          <t>18-02-2026 12:19:52</t>
        </is>
      </c>
      <c r="C1122" s="172" t="inlineStr">
        <is>
          <t>18-02-2026 12:25:04</t>
        </is>
      </c>
      <c r="D1122" s="173" t="inlineStr">
        <is>
          <t>1.95 Km</t>
        </is>
      </c>
      <c r="E1122" s="181" t="n">
        <v>22</v>
      </c>
      <c r="F1122" s="182" t="n">
        <v>39</v>
      </c>
      <c r="G1122" s="172" t="inlineStr">
        <is>
          <t>No</t>
        </is>
      </c>
      <c r="H1122" s="170">
        <f>IF(A1122="","",IF(OR(NOT(ISNUMBER(C1122)),C1122=""),"No",IF(AND(HOUR(C1122)&gt;=0,HOUR(C1122)&lt;5),"Yes","No")))</f>
        <v/>
      </c>
      <c r="I1122" s="183">
        <f>IF(OR(B1122="",NOT(ISNUMBER(B1122))),"",INT(B1122))</f>
        <v/>
      </c>
    </row>
    <row r="1123" ht="15" customHeight="1" s="122">
      <c r="A1123" s="179" t="inlineStr">
        <is>
          <t>KBB 104Q</t>
        </is>
      </c>
      <c r="B1123" s="172" t="inlineStr">
        <is>
          <t>18-02-2026 12:29:13</t>
        </is>
      </c>
      <c r="C1123" s="172" t="inlineStr">
        <is>
          <t>18-02-2026 12:43:47</t>
        </is>
      </c>
      <c r="D1123" s="173" t="inlineStr">
        <is>
          <t>9.47 Km</t>
        </is>
      </c>
      <c r="E1123" s="181" t="n">
        <v>38</v>
      </c>
      <c r="F1123" s="182" t="n">
        <v>66</v>
      </c>
      <c r="G1123" s="172" t="inlineStr">
        <is>
          <t>No</t>
        </is>
      </c>
      <c r="H1123" s="170">
        <f>IF(A1123="","",IF(OR(NOT(ISNUMBER(C1123)),C1123=""),"No",IF(AND(HOUR(C1123)&gt;=0,HOUR(C1123)&lt;5),"Yes","No")))</f>
        <v/>
      </c>
      <c r="I1123" s="183">
        <f>IF(OR(B1123="",NOT(ISNUMBER(B1123))),"",INT(B1123))</f>
        <v/>
      </c>
    </row>
    <row r="1124" ht="15" customHeight="1" s="122">
      <c r="A1124" s="179" t="inlineStr">
        <is>
          <t>KBB 104Q</t>
        </is>
      </c>
      <c r="B1124" s="172" t="inlineStr">
        <is>
          <t>18-02-2026 12:44:54</t>
        </is>
      </c>
      <c r="C1124" s="172" t="inlineStr">
        <is>
          <t>18-02-2026 13:27:04</t>
        </is>
      </c>
      <c r="D1124" s="173" t="inlineStr">
        <is>
          <t>36.32 Km</t>
        </is>
      </c>
      <c r="E1124" s="181" t="n">
        <v>60</v>
      </c>
      <c r="F1124" s="182" t="n">
        <v>96</v>
      </c>
      <c r="G1124" s="172" t="inlineStr">
        <is>
          <t>No</t>
        </is>
      </c>
      <c r="H1124" s="170">
        <f>IF(A1124="","",IF(OR(NOT(ISNUMBER(C1124)),C1124=""),"No",IF(AND(HOUR(C1124)&gt;=0,HOUR(C1124)&lt;5),"Yes","No")))</f>
        <v/>
      </c>
      <c r="I1124" s="183">
        <f>IF(OR(B1124="",NOT(ISNUMBER(B1124))),"",INT(B1124))</f>
        <v/>
      </c>
    </row>
    <row r="1125" ht="15" customHeight="1" s="122">
      <c r="A1125" s="179" t="inlineStr">
        <is>
          <t>KBB 104Q</t>
        </is>
      </c>
      <c r="B1125" s="172" t="inlineStr">
        <is>
          <t>18-02-2026 18:07:58</t>
        </is>
      </c>
      <c r="C1125" s="172" t="inlineStr">
        <is>
          <t>18-02-2026 18:16:44</t>
        </is>
      </c>
      <c r="D1125" s="173" t="inlineStr">
        <is>
          <t>2.77 Km</t>
        </is>
      </c>
      <c r="E1125" s="181" t="n">
        <v>21</v>
      </c>
      <c r="F1125" s="182" t="n">
        <v>54</v>
      </c>
      <c r="G1125" s="172" t="inlineStr">
        <is>
          <t>No</t>
        </is>
      </c>
      <c r="H1125" s="170">
        <f>IF(A1125="","",IF(OR(NOT(ISNUMBER(C1125)),C1125=""),"No",IF(AND(HOUR(C1125)&gt;=0,HOUR(C1125)&lt;5),"Yes","No")))</f>
        <v/>
      </c>
      <c r="I1125" s="183">
        <f>IF(OR(B1125="",NOT(ISNUMBER(B1125))),"",INT(B1125))</f>
        <v/>
      </c>
    </row>
    <row r="1126" ht="15" customHeight="1" s="122">
      <c r="A1126" s="179" t="inlineStr">
        <is>
          <t>KBB 104Q</t>
        </is>
      </c>
      <c r="B1126" s="172" t="inlineStr">
        <is>
          <t>18-02-2026 18:41:07</t>
        </is>
      </c>
      <c r="C1126" s="172" t="inlineStr">
        <is>
          <t>18-02-2026 19:01:34</t>
        </is>
      </c>
      <c r="D1126" s="173" t="inlineStr">
        <is>
          <t>10.85 Km</t>
        </is>
      </c>
      <c r="E1126" s="181" t="n">
        <v>32</v>
      </c>
      <c r="F1126" s="182" t="n">
        <v>57</v>
      </c>
      <c r="G1126" s="172" t="inlineStr">
        <is>
          <t>No</t>
        </is>
      </c>
      <c r="H1126" s="170">
        <f>IF(A1126="","",IF(OR(NOT(ISNUMBER(C1126)),C1126=""),"No",IF(AND(HOUR(C1126)&gt;=0,HOUR(C1126)&lt;5),"Yes","No")))</f>
        <v/>
      </c>
      <c r="I1126" s="183">
        <f>IF(OR(B1126="",NOT(ISNUMBER(B1126))),"",INT(B1126))</f>
        <v/>
      </c>
    </row>
    <row r="1127" ht="15" customHeight="1" s="122">
      <c r="A1127" s="179" t="inlineStr">
        <is>
          <t>KBB 104Q</t>
        </is>
      </c>
      <c r="B1127" s="172" t="inlineStr">
        <is>
          <t>18-02-2026 19:03:34</t>
        </is>
      </c>
      <c r="C1127" s="172" t="inlineStr">
        <is>
          <t>18-02-2026 19:08:09</t>
        </is>
      </c>
      <c r="D1127" s="173" t="inlineStr">
        <is>
          <t>1.27 Km</t>
        </is>
      </c>
      <c r="E1127" s="181" t="n">
        <v>14</v>
      </c>
      <c r="F1127" s="182" t="n">
        <v>37</v>
      </c>
      <c r="G1127" s="172" t="inlineStr">
        <is>
          <t>No</t>
        </is>
      </c>
      <c r="H1127" s="170">
        <f>IF(A1127="","",IF(OR(NOT(ISNUMBER(C1127)),C1127=""),"No",IF(AND(HOUR(C1127)&gt;=0,HOUR(C1127)&lt;5),"Yes","No")))</f>
        <v/>
      </c>
      <c r="I1127" s="183">
        <f>IF(OR(B1127="",NOT(ISNUMBER(B1127))),"",INT(B1127))</f>
        <v/>
      </c>
    </row>
    <row r="1128" ht="15" customHeight="1" s="122">
      <c r="A1128" s="179" t="inlineStr">
        <is>
          <t>KBB 104Q</t>
        </is>
      </c>
      <c r="B1128" s="172" t="inlineStr">
        <is>
          <t>18-02-2026 20:36:32</t>
        </is>
      </c>
      <c r="C1128" s="172" t="inlineStr">
        <is>
          <t>18-02-2026 20:36:36</t>
        </is>
      </c>
      <c r="D1128" s="173" t="inlineStr">
        <is>
          <t>0 Km</t>
        </is>
      </c>
      <c r="E1128" s="181" t="n">
        <v>6</v>
      </c>
      <c r="F1128" s="182" t="n">
        <v>6</v>
      </c>
      <c r="G1128" s="172" t="inlineStr">
        <is>
          <t>No</t>
        </is>
      </c>
      <c r="H1128" s="170">
        <f>IF(A1128="","",IF(OR(NOT(ISNUMBER(C1128)),C1128=""),"No",IF(AND(HOUR(C1128)&gt;=0,HOUR(C1128)&lt;5),"Yes","No")))</f>
        <v/>
      </c>
      <c r="I1128" s="183">
        <f>IF(OR(B1128="",NOT(ISNUMBER(B1128))),"",INT(B1128))</f>
        <v/>
      </c>
    </row>
    <row r="1129" ht="15" customHeight="1" s="122">
      <c r="A1129" s="179" t="inlineStr">
        <is>
          <t>KBB 104Q</t>
        </is>
      </c>
      <c r="B1129" s="172" t="inlineStr">
        <is>
          <t>18-02-2026 20:37:37</t>
        </is>
      </c>
      <c r="C1129" s="172" t="inlineStr">
        <is>
          <t>18-02-2026 20:44:05</t>
        </is>
      </c>
      <c r="D1129" s="173" t="inlineStr">
        <is>
          <t>1.07 Km</t>
        </is>
      </c>
      <c r="E1129" s="181" t="n">
        <v>14</v>
      </c>
      <c r="F1129" s="182" t="n">
        <v>27</v>
      </c>
      <c r="G1129" s="172" t="inlineStr">
        <is>
          <t>No</t>
        </is>
      </c>
      <c r="H1129" s="170">
        <f>IF(A1129="","",IF(OR(NOT(ISNUMBER(C1129)),C1129=""),"No",IF(AND(HOUR(C1129)&gt;=0,HOUR(C1129)&lt;5),"Yes","No")))</f>
        <v/>
      </c>
      <c r="I1129" s="183">
        <f>IF(OR(B1129="",NOT(ISNUMBER(B1129))),"",INT(B1129))</f>
        <v/>
      </c>
    </row>
    <row r="1130" ht="15" customHeight="1" s="122">
      <c r="A1130" s="179" t="inlineStr">
        <is>
          <t>KBB 104Q</t>
        </is>
      </c>
      <c r="B1130" s="172" t="inlineStr">
        <is>
          <t>19-02-2026 11:05:36</t>
        </is>
      </c>
      <c r="C1130" s="172" t="inlineStr">
        <is>
          <t>19-02-2026 12:55:29</t>
        </is>
      </c>
      <c r="D1130" s="173" t="inlineStr">
        <is>
          <t>107.06 Km</t>
        </is>
      </c>
      <c r="E1130" s="181" t="n">
        <v>61</v>
      </c>
      <c r="F1130" s="182" t="n">
        <v>102</v>
      </c>
      <c r="G1130" s="172" t="inlineStr">
        <is>
          <t>No</t>
        </is>
      </c>
      <c r="H1130" s="170">
        <f>IF(A1130="","",IF(OR(NOT(ISNUMBER(C1130)),C1130=""),"No",IF(AND(HOUR(C1130)&gt;=0,HOUR(C1130)&lt;5),"Yes","No")))</f>
        <v/>
      </c>
      <c r="I1130" s="183">
        <f>IF(OR(B1130="",NOT(ISNUMBER(B1130))),"",INT(B1130))</f>
        <v/>
      </c>
    </row>
    <row r="1131" ht="15" customHeight="1" s="122">
      <c r="A1131" s="179" t="inlineStr">
        <is>
          <t>KBB 104Q</t>
        </is>
      </c>
      <c r="B1131" s="172" t="inlineStr">
        <is>
          <t>19-02-2026 14:29:40</t>
        </is>
      </c>
      <c r="C1131" s="172" t="inlineStr">
        <is>
          <t>19-02-2026 14:34:57</t>
        </is>
      </c>
      <c r="D1131" s="173" t="inlineStr">
        <is>
          <t>1.27 Km</t>
        </is>
      </c>
      <c r="E1131" s="181" t="n">
        <v>14</v>
      </c>
      <c r="F1131" s="182" t="n">
        <v>31</v>
      </c>
      <c r="G1131" s="172" t="inlineStr">
        <is>
          <t>No</t>
        </is>
      </c>
      <c r="H1131" s="170">
        <f>IF(A1131="","",IF(OR(NOT(ISNUMBER(C1131)),C1131=""),"No",IF(AND(HOUR(C1131)&gt;=0,HOUR(C1131)&lt;5),"Yes","No")))</f>
        <v/>
      </c>
      <c r="I1131" s="183">
        <f>IF(OR(B1131="",NOT(ISNUMBER(B1131))),"",INT(B1131))</f>
        <v/>
      </c>
    </row>
    <row r="1132" ht="15" customHeight="1" s="122">
      <c r="A1132" s="179" t="inlineStr">
        <is>
          <t>KBB 104Q</t>
        </is>
      </c>
      <c r="B1132" s="172" t="inlineStr">
        <is>
          <t>19-02-2026 14:36:05</t>
        </is>
      </c>
      <c r="C1132" s="172" t="inlineStr">
        <is>
          <t>19-02-2026 14:37:05</t>
        </is>
      </c>
      <c r="D1132" s="173" t="inlineStr">
        <is>
          <t>0.01 Km</t>
        </is>
      </c>
      <c r="E1132" s="181" t="n">
        <v>6</v>
      </c>
      <c r="F1132" s="182" t="n">
        <v>6</v>
      </c>
      <c r="G1132" s="172" t="inlineStr">
        <is>
          <t>No</t>
        </is>
      </c>
      <c r="H1132" s="170">
        <f>IF(A1132="","",IF(OR(NOT(ISNUMBER(C1132)),C1132=""),"No",IF(AND(HOUR(C1132)&gt;=0,HOUR(C1132)&lt;5),"Yes","No")))</f>
        <v/>
      </c>
      <c r="I1132" s="183">
        <f>IF(OR(B1132="",NOT(ISNUMBER(B1132))),"",INT(B1132))</f>
        <v/>
      </c>
    </row>
    <row r="1133" ht="15" customHeight="1" s="122">
      <c r="A1133" s="179" t="inlineStr">
        <is>
          <t>KBB 104Q</t>
        </is>
      </c>
      <c r="B1133" s="172" t="inlineStr">
        <is>
          <t>19-02-2026 17:27:53</t>
        </is>
      </c>
      <c r="C1133" s="172" t="inlineStr">
        <is>
          <t>19-02-2026 18:34:27</t>
        </is>
      </c>
      <c r="D1133" s="173" t="inlineStr">
        <is>
          <t>37.9 Km</t>
        </is>
      </c>
      <c r="E1133" s="181" t="n">
        <v>37</v>
      </c>
      <c r="F1133" s="182" t="n">
        <v>81</v>
      </c>
      <c r="G1133" s="172" t="inlineStr">
        <is>
          <t>No</t>
        </is>
      </c>
      <c r="H1133" s="170">
        <f>IF(A1133="","",IF(OR(NOT(ISNUMBER(C1133)),C1133=""),"No",IF(AND(HOUR(C1133)&gt;=0,HOUR(C1133)&lt;5),"Yes","No")))</f>
        <v/>
      </c>
      <c r="I1133" s="183">
        <f>IF(OR(B1133="",NOT(ISNUMBER(B1133))),"",INT(B1133))</f>
        <v/>
      </c>
    </row>
    <row r="1134" ht="15" customHeight="1" s="122">
      <c r="A1134" s="179" t="inlineStr">
        <is>
          <t>KBB 104Q</t>
        </is>
      </c>
      <c r="B1134" s="172" t="inlineStr">
        <is>
          <t>19-02-2026 18:37:04</t>
        </is>
      </c>
      <c r="C1134" s="172" t="inlineStr">
        <is>
          <t>19-02-2026 18:54:41</t>
        </is>
      </c>
      <c r="D1134" s="173" t="inlineStr">
        <is>
          <t>14.55 Km</t>
        </is>
      </c>
      <c r="E1134" s="181" t="n">
        <v>49</v>
      </c>
      <c r="F1134" s="182" t="n">
        <v>83</v>
      </c>
      <c r="G1134" s="172" t="inlineStr">
        <is>
          <t>No</t>
        </is>
      </c>
      <c r="H1134" s="170">
        <f>IF(A1134="","",IF(OR(NOT(ISNUMBER(C1134)),C1134=""),"No",IF(AND(HOUR(C1134)&gt;=0,HOUR(C1134)&lt;5),"Yes","No")))</f>
        <v/>
      </c>
      <c r="I1134" s="183">
        <f>IF(OR(B1134="",NOT(ISNUMBER(B1134))),"",INT(B1134))</f>
        <v/>
      </c>
    </row>
    <row r="1135" ht="15" customHeight="1" s="122">
      <c r="A1135" s="179" t="inlineStr">
        <is>
          <t>KBB 104Q</t>
        </is>
      </c>
      <c r="B1135" s="172" t="inlineStr">
        <is>
          <t>19-02-2026 19:15:20</t>
        </is>
      </c>
      <c r="C1135" s="172" t="inlineStr">
        <is>
          <t>19-02-2026 19:25:02</t>
        </is>
      </c>
      <c r="D1135" s="173" t="inlineStr">
        <is>
          <t>9.27 Km</t>
        </is>
      </c>
      <c r="E1135" s="181" t="n">
        <v>58</v>
      </c>
      <c r="F1135" s="182" t="n">
        <v>80</v>
      </c>
      <c r="G1135" s="172" t="inlineStr">
        <is>
          <t>No</t>
        </is>
      </c>
      <c r="H1135" s="170">
        <f>IF(A1135="","",IF(OR(NOT(ISNUMBER(C1135)),C1135=""),"No",IF(AND(HOUR(C1135)&gt;=0,HOUR(C1135)&lt;5),"Yes","No")))</f>
        <v/>
      </c>
      <c r="I1135" s="183">
        <f>IF(OR(B1135="",NOT(ISNUMBER(B1135))),"",INT(B1135))</f>
        <v/>
      </c>
    </row>
    <row r="1136" ht="15" customHeight="1" s="122">
      <c r="A1136" s="179" t="inlineStr">
        <is>
          <t>KBB 104Q</t>
        </is>
      </c>
      <c r="B1136" s="172" t="inlineStr">
        <is>
          <t>19-02-2026 19:28:41</t>
        </is>
      </c>
      <c r="C1136" s="172" t="inlineStr">
        <is>
          <t>19-02-2026 20:09:14</t>
        </is>
      </c>
      <c r="D1136" s="173" t="inlineStr">
        <is>
          <t>39.62 Km</t>
        </is>
      </c>
      <c r="E1136" s="181" t="n">
        <v>60</v>
      </c>
      <c r="F1136" s="182" t="n">
        <v>87</v>
      </c>
      <c r="G1136" s="172" t="inlineStr">
        <is>
          <t>No</t>
        </is>
      </c>
      <c r="H1136" s="170">
        <f>IF(A1136="","",IF(OR(NOT(ISNUMBER(C1136)),C1136=""),"No",IF(AND(HOUR(C1136)&gt;=0,HOUR(C1136)&lt;5),"Yes","No")))</f>
        <v/>
      </c>
      <c r="I1136" s="183">
        <f>IF(OR(B1136="",NOT(ISNUMBER(B1136))),"",INT(B1136))</f>
        <v/>
      </c>
    </row>
    <row r="1137" ht="15" customHeight="1" s="122">
      <c r="A1137" s="179" t="inlineStr">
        <is>
          <t>KBB 104Q</t>
        </is>
      </c>
      <c r="B1137" s="172" t="inlineStr">
        <is>
          <t>19-02-2026 20:16:57</t>
        </is>
      </c>
      <c r="C1137" s="172" t="inlineStr">
        <is>
          <t>19-02-2026 20:31:53</t>
        </is>
      </c>
      <c r="D1137" s="173" t="inlineStr">
        <is>
          <t>8.9 Km</t>
        </is>
      </c>
      <c r="E1137" s="181" t="n">
        <v>37</v>
      </c>
      <c r="F1137" s="182" t="n">
        <v>76</v>
      </c>
      <c r="G1137" s="172" t="inlineStr">
        <is>
          <t>No</t>
        </is>
      </c>
      <c r="H1137" s="170">
        <f>IF(A1137="","",IF(OR(NOT(ISNUMBER(C1137)),C1137=""),"No",IF(AND(HOUR(C1137)&gt;=0,HOUR(C1137)&lt;5),"Yes","No")))</f>
        <v/>
      </c>
      <c r="I1137" s="183">
        <f>IF(OR(B1137="",NOT(ISNUMBER(B1137))),"",INT(B1137))</f>
        <v/>
      </c>
    </row>
    <row r="1138" ht="15" customHeight="1" s="122">
      <c r="A1138" s="179" t="inlineStr">
        <is>
          <t>KBB 104Q</t>
        </is>
      </c>
      <c r="B1138" s="172" t="inlineStr">
        <is>
          <t>19-02-2026 20:31:58</t>
        </is>
      </c>
      <c r="C1138" s="172" t="inlineStr">
        <is>
          <t>19-02-2026 20:32:35</t>
        </is>
      </c>
      <c r="D1138" s="173" t="inlineStr">
        <is>
          <t>0.02 Km</t>
        </is>
      </c>
      <c r="E1138" s="181" t="n">
        <v>7</v>
      </c>
      <c r="F1138" s="182" t="n">
        <v>8</v>
      </c>
      <c r="G1138" s="172" t="inlineStr">
        <is>
          <t>No</t>
        </is>
      </c>
      <c r="H1138" s="170">
        <f>IF(A1138="","",IF(OR(NOT(ISNUMBER(C1138)),C1138=""),"No",IF(AND(HOUR(C1138)&gt;=0,HOUR(C1138)&lt;5),"Yes","No")))</f>
        <v/>
      </c>
      <c r="I1138" s="183">
        <f>IF(OR(B1138="",NOT(ISNUMBER(B1138))),"",INT(B1138))</f>
        <v/>
      </c>
    </row>
    <row r="1139" ht="15" customHeight="1" s="122">
      <c r="A1139" s="179" t="inlineStr">
        <is>
          <t>KBB 104Q</t>
        </is>
      </c>
      <c r="B1139" s="172" t="inlineStr">
        <is>
          <t>20-02-2026 16:12:36</t>
        </is>
      </c>
      <c r="C1139" s="172" t="inlineStr">
        <is>
          <t>20-02-2026 16:29:49</t>
        </is>
      </c>
      <c r="D1139" s="173" t="inlineStr">
        <is>
          <t>8.8 Km</t>
        </is>
      </c>
      <c r="E1139" s="181" t="n">
        <v>37</v>
      </c>
      <c r="F1139" s="182" t="n">
        <v>70</v>
      </c>
      <c r="G1139" s="172" t="inlineStr">
        <is>
          <t>No</t>
        </is>
      </c>
      <c r="H1139" s="170">
        <f>IF(A1139="","",IF(OR(NOT(ISNUMBER(C1139)),C1139=""),"No",IF(AND(HOUR(C1139)&gt;=0,HOUR(C1139)&lt;5),"Yes","No")))</f>
        <v/>
      </c>
      <c r="I1139" s="183">
        <f>IF(OR(B1139="",NOT(ISNUMBER(B1139))),"",INT(B1139))</f>
        <v/>
      </c>
    </row>
    <row r="1140" ht="15" customHeight="1" s="122">
      <c r="A1140" s="179" t="inlineStr">
        <is>
          <t>KBB 104Q</t>
        </is>
      </c>
      <c r="B1140" s="172" t="inlineStr">
        <is>
          <t>20-02-2026 16:43:11</t>
        </is>
      </c>
      <c r="C1140" s="172" t="inlineStr">
        <is>
          <t>20-02-2026 16:47:14</t>
        </is>
      </c>
      <c r="D1140" s="173" t="inlineStr">
        <is>
          <t>1.14 Km</t>
        </is>
      </c>
      <c r="E1140" s="181" t="n">
        <v>18</v>
      </c>
      <c r="F1140" s="182" t="n">
        <v>38</v>
      </c>
      <c r="G1140" s="172" t="inlineStr">
        <is>
          <t>No</t>
        </is>
      </c>
      <c r="H1140" s="170">
        <f>IF(A1140="","",IF(OR(NOT(ISNUMBER(C1140)),C1140=""),"No",IF(AND(HOUR(C1140)&gt;=0,HOUR(C1140)&lt;5),"Yes","No")))</f>
        <v/>
      </c>
      <c r="I1140" s="183">
        <f>IF(OR(B1140="",NOT(ISNUMBER(B1140))),"",INT(B1140))</f>
        <v/>
      </c>
    </row>
    <row r="1141" ht="15" customHeight="1" s="122">
      <c r="A1141" s="179" t="inlineStr">
        <is>
          <t>KBB 104Q</t>
        </is>
      </c>
      <c r="B1141" s="172" t="inlineStr">
        <is>
          <t>20-02-2026 16:50:24</t>
        </is>
      </c>
      <c r="C1141" s="172" t="inlineStr">
        <is>
          <t>20-02-2026 16:53:22</t>
        </is>
      </c>
      <c r="D1141" s="173" t="inlineStr">
        <is>
          <t>0.54 Km</t>
        </is>
      </c>
      <c r="E1141" s="181" t="n">
        <v>11</v>
      </c>
      <c r="F1141" s="182" t="n">
        <v>33</v>
      </c>
      <c r="G1141" s="172" t="inlineStr">
        <is>
          <t>No</t>
        </is>
      </c>
      <c r="H1141" s="170">
        <f>IF(A1141="","",IF(OR(NOT(ISNUMBER(C1141)),C1141=""),"No",IF(AND(HOUR(C1141)&gt;=0,HOUR(C1141)&lt;5),"Yes","No")))</f>
        <v/>
      </c>
      <c r="I1141" s="183">
        <f>IF(OR(B1141="",NOT(ISNUMBER(B1141))),"",INT(B1141))</f>
        <v/>
      </c>
    </row>
    <row r="1142" ht="15" customHeight="1" s="122">
      <c r="A1142" s="179" t="inlineStr">
        <is>
          <t>KBB 104Q</t>
        </is>
      </c>
      <c r="B1142" s="172" t="inlineStr">
        <is>
          <t>20-02-2026 16:54:34</t>
        </is>
      </c>
      <c r="C1142" s="172" t="inlineStr">
        <is>
          <t>20-02-2026 17:10:30</t>
        </is>
      </c>
      <c r="D1142" s="173" t="inlineStr">
        <is>
          <t>9.34 Km</t>
        </is>
      </c>
      <c r="E1142" s="181" t="n">
        <v>36</v>
      </c>
      <c r="F1142" s="182" t="n">
        <v>74</v>
      </c>
      <c r="G1142" s="172" t="inlineStr">
        <is>
          <t>No</t>
        </is>
      </c>
      <c r="H1142" s="170">
        <f>IF(A1142="","",IF(OR(NOT(ISNUMBER(C1142)),C1142=""),"No",IF(AND(HOUR(C1142)&gt;=0,HOUR(C1142)&lt;5),"Yes","No")))</f>
        <v/>
      </c>
      <c r="I1142" s="183">
        <f>IF(OR(B1142="",NOT(ISNUMBER(B1142))),"",INT(B1142))</f>
        <v/>
      </c>
    </row>
    <row r="1143" ht="15" customHeight="1" s="122">
      <c r="A1143" s="179" t="inlineStr">
        <is>
          <t>KBB 104Q</t>
        </is>
      </c>
      <c r="B1143" s="172" t="inlineStr">
        <is>
          <t>22-02-2026 16:28:49</t>
        </is>
      </c>
      <c r="C1143" s="172" t="inlineStr">
        <is>
          <t>22-02-2026 16:29:56</t>
        </is>
      </c>
      <c r="D1143" s="173" t="inlineStr">
        <is>
          <t>0.06 Km</t>
        </is>
      </c>
      <c r="E1143" s="181" t="n">
        <v>6</v>
      </c>
      <c r="F1143" s="182" t="n">
        <v>6</v>
      </c>
      <c r="G1143" s="172" t="inlineStr">
        <is>
          <t>No</t>
        </is>
      </c>
      <c r="H1143" s="170">
        <f>IF(A1143="","",IF(OR(NOT(ISNUMBER(C1143)),C1143=""),"No",IF(AND(HOUR(C1143)&gt;=0,HOUR(C1143)&lt;5),"Yes","No")))</f>
        <v/>
      </c>
      <c r="I1143" s="183">
        <f>IF(OR(B1143="",NOT(ISNUMBER(B1143))),"",INT(B1143))</f>
        <v/>
      </c>
    </row>
    <row r="1144" ht="15" customHeight="1" s="122">
      <c r="A1144" s="179" t="inlineStr">
        <is>
          <t>KBB 104Q</t>
        </is>
      </c>
      <c r="B1144" s="172" t="inlineStr">
        <is>
          <t>22-02-2026 16:30:05</t>
        </is>
      </c>
      <c r="C1144" s="172" t="inlineStr">
        <is>
          <t>22-02-2026 16:42:45</t>
        </is>
      </c>
      <c r="D1144" s="173" t="inlineStr">
        <is>
          <t>5.34 Km</t>
        </is>
      </c>
      <c r="E1144" s="181" t="n">
        <v>27</v>
      </c>
      <c r="F1144" s="182" t="n">
        <v>70</v>
      </c>
      <c r="G1144" s="172" t="inlineStr">
        <is>
          <t>No</t>
        </is>
      </c>
      <c r="H1144" s="170">
        <f>IF(A1144="","",IF(OR(NOT(ISNUMBER(C1144)),C1144=""),"No",IF(AND(HOUR(C1144)&gt;=0,HOUR(C1144)&lt;5),"Yes","No")))</f>
        <v/>
      </c>
      <c r="I1144" s="183">
        <f>IF(OR(B1144="",NOT(ISNUMBER(B1144))),"",INT(B1144))</f>
        <v/>
      </c>
    </row>
    <row r="1145" ht="15" customHeight="1" s="122">
      <c r="A1145" s="179" t="inlineStr">
        <is>
          <t>KBB 104Q</t>
        </is>
      </c>
      <c r="B1145" s="172" t="inlineStr">
        <is>
          <t>22-02-2026 18:29:00</t>
        </is>
      </c>
      <c r="C1145" s="172" t="inlineStr">
        <is>
          <t>22-02-2026 18:59:33</t>
        </is>
      </c>
      <c r="D1145" s="173" t="inlineStr">
        <is>
          <t>15.11 Km</t>
        </is>
      </c>
      <c r="E1145" s="181" t="n">
        <v>29</v>
      </c>
      <c r="F1145" s="182" t="n">
        <v>64</v>
      </c>
      <c r="G1145" s="172" t="inlineStr">
        <is>
          <t>No</t>
        </is>
      </c>
      <c r="H1145" s="170">
        <f>IF(A1145="","",IF(OR(NOT(ISNUMBER(C1145)),C1145=""),"No",IF(AND(HOUR(C1145)&gt;=0,HOUR(C1145)&lt;5),"Yes","No")))</f>
        <v/>
      </c>
      <c r="I1145" s="183">
        <f>IF(OR(B1145="",NOT(ISNUMBER(B1145))),"",INT(B1145))</f>
        <v/>
      </c>
    </row>
    <row r="1146" ht="15" customHeight="1" s="122">
      <c r="A1146" s="179" t="inlineStr">
        <is>
          <t>KBB 104Q</t>
        </is>
      </c>
      <c r="B1146" s="172" t="inlineStr">
        <is>
          <t>22-02-2026 19:00:44</t>
        </is>
      </c>
      <c r="C1146" s="172" t="inlineStr">
        <is>
          <t>22-02-2026 19:01:46</t>
        </is>
      </c>
      <c r="D1146" s="173" t="inlineStr">
        <is>
          <t>0 Km</t>
        </is>
      </c>
      <c r="E1146" s="181" t="n">
        <v>7</v>
      </c>
      <c r="F1146" s="182" t="n">
        <v>7</v>
      </c>
      <c r="G1146" s="172" t="inlineStr">
        <is>
          <t>No</t>
        </is>
      </c>
      <c r="H1146" s="170">
        <f>IF(A1146="","",IF(OR(NOT(ISNUMBER(C1146)),C1146=""),"No",IF(AND(HOUR(C1146)&gt;=0,HOUR(C1146)&lt;5),"Yes","No")))</f>
        <v/>
      </c>
      <c r="I1146" s="183">
        <f>IF(OR(B1146="",NOT(ISNUMBER(B1146))),"",INT(B1146))</f>
        <v/>
      </c>
    </row>
    <row r="1147" ht="15" customHeight="1" s="122">
      <c r="A1147" s="179" t="inlineStr">
        <is>
          <t>KBB 104Q</t>
        </is>
      </c>
      <c r="B1147" s="172" t="inlineStr">
        <is>
          <t>22-02-2026 19:26:08</t>
        </is>
      </c>
      <c r="C1147" s="172" t="inlineStr">
        <is>
          <t>22-02-2026 19:47:09</t>
        </is>
      </c>
      <c r="D1147" s="173" t="inlineStr">
        <is>
          <t>11.36 Km</t>
        </is>
      </c>
      <c r="E1147" s="181" t="n">
        <v>33</v>
      </c>
      <c r="F1147" s="182" t="n">
        <v>63</v>
      </c>
      <c r="G1147" s="172" t="inlineStr">
        <is>
          <t>No</t>
        </is>
      </c>
      <c r="H1147" s="170">
        <f>IF(A1147="","",IF(OR(NOT(ISNUMBER(C1147)),C1147=""),"No",IF(AND(HOUR(C1147)&gt;=0,HOUR(C1147)&lt;5),"Yes","No")))</f>
        <v/>
      </c>
      <c r="I1147" s="183">
        <f>IF(OR(B1147="",NOT(ISNUMBER(B1147))),"",INT(B1147))</f>
        <v/>
      </c>
    </row>
    <row r="1148" ht="15" customHeight="1" s="122">
      <c r="A1148" s="179" t="inlineStr">
        <is>
          <t>KBB 104Q</t>
        </is>
      </c>
      <c r="B1148" s="172" t="inlineStr">
        <is>
          <t>23-02-2026 08:48:11</t>
        </is>
      </c>
      <c r="C1148" s="172" t="inlineStr">
        <is>
          <t>23-02-2026 08:50:42</t>
        </is>
      </c>
      <c r="D1148" s="173" t="inlineStr">
        <is>
          <t>0.24 Km</t>
        </is>
      </c>
      <c r="E1148" s="181" t="n">
        <v>10</v>
      </c>
      <c r="F1148" s="182" t="n">
        <v>18</v>
      </c>
      <c r="G1148" s="172" t="inlineStr">
        <is>
          <t>No</t>
        </is>
      </c>
      <c r="H1148" s="170">
        <f>IF(A1148="","",IF(OR(NOT(ISNUMBER(C1148)),C1148=""),"No",IF(AND(HOUR(C1148)&gt;=0,HOUR(C1148)&lt;5),"Yes","No")))</f>
        <v/>
      </c>
      <c r="I1148" s="183">
        <f>IF(OR(B1148="",NOT(ISNUMBER(B1148))),"",INT(B1148))</f>
        <v/>
      </c>
    </row>
    <row r="1149" ht="15" customHeight="1" s="122">
      <c r="A1149" s="179" t="inlineStr">
        <is>
          <t>KBB 104Q</t>
        </is>
      </c>
      <c r="B1149" s="172" t="inlineStr">
        <is>
          <t>23-02-2026 08:52:24</t>
        </is>
      </c>
      <c r="C1149" s="172" t="inlineStr">
        <is>
          <t>23-02-2026 10:23:04</t>
        </is>
      </c>
      <c r="D1149" s="173" t="inlineStr">
        <is>
          <t>84.07 Km</t>
        </is>
      </c>
      <c r="E1149" s="181" t="n">
        <v>56</v>
      </c>
      <c r="F1149" s="182" t="n">
        <v>99</v>
      </c>
      <c r="G1149" s="172" t="inlineStr">
        <is>
          <t>No</t>
        </is>
      </c>
      <c r="H1149" s="170">
        <f>IF(A1149="","",IF(OR(NOT(ISNUMBER(C1149)),C1149=""),"No",IF(AND(HOUR(C1149)&gt;=0,HOUR(C1149)&lt;5),"Yes","No")))</f>
        <v/>
      </c>
      <c r="I1149" s="183">
        <f>IF(OR(B1149="",NOT(ISNUMBER(B1149))),"",INT(B1149))</f>
        <v/>
      </c>
    </row>
    <row r="1150" ht="15" customHeight="1" s="122">
      <c r="A1150" s="179" t="inlineStr">
        <is>
          <t>KBB 104Q</t>
        </is>
      </c>
      <c r="B1150" s="172" t="inlineStr">
        <is>
          <t>23-02-2026 10:23:14</t>
        </is>
      </c>
      <c r="C1150" s="172" t="inlineStr">
        <is>
          <t>23-02-2026 10:24:14</t>
        </is>
      </c>
      <c r="D1150" s="173" t="inlineStr">
        <is>
          <t>0 Km</t>
        </is>
      </c>
      <c r="E1150" s="181" t="n">
        <v>6</v>
      </c>
      <c r="F1150" s="182" t="n">
        <v>6</v>
      </c>
      <c r="G1150" s="172" t="inlineStr">
        <is>
          <t>No</t>
        </is>
      </c>
      <c r="H1150" s="170">
        <f>IF(A1150="","",IF(OR(NOT(ISNUMBER(C1150)),C1150=""),"No",IF(AND(HOUR(C1150)&gt;=0,HOUR(C1150)&lt;5),"Yes","No")))</f>
        <v/>
      </c>
      <c r="I1150" s="183">
        <f>IF(OR(B1150="",NOT(ISNUMBER(B1150))),"",INT(B1150))</f>
        <v/>
      </c>
    </row>
    <row r="1151" ht="15" customHeight="1" s="122">
      <c r="A1151" s="179" t="inlineStr">
        <is>
          <t>KBB 104Q</t>
        </is>
      </c>
      <c r="B1151" s="172" t="inlineStr">
        <is>
          <t>23-02-2026 10:26:24</t>
        </is>
      </c>
      <c r="C1151" s="172" t="inlineStr">
        <is>
          <t>23-02-2026 10:29:02</t>
        </is>
      </c>
      <c r="D1151" s="173" t="inlineStr">
        <is>
          <t>0.08 Km</t>
        </is>
      </c>
      <c r="E1151" s="181" t="n">
        <v>8</v>
      </c>
      <c r="F1151" s="182" t="n">
        <v>10</v>
      </c>
      <c r="G1151" s="172" t="inlineStr">
        <is>
          <t>No</t>
        </is>
      </c>
      <c r="H1151" s="170">
        <f>IF(A1151="","",IF(OR(NOT(ISNUMBER(C1151)),C1151=""),"No",IF(AND(HOUR(C1151)&gt;=0,HOUR(C1151)&lt;5),"Yes","No")))</f>
        <v/>
      </c>
      <c r="I1151" s="183">
        <f>IF(OR(B1151="",NOT(ISNUMBER(B1151))),"",INT(B1151))</f>
        <v/>
      </c>
    </row>
    <row r="1152" ht="15" customHeight="1" s="122">
      <c r="A1152" s="179" t="inlineStr">
        <is>
          <t>KBB 104Q</t>
        </is>
      </c>
      <c r="B1152" s="172" t="inlineStr">
        <is>
          <t>23-02-2026 12:44:32</t>
        </is>
      </c>
      <c r="C1152" s="172" t="inlineStr">
        <is>
          <t>23-02-2026 12:45:46</t>
        </is>
      </c>
      <c r="D1152" s="173" t="inlineStr">
        <is>
          <t>0.02 Km</t>
        </is>
      </c>
      <c r="E1152" s="181" t="n">
        <v>11</v>
      </c>
      <c r="F1152" s="182" t="n">
        <v>11</v>
      </c>
      <c r="G1152" s="172" t="inlineStr">
        <is>
          <t>No</t>
        </is>
      </c>
      <c r="H1152" s="170">
        <f>IF(A1152="","",IF(OR(NOT(ISNUMBER(C1152)),C1152=""),"No",IF(AND(HOUR(C1152)&gt;=0,HOUR(C1152)&lt;5),"Yes","No")))</f>
        <v/>
      </c>
      <c r="I1152" s="183">
        <f>IF(OR(B1152="",NOT(ISNUMBER(B1152))),"",INT(B1152))</f>
        <v/>
      </c>
    </row>
    <row r="1153" ht="15" customHeight="1" s="122">
      <c r="A1153" s="179" t="inlineStr">
        <is>
          <t>KBB 104Q</t>
        </is>
      </c>
      <c r="B1153" s="172" t="inlineStr">
        <is>
          <t>23-02-2026 12:47:48</t>
        </is>
      </c>
      <c r="C1153" s="172" t="inlineStr">
        <is>
          <t>23-02-2026 14:04:03</t>
        </is>
      </c>
      <c r="D1153" s="173" t="inlineStr">
        <is>
          <t>70.3 Km</t>
        </is>
      </c>
      <c r="E1153" s="181" t="n">
        <v>56</v>
      </c>
      <c r="F1153" s="182" t="n">
        <v>91</v>
      </c>
      <c r="G1153" s="172" t="inlineStr">
        <is>
          <t>No</t>
        </is>
      </c>
      <c r="H1153" s="170">
        <f>IF(A1153="","",IF(OR(NOT(ISNUMBER(C1153)),C1153=""),"No",IF(AND(HOUR(C1153)&gt;=0,HOUR(C1153)&lt;5),"Yes","No")))</f>
        <v/>
      </c>
      <c r="I1153" s="183">
        <f>IF(OR(B1153="",NOT(ISNUMBER(B1153))),"",INT(B1153))</f>
        <v/>
      </c>
    </row>
    <row r="1154" ht="15" customHeight="1" s="122">
      <c r="A1154" s="179" t="inlineStr">
        <is>
          <t>KBB 104Q</t>
        </is>
      </c>
      <c r="B1154" s="172" t="inlineStr">
        <is>
          <t>23-02-2026 16:13:12</t>
        </is>
      </c>
      <c r="C1154" s="172" t="inlineStr">
        <is>
          <t>23-02-2026 16:23:41</t>
        </is>
      </c>
      <c r="D1154" s="173" t="inlineStr">
        <is>
          <t>5.74 Km</t>
        </is>
      </c>
      <c r="E1154" s="181" t="n">
        <v>30</v>
      </c>
      <c r="F1154" s="182" t="n">
        <v>61</v>
      </c>
      <c r="G1154" s="172" t="inlineStr">
        <is>
          <t>No</t>
        </is>
      </c>
      <c r="H1154" s="170">
        <f>IF(A1154="","",IF(OR(NOT(ISNUMBER(C1154)),C1154=""),"No",IF(AND(HOUR(C1154)&gt;=0,HOUR(C1154)&lt;5),"Yes","No")))</f>
        <v/>
      </c>
      <c r="I1154" s="183">
        <f>IF(OR(B1154="",NOT(ISNUMBER(B1154))),"",INT(B1154))</f>
        <v/>
      </c>
    </row>
    <row r="1155" ht="15" customHeight="1" s="122">
      <c r="A1155" s="179" t="inlineStr">
        <is>
          <t>KBB 104Q</t>
        </is>
      </c>
      <c r="B1155" s="172" t="inlineStr">
        <is>
          <t>23-02-2026 16:30:40</t>
        </is>
      </c>
      <c r="C1155" s="172" t="inlineStr">
        <is>
          <t>23-02-2026 16:35:31</t>
        </is>
      </c>
      <c r="D1155" s="173" t="inlineStr">
        <is>
          <t>1.02 Km</t>
        </is>
      </c>
      <c r="E1155" s="181" t="n">
        <v>13</v>
      </c>
      <c r="F1155" s="182" t="n">
        <v>32</v>
      </c>
      <c r="G1155" s="172" t="inlineStr">
        <is>
          <t>No</t>
        </is>
      </c>
      <c r="H1155" s="170">
        <f>IF(A1155="","",IF(OR(NOT(ISNUMBER(C1155)),C1155=""),"No",IF(AND(HOUR(C1155)&gt;=0,HOUR(C1155)&lt;5),"Yes","No")))</f>
        <v/>
      </c>
      <c r="I1155" s="183">
        <f>IF(OR(B1155="",NOT(ISNUMBER(B1155))),"",INT(B1155))</f>
        <v/>
      </c>
    </row>
    <row r="1156" ht="15" customHeight="1" s="122">
      <c r="A1156" s="179" t="inlineStr">
        <is>
          <t>KBB 104Q</t>
        </is>
      </c>
      <c r="B1156" s="172" t="inlineStr">
        <is>
          <t>23-02-2026 16:37:41</t>
        </is>
      </c>
      <c r="C1156" s="172" t="inlineStr">
        <is>
          <t>23-02-2026 16:38:42</t>
        </is>
      </c>
      <c r="D1156" s="173" t="inlineStr">
        <is>
          <t>0 Km</t>
        </is>
      </c>
      <c r="E1156" s="181" t="n">
        <v>6</v>
      </c>
      <c r="F1156" s="182" t="n">
        <v>6</v>
      </c>
      <c r="G1156" s="172" t="inlineStr">
        <is>
          <t>No</t>
        </is>
      </c>
      <c r="H1156" s="170">
        <f>IF(A1156="","",IF(OR(NOT(ISNUMBER(C1156)),C1156=""),"No",IF(AND(HOUR(C1156)&gt;=0,HOUR(C1156)&lt;5),"Yes","No")))</f>
        <v/>
      </c>
      <c r="I1156" s="183">
        <f>IF(OR(B1156="",NOT(ISNUMBER(B1156))),"",INT(B1156))</f>
        <v/>
      </c>
    </row>
    <row r="1157" ht="15" customHeight="1" s="122">
      <c r="A1157" s="179" t="inlineStr">
        <is>
          <t>KBB 104Q</t>
        </is>
      </c>
      <c r="B1157" s="172" t="inlineStr">
        <is>
          <t>23-02-2026 16:40:20</t>
        </is>
      </c>
      <c r="C1157" s="172" t="inlineStr">
        <is>
          <t>23-02-2026 17:11:10</t>
        </is>
      </c>
      <c r="D1157" s="173" t="inlineStr">
        <is>
          <t>14.59 Km</t>
        </is>
      </c>
      <c r="E1157" s="181" t="n">
        <v>29</v>
      </c>
      <c r="F1157" s="182" t="n">
        <v>72</v>
      </c>
      <c r="G1157" s="172" t="inlineStr">
        <is>
          <t>No</t>
        </is>
      </c>
      <c r="H1157" s="170">
        <f>IF(A1157="","",IF(OR(NOT(ISNUMBER(C1157)),C1157=""),"No",IF(AND(HOUR(C1157)&gt;=0,HOUR(C1157)&lt;5),"Yes","No")))</f>
        <v/>
      </c>
      <c r="I1157" s="183">
        <f>IF(OR(B1157="",NOT(ISNUMBER(B1157))),"",INT(B1157))</f>
        <v/>
      </c>
    </row>
    <row r="1158" ht="15" customHeight="1" s="122">
      <c r="A1158" s="179" t="inlineStr">
        <is>
          <t>KBB 104Q</t>
        </is>
      </c>
      <c r="B1158" s="172" t="inlineStr">
        <is>
          <t>23-02-2026 19:19:56</t>
        </is>
      </c>
      <c r="C1158" s="172" t="inlineStr">
        <is>
          <t>23-02-2026 19:31:39</t>
        </is>
      </c>
      <c r="D1158" s="173" t="inlineStr">
        <is>
          <t>4.45 Km</t>
        </is>
      </c>
      <c r="E1158" s="181" t="n">
        <v>19</v>
      </c>
      <c r="F1158" s="182" t="n">
        <v>46</v>
      </c>
      <c r="G1158" s="172" t="inlineStr">
        <is>
          <t>No</t>
        </is>
      </c>
      <c r="H1158" s="170">
        <f>IF(A1158="","",IF(OR(NOT(ISNUMBER(C1158)),C1158=""),"No",IF(AND(HOUR(C1158)&gt;=0,HOUR(C1158)&lt;5),"Yes","No")))</f>
        <v/>
      </c>
      <c r="I1158" s="183">
        <f>IF(OR(B1158="",NOT(ISNUMBER(B1158))),"",INT(B1158))</f>
        <v/>
      </c>
    </row>
    <row r="1159" ht="15" customHeight="1" s="122">
      <c r="A1159" s="179" t="inlineStr">
        <is>
          <t>KBB 104Q</t>
        </is>
      </c>
      <c r="B1159" s="172" t="inlineStr">
        <is>
          <t>24-02-2026 07:36:22</t>
        </is>
      </c>
      <c r="C1159" s="172" t="inlineStr">
        <is>
          <t>24-02-2026 09:13:35</t>
        </is>
      </c>
      <c r="D1159" s="173" t="inlineStr">
        <is>
          <t>83.51 Km</t>
        </is>
      </c>
      <c r="E1159" s="181" t="n">
        <v>57</v>
      </c>
      <c r="F1159" s="182" t="n">
        <v>109</v>
      </c>
      <c r="G1159" s="172" t="inlineStr">
        <is>
          <t>No</t>
        </is>
      </c>
      <c r="H1159" s="170">
        <f>IF(A1159="","",IF(OR(NOT(ISNUMBER(C1159)),C1159=""),"No",IF(AND(HOUR(C1159)&gt;=0,HOUR(C1159)&lt;5),"Yes","No")))</f>
        <v/>
      </c>
      <c r="I1159" s="183">
        <f>IF(OR(B1159="",NOT(ISNUMBER(B1159))),"",INT(B1159))</f>
        <v/>
      </c>
    </row>
    <row r="1160" ht="15" customHeight="1" s="122">
      <c r="A1160" s="179" t="inlineStr">
        <is>
          <t>KBB 104Q</t>
        </is>
      </c>
      <c r="B1160" s="172" t="inlineStr">
        <is>
          <t>24-02-2026 09:17:54</t>
        </is>
      </c>
      <c r="C1160" s="172" t="inlineStr">
        <is>
          <t>24-02-2026 09:19:43</t>
        </is>
      </c>
      <c r="D1160" s="173" t="inlineStr">
        <is>
          <t>0.29 Km</t>
        </is>
      </c>
      <c r="E1160" s="181" t="n">
        <v>12</v>
      </c>
      <c r="F1160" s="182" t="n">
        <v>26</v>
      </c>
      <c r="G1160" s="172" t="inlineStr">
        <is>
          <t>No</t>
        </is>
      </c>
      <c r="H1160" s="170">
        <f>IF(A1160="","",IF(OR(NOT(ISNUMBER(C1160)),C1160=""),"No",IF(AND(HOUR(C1160)&gt;=0,HOUR(C1160)&lt;5),"Yes","No")))</f>
        <v/>
      </c>
      <c r="I1160" s="183">
        <f>IF(OR(B1160="",NOT(ISNUMBER(B1160))),"",INT(B1160))</f>
        <v/>
      </c>
    </row>
    <row r="1161" ht="15" customHeight="1" s="122">
      <c r="A1161" s="179" t="inlineStr">
        <is>
          <t>KBB 104Q</t>
        </is>
      </c>
      <c r="B1161" s="172" t="inlineStr">
        <is>
          <t>24-02-2026 09:31:33</t>
        </is>
      </c>
      <c r="C1161" s="172" t="inlineStr">
        <is>
          <t>24-02-2026 09:58:37</t>
        </is>
      </c>
      <c r="D1161" s="173" t="inlineStr">
        <is>
          <t>16.98 Km</t>
        </is>
      </c>
      <c r="E1161" s="181" t="n">
        <v>40</v>
      </c>
      <c r="F1161" s="182" t="n">
        <v>84</v>
      </c>
      <c r="G1161" s="172" t="inlineStr">
        <is>
          <t>No</t>
        </is>
      </c>
      <c r="H1161" s="170">
        <f>IF(A1161="","",IF(OR(NOT(ISNUMBER(C1161)),C1161=""),"No",IF(AND(HOUR(C1161)&gt;=0,HOUR(C1161)&lt;5),"Yes","No")))</f>
        <v/>
      </c>
      <c r="I1161" s="183">
        <f>IF(OR(B1161="",NOT(ISNUMBER(B1161))),"",INT(B1161))</f>
        <v/>
      </c>
    </row>
    <row r="1162" ht="15" customHeight="1" s="122">
      <c r="A1162" s="179" t="inlineStr">
        <is>
          <t>KBB 104Q</t>
        </is>
      </c>
      <c r="B1162" s="172" t="inlineStr">
        <is>
          <t>24-02-2026 10:01:05</t>
        </is>
      </c>
      <c r="C1162" s="172" t="inlineStr">
        <is>
          <t>24-02-2026 10:41:13</t>
        </is>
      </c>
      <c r="D1162" s="173" t="inlineStr">
        <is>
          <t>26.49 Km</t>
        </is>
      </c>
      <c r="E1162" s="181" t="n">
        <v>42</v>
      </c>
      <c r="F1162" s="182" t="n">
        <v>80</v>
      </c>
      <c r="G1162" s="172" t="inlineStr">
        <is>
          <t>No</t>
        </is>
      </c>
      <c r="H1162" s="170">
        <f>IF(A1162="","",IF(OR(NOT(ISNUMBER(C1162)),C1162=""),"No",IF(AND(HOUR(C1162)&gt;=0,HOUR(C1162)&lt;5),"Yes","No")))</f>
        <v/>
      </c>
      <c r="I1162" s="183">
        <f>IF(OR(B1162="",NOT(ISNUMBER(B1162))),"",INT(B1162))</f>
        <v/>
      </c>
    </row>
    <row r="1163" ht="15" customHeight="1" s="122">
      <c r="A1163" s="179" t="inlineStr">
        <is>
          <t>KBB 104Q</t>
        </is>
      </c>
      <c r="B1163" s="172" t="inlineStr">
        <is>
          <t>24-02-2026 10:43:43</t>
        </is>
      </c>
      <c r="C1163" s="172" t="inlineStr">
        <is>
          <t>24-02-2026 10:44:54</t>
        </is>
      </c>
      <c r="D1163" s="173" t="inlineStr">
        <is>
          <t>0.08 Km</t>
        </is>
      </c>
      <c r="E1163" s="181" t="n">
        <v>7</v>
      </c>
      <c r="F1163" s="182" t="n">
        <v>10</v>
      </c>
      <c r="G1163" s="172" t="inlineStr">
        <is>
          <t>No</t>
        </is>
      </c>
      <c r="H1163" s="170">
        <f>IF(A1163="","",IF(OR(NOT(ISNUMBER(C1163)),C1163=""),"No",IF(AND(HOUR(C1163)&gt;=0,HOUR(C1163)&lt;5),"Yes","No")))</f>
        <v/>
      </c>
      <c r="I1163" s="183">
        <f>IF(OR(B1163="",NOT(ISNUMBER(B1163))),"",INT(B1163))</f>
        <v/>
      </c>
    </row>
    <row r="1164" ht="15" customHeight="1" s="122">
      <c r="A1164" s="179" t="inlineStr">
        <is>
          <t>KBB 104Q</t>
        </is>
      </c>
      <c r="B1164" s="172" t="inlineStr">
        <is>
          <t>24-02-2026 12:10:37</t>
        </is>
      </c>
      <c r="C1164" s="172" t="inlineStr">
        <is>
          <t>24-02-2026 13:15:36</t>
        </is>
      </c>
      <c r="D1164" s="173" t="inlineStr">
        <is>
          <t>52.07 Km</t>
        </is>
      </c>
      <c r="E1164" s="181" t="n">
        <v>49</v>
      </c>
      <c r="F1164" s="182" t="n">
        <v>89</v>
      </c>
      <c r="G1164" s="172" t="inlineStr">
        <is>
          <t>No</t>
        </is>
      </c>
      <c r="H1164" s="170">
        <f>IF(A1164="","",IF(OR(NOT(ISNUMBER(C1164)),C1164=""),"No",IF(AND(HOUR(C1164)&gt;=0,HOUR(C1164)&lt;5),"Yes","No")))</f>
        <v/>
      </c>
      <c r="I1164" s="183">
        <f>IF(OR(B1164="",NOT(ISNUMBER(B1164))),"",INT(B1164))</f>
        <v/>
      </c>
    </row>
    <row r="1165" ht="15" customHeight="1" s="122">
      <c r="A1165" s="179" t="inlineStr">
        <is>
          <t>KBB 104Q</t>
        </is>
      </c>
      <c r="B1165" s="172" t="inlineStr">
        <is>
          <t>24-02-2026 13:20:06</t>
        </is>
      </c>
      <c r="C1165" s="172" t="inlineStr">
        <is>
          <t>24-02-2026 13:44:12</t>
        </is>
      </c>
      <c r="D1165" s="173" t="inlineStr">
        <is>
          <t>20.52 Km</t>
        </is>
      </c>
      <c r="E1165" s="181" t="n">
        <v>55</v>
      </c>
      <c r="F1165" s="182" t="n">
        <v>90</v>
      </c>
      <c r="G1165" s="172" t="inlineStr">
        <is>
          <t>No</t>
        </is>
      </c>
      <c r="H1165" s="170">
        <f>IF(A1165="","",IF(OR(NOT(ISNUMBER(C1165)),C1165=""),"No",IF(AND(HOUR(C1165)&gt;=0,HOUR(C1165)&lt;5),"Yes","No")))</f>
        <v/>
      </c>
      <c r="I1165" s="183">
        <f>IF(OR(B1165="",NOT(ISNUMBER(B1165))),"",INT(B1165))</f>
        <v/>
      </c>
    </row>
    <row r="1166" ht="15" customHeight="1" s="122">
      <c r="A1166" s="179" t="inlineStr">
        <is>
          <t>KBB 104Q</t>
        </is>
      </c>
      <c r="B1166" s="172" t="inlineStr">
        <is>
          <t>24-02-2026 13:45:22</t>
        </is>
      </c>
      <c r="C1166" s="172" t="inlineStr">
        <is>
          <t>24-02-2026 13:54:26</t>
        </is>
      </c>
      <c r="D1166" s="173" t="inlineStr">
        <is>
          <t>3.53 Km</t>
        </is>
      </c>
      <c r="E1166" s="181" t="n">
        <v>31</v>
      </c>
      <c r="F1166" s="182" t="n">
        <v>70</v>
      </c>
      <c r="G1166" s="172" t="inlineStr">
        <is>
          <t>No</t>
        </is>
      </c>
      <c r="H1166" s="170">
        <f>IF(A1166="","",IF(OR(NOT(ISNUMBER(C1166)),C1166=""),"No",IF(AND(HOUR(C1166)&gt;=0,HOUR(C1166)&lt;5),"Yes","No")))</f>
        <v/>
      </c>
      <c r="I1166" s="183">
        <f>IF(OR(B1166="",NOT(ISNUMBER(B1166))),"",INT(B1166))</f>
        <v/>
      </c>
    </row>
    <row r="1167" ht="15" customHeight="1" s="122">
      <c r="A1167" s="179" t="inlineStr">
        <is>
          <t>KBB 104Q</t>
        </is>
      </c>
      <c r="B1167" s="172" t="inlineStr">
        <is>
          <t>24-02-2026 20:52:01</t>
        </is>
      </c>
      <c r="C1167" s="172" t="inlineStr">
        <is>
          <t>24-02-2026 20:57:42</t>
        </is>
      </c>
      <c r="D1167" s="173" t="inlineStr">
        <is>
          <t>2.71 Km</t>
        </is>
      </c>
      <c r="E1167" s="181" t="n">
        <v>24</v>
      </c>
      <c r="F1167" s="182" t="n">
        <v>56</v>
      </c>
      <c r="G1167" s="172" t="inlineStr">
        <is>
          <t>No</t>
        </is>
      </c>
      <c r="H1167" s="170">
        <f>IF(A1167="","",IF(OR(NOT(ISNUMBER(C1167)),C1167=""),"No",IF(AND(HOUR(C1167)&gt;=0,HOUR(C1167)&lt;5),"Yes","No")))</f>
        <v/>
      </c>
      <c r="I1167" s="183">
        <f>IF(OR(B1167="",NOT(ISNUMBER(B1167))),"",INT(B1167))</f>
        <v/>
      </c>
    </row>
    <row r="1168" ht="15" customHeight="1" s="122">
      <c r="A1168" s="179" t="inlineStr">
        <is>
          <t>KBB 104Q</t>
        </is>
      </c>
      <c r="B1168" s="172" t="inlineStr">
        <is>
          <t>25-02-2026 06:04:21</t>
        </is>
      </c>
      <c r="C1168" s="172" t="inlineStr">
        <is>
          <t>25-02-2026 06:44:26</t>
        </is>
      </c>
      <c r="D1168" s="173" t="inlineStr">
        <is>
          <t>47.94 Km</t>
        </is>
      </c>
      <c r="E1168" s="181" t="n">
        <v>71</v>
      </c>
      <c r="F1168" s="182" t="n">
        <v>111</v>
      </c>
      <c r="G1168" s="172" t="inlineStr">
        <is>
          <t>No</t>
        </is>
      </c>
      <c r="H1168" s="170">
        <f>IF(A1168="","",IF(OR(NOT(ISNUMBER(C1168)),C1168=""),"No",IF(AND(HOUR(C1168)&gt;=0,HOUR(C1168)&lt;5),"Yes","No")))</f>
        <v/>
      </c>
      <c r="I1168" s="183">
        <f>IF(OR(B1168="",NOT(ISNUMBER(B1168))),"",INT(B1168))</f>
        <v/>
      </c>
    </row>
    <row r="1169" ht="15" customHeight="1" s="122">
      <c r="A1169" s="179" t="inlineStr">
        <is>
          <t>KBB 104Q</t>
        </is>
      </c>
      <c r="B1169" s="172" t="inlineStr">
        <is>
          <t>25-02-2026 07:03:17</t>
        </is>
      </c>
      <c r="C1169" s="172" t="inlineStr">
        <is>
          <t>25-02-2026 07:04:50</t>
        </is>
      </c>
      <c r="D1169" s="173" t="inlineStr">
        <is>
          <t>0.04 Km</t>
        </is>
      </c>
      <c r="E1169" s="181" t="n">
        <v>6</v>
      </c>
      <c r="F1169" s="182" t="n">
        <v>8</v>
      </c>
      <c r="G1169" s="172" t="inlineStr">
        <is>
          <t>No</t>
        </is>
      </c>
      <c r="H1169" s="170">
        <f>IF(A1169="","",IF(OR(NOT(ISNUMBER(C1169)),C1169=""),"No",IF(AND(HOUR(C1169)&gt;=0,HOUR(C1169)&lt;5),"Yes","No")))</f>
        <v/>
      </c>
      <c r="I1169" s="183">
        <f>IF(OR(B1169="",NOT(ISNUMBER(B1169))),"",INT(B1169))</f>
        <v/>
      </c>
    </row>
    <row r="1170" ht="15" customHeight="1" s="122">
      <c r="A1170" s="179" t="inlineStr">
        <is>
          <t>KBB 104Q</t>
        </is>
      </c>
      <c r="B1170" s="172" t="inlineStr">
        <is>
          <t>25-02-2026 07:08:12</t>
        </is>
      </c>
      <c r="C1170" s="172" t="inlineStr">
        <is>
          <t>25-02-2026 07:53:04</t>
        </is>
      </c>
      <c r="D1170" s="173" t="inlineStr">
        <is>
          <t>48.9 Km</t>
        </is>
      </c>
      <c r="E1170" s="181" t="n">
        <v>67</v>
      </c>
      <c r="F1170" s="182" t="n">
        <v>107</v>
      </c>
      <c r="G1170" s="172" t="inlineStr">
        <is>
          <t>No</t>
        </is>
      </c>
      <c r="H1170" s="170">
        <f>IF(A1170="","",IF(OR(NOT(ISNUMBER(C1170)),C1170=""),"No",IF(AND(HOUR(C1170)&gt;=0,HOUR(C1170)&lt;5),"Yes","No")))</f>
        <v/>
      </c>
      <c r="I1170" s="183">
        <f>IF(OR(B1170="",NOT(ISNUMBER(B1170))),"",INT(B1170))</f>
        <v/>
      </c>
    </row>
    <row r="1171" ht="15" customHeight="1" s="122">
      <c r="A1171" s="179" t="inlineStr">
        <is>
          <t>KBB 104Q</t>
        </is>
      </c>
      <c r="B1171" s="172" t="inlineStr">
        <is>
          <t>25-02-2026 09:10:22</t>
        </is>
      </c>
      <c r="C1171" s="172" t="inlineStr">
        <is>
          <t>25-02-2026 09:35:43</t>
        </is>
      </c>
      <c r="D1171" s="173" t="inlineStr">
        <is>
          <t>18.16 Km</t>
        </is>
      </c>
      <c r="E1171" s="181" t="n">
        <v>41</v>
      </c>
      <c r="F1171" s="182" t="n">
        <v>80</v>
      </c>
      <c r="G1171" s="172" t="inlineStr">
        <is>
          <t>No</t>
        </is>
      </c>
      <c r="H1171" s="170">
        <f>IF(A1171="","",IF(OR(NOT(ISNUMBER(C1171)),C1171=""),"No",IF(AND(HOUR(C1171)&gt;=0,HOUR(C1171)&lt;5),"Yes","No")))</f>
        <v/>
      </c>
      <c r="I1171" s="183">
        <f>IF(OR(B1171="",NOT(ISNUMBER(B1171))),"",INT(B1171))</f>
        <v/>
      </c>
    </row>
    <row r="1172" ht="15" customHeight="1" s="122">
      <c r="A1172" s="179" t="inlineStr">
        <is>
          <t>KBB 104Q</t>
        </is>
      </c>
      <c r="B1172" s="172" t="inlineStr">
        <is>
          <t>25-02-2026 09:51:37</t>
        </is>
      </c>
      <c r="C1172" s="172" t="inlineStr">
        <is>
          <t>25-02-2026 09:54:58</t>
        </is>
      </c>
      <c r="D1172" s="173" t="inlineStr">
        <is>
          <t>0.13 Km</t>
        </is>
      </c>
      <c r="E1172" s="181" t="n">
        <v>7</v>
      </c>
      <c r="F1172" s="182" t="n">
        <v>16</v>
      </c>
      <c r="G1172" s="172" t="inlineStr">
        <is>
          <t>No</t>
        </is>
      </c>
      <c r="H1172" s="170">
        <f>IF(A1172="","",IF(OR(NOT(ISNUMBER(C1172)),C1172=""),"No",IF(AND(HOUR(C1172)&gt;=0,HOUR(C1172)&lt;5),"Yes","No")))</f>
        <v/>
      </c>
      <c r="I1172" s="183">
        <f>IF(OR(B1172="",NOT(ISNUMBER(B1172))),"",INT(B1172))</f>
        <v/>
      </c>
    </row>
    <row r="1173" ht="15" customHeight="1" s="122">
      <c r="A1173" s="179" t="inlineStr">
        <is>
          <t>KBB 104Q</t>
        </is>
      </c>
      <c r="B1173" s="172" t="inlineStr">
        <is>
          <t>25-02-2026 14:16:26</t>
        </is>
      </c>
      <c r="C1173" s="172" t="inlineStr">
        <is>
          <t>25-02-2026 14:27:03</t>
        </is>
      </c>
      <c r="D1173" s="173" t="inlineStr">
        <is>
          <t>0.75 Km</t>
        </is>
      </c>
      <c r="E1173" s="181" t="n">
        <v>9</v>
      </c>
      <c r="F1173" s="182" t="n">
        <v>28</v>
      </c>
      <c r="G1173" s="172" t="inlineStr">
        <is>
          <t>No</t>
        </is>
      </c>
      <c r="H1173" s="170">
        <f>IF(A1173="","",IF(OR(NOT(ISNUMBER(C1173)),C1173=""),"No",IF(AND(HOUR(C1173)&gt;=0,HOUR(C1173)&lt;5),"Yes","No")))</f>
        <v/>
      </c>
      <c r="I1173" s="183">
        <f>IF(OR(B1173="",NOT(ISNUMBER(B1173))),"",INT(B1173))</f>
        <v/>
      </c>
    </row>
    <row r="1174" ht="15" customHeight="1" s="122">
      <c r="A1174" s="179" t="inlineStr">
        <is>
          <t>KBB 104Q</t>
        </is>
      </c>
      <c r="B1174" s="172" t="inlineStr">
        <is>
          <t>25-02-2026 14:32:19</t>
        </is>
      </c>
      <c r="C1174" s="172" t="inlineStr">
        <is>
          <t>25-02-2026 14:33:20</t>
        </is>
      </c>
      <c r="D1174" s="173" t="inlineStr">
        <is>
          <t>0 Km</t>
        </is>
      </c>
      <c r="E1174" s="181" t="n">
        <v>6</v>
      </c>
      <c r="F1174" s="182" t="n">
        <v>6</v>
      </c>
      <c r="G1174" s="172" t="inlineStr">
        <is>
          <t>No</t>
        </is>
      </c>
      <c r="H1174" s="170">
        <f>IF(A1174="","",IF(OR(NOT(ISNUMBER(C1174)),C1174=""),"No",IF(AND(HOUR(C1174)&gt;=0,HOUR(C1174)&lt;5),"Yes","No")))</f>
        <v/>
      </c>
      <c r="I1174" s="183">
        <f>IF(OR(B1174="",NOT(ISNUMBER(B1174))),"",INT(B1174))</f>
        <v/>
      </c>
    </row>
    <row r="1175" ht="15" customHeight="1" s="122">
      <c r="A1175" s="179" t="inlineStr">
        <is>
          <t>KBB 104Q</t>
        </is>
      </c>
      <c r="B1175" s="172" t="inlineStr">
        <is>
          <t>25-02-2026 14:37:01</t>
        </is>
      </c>
      <c r="C1175" s="172" t="inlineStr">
        <is>
          <t>25-02-2026 15:18:56</t>
        </is>
      </c>
      <c r="D1175" s="173" t="inlineStr">
        <is>
          <t>25.77 Km</t>
        </is>
      </c>
      <c r="E1175" s="181" t="n">
        <v>41</v>
      </c>
      <c r="F1175" s="182" t="n">
        <v>83</v>
      </c>
      <c r="G1175" s="172" t="inlineStr">
        <is>
          <t>No</t>
        </is>
      </c>
      <c r="H1175" s="170">
        <f>IF(A1175="","",IF(OR(NOT(ISNUMBER(C1175)),C1175=""),"No",IF(AND(HOUR(C1175)&gt;=0,HOUR(C1175)&lt;5),"Yes","No")))</f>
        <v/>
      </c>
      <c r="I1175" s="183">
        <f>IF(OR(B1175="",NOT(ISNUMBER(B1175))),"",INT(B1175))</f>
        <v/>
      </c>
    </row>
    <row r="1176" ht="15" customHeight="1" s="122">
      <c r="A1176" s="179" t="inlineStr">
        <is>
          <t>KBB 104Q</t>
        </is>
      </c>
      <c r="B1176" s="172" t="inlineStr">
        <is>
          <t>25-02-2026 15:25:56</t>
        </is>
      </c>
      <c r="C1176" s="172" t="inlineStr">
        <is>
          <t>25-02-2026 15:27:03</t>
        </is>
      </c>
      <c r="D1176" s="173" t="inlineStr">
        <is>
          <t>0.05 Km</t>
        </is>
      </c>
      <c r="E1176" s="181" t="n">
        <v>7</v>
      </c>
      <c r="F1176" s="182" t="n">
        <v>10</v>
      </c>
      <c r="G1176" s="172" t="inlineStr">
        <is>
          <t>No</t>
        </is>
      </c>
      <c r="H1176" s="170">
        <f>IF(A1176="","",IF(OR(NOT(ISNUMBER(C1176)),C1176=""),"No",IF(AND(HOUR(C1176)&gt;=0,HOUR(C1176)&lt;5),"Yes","No")))</f>
        <v/>
      </c>
      <c r="I1176" s="183">
        <f>IF(OR(B1176="",NOT(ISNUMBER(B1176))),"",INT(B1176))</f>
        <v/>
      </c>
    </row>
    <row r="1177" ht="15" customHeight="1" s="122">
      <c r="A1177" s="179" t="inlineStr">
        <is>
          <t>KBB 104Q</t>
        </is>
      </c>
      <c r="B1177" s="172" t="inlineStr">
        <is>
          <t>25-02-2026 15:35:18</t>
        </is>
      </c>
      <c r="C1177" s="172" t="inlineStr">
        <is>
          <t>25-02-2026 16:11:24</t>
        </is>
      </c>
      <c r="D1177" s="173" t="inlineStr">
        <is>
          <t>34.82 Km</t>
        </is>
      </c>
      <c r="E1177" s="181" t="n">
        <v>62</v>
      </c>
      <c r="F1177" s="182" t="n">
        <v>102</v>
      </c>
      <c r="G1177" s="172" t="inlineStr">
        <is>
          <t>No</t>
        </is>
      </c>
      <c r="H1177" s="170">
        <f>IF(A1177="","",IF(OR(NOT(ISNUMBER(C1177)),C1177=""),"No",IF(AND(HOUR(C1177)&gt;=0,HOUR(C1177)&lt;5),"Yes","No")))</f>
        <v/>
      </c>
      <c r="I1177" s="183">
        <f>IF(OR(B1177="",NOT(ISNUMBER(B1177))),"",INT(B1177))</f>
        <v/>
      </c>
    </row>
    <row r="1178" ht="15" customHeight="1" s="122">
      <c r="A1178" s="179" t="inlineStr">
        <is>
          <t>KBB 104Q</t>
        </is>
      </c>
      <c r="B1178" s="172" t="inlineStr">
        <is>
          <t>25-02-2026 16:14:01</t>
        </is>
      </c>
      <c r="C1178" s="172" t="inlineStr">
        <is>
          <t>25-02-2026 16:17:44</t>
        </is>
      </c>
      <c r="D1178" s="173" t="inlineStr">
        <is>
          <t>2.43 Km</t>
        </is>
      </c>
      <c r="E1178" s="181" t="n">
        <v>50</v>
      </c>
      <c r="F1178" s="182" t="n">
        <v>93</v>
      </c>
      <c r="G1178" s="172" t="inlineStr">
        <is>
          <t>No</t>
        </is>
      </c>
      <c r="H1178" s="170">
        <f>IF(A1178="","",IF(OR(NOT(ISNUMBER(C1178)),C1178=""),"No",IF(AND(HOUR(C1178)&gt;=0,HOUR(C1178)&lt;5),"Yes","No")))</f>
        <v/>
      </c>
      <c r="I1178" s="183">
        <f>IF(OR(B1178="",NOT(ISNUMBER(B1178))),"",INT(B1178))</f>
        <v/>
      </c>
    </row>
    <row r="1179" ht="15" customHeight="1" s="122">
      <c r="A1179" s="179" t="inlineStr">
        <is>
          <t>KBB 104Q</t>
        </is>
      </c>
      <c r="B1179" s="172" t="inlineStr">
        <is>
          <t>25-02-2026 16:18:00</t>
        </is>
      </c>
      <c r="C1179" s="172" t="inlineStr">
        <is>
          <t>25-02-2026 16:20:12</t>
        </is>
      </c>
      <c r="D1179" s="173" t="inlineStr">
        <is>
          <t>0.07 Km</t>
        </is>
      </c>
      <c r="E1179" s="181" t="n">
        <v>7</v>
      </c>
      <c r="F1179" s="182" t="n">
        <v>8</v>
      </c>
      <c r="G1179" s="172" t="inlineStr">
        <is>
          <t>No</t>
        </is>
      </c>
      <c r="H1179" s="170">
        <f>IF(A1179="","",IF(OR(NOT(ISNUMBER(C1179)),C1179=""),"No",IF(AND(HOUR(C1179)&gt;=0,HOUR(C1179)&lt;5),"Yes","No")))</f>
        <v/>
      </c>
      <c r="I1179" s="183">
        <f>IF(OR(B1179="",NOT(ISNUMBER(B1179))),"",INT(B1179))</f>
        <v/>
      </c>
    </row>
    <row r="1180" ht="15" customHeight="1" s="122">
      <c r="A1180" s="179" t="inlineStr">
        <is>
          <t>KBB 104Q</t>
        </is>
      </c>
      <c r="B1180" s="172" t="inlineStr">
        <is>
          <t>25-02-2026 16:27:32</t>
        </is>
      </c>
      <c r="C1180" s="172" t="inlineStr">
        <is>
          <t>25-02-2026 17:22:08</t>
        </is>
      </c>
      <c r="D1180" s="173" t="inlineStr">
        <is>
          <t>50.31 Km</t>
        </is>
      </c>
      <c r="E1180" s="181" t="n">
        <v>58</v>
      </c>
      <c r="F1180" s="182" t="n">
        <v>99</v>
      </c>
      <c r="G1180" s="172" t="inlineStr">
        <is>
          <t>No</t>
        </is>
      </c>
      <c r="H1180" s="170">
        <f>IF(A1180="","",IF(OR(NOT(ISNUMBER(C1180)),C1180=""),"No",IF(AND(HOUR(C1180)&gt;=0,HOUR(C1180)&lt;5),"Yes","No")))</f>
        <v/>
      </c>
      <c r="I1180" s="183">
        <f>IF(OR(B1180="",NOT(ISNUMBER(B1180))),"",INT(B1180))</f>
        <v/>
      </c>
    </row>
    <row r="1181" ht="15" customHeight="1" s="122">
      <c r="A1181" s="179" t="inlineStr">
        <is>
          <t>KBB 104Q</t>
        </is>
      </c>
      <c r="B1181" s="172" t="inlineStr">
        <is>
          <t>25-02-2026 17:22:18</t>
        </is>
      </c>
      <c r="C1181" s="172" t="inlineStr">
        <is>
          <t>25-02-2026 17:32:58</t>
        </is>
      </c>
      <c r="D1181" s="173" t="inlineStr">
        <is>
          <t>1.62 Km</t>
        </is>
      </c>
      <c r="E1181" s="181" t="n">
        <v>10</v>
      </c>
      <c r="F1181" s="182" t="n">
        <v>20</v>
      </c>
      <c r="G1181" s="172" t="inlineStr">
        <is>
          <t>No</t>
        </is>
      </c>
      <c r="H1181" s="170">
        <f>IF(A1181="","",IF(OR(NOT(ISNUMBER(C1181)),C1181=""),"No",IF(AND(HOUR(C1181)&gt;=0,HOUR(C1181)&lt;5),"Yes","No")))</f>
        <v/>
      </c>
      <c r="I1181" s="183">
        <f>IF(OR(B1181="",NOT(ISNUMBER(B1181))),"",INT(B1181))</f>
        <v/>
      </c>
    </row>
    <row r="1182" ht="15" customHeight="1" s="122">
      <c r="A1182" s="179" t="inlineStr">
        <is>
          <t>KBB 104Q</t>
        </is>
      </c>
      <c r="B1182" s="172" t="inlineStr">
        <is>
          <t>25-02-2026 17:45:41</t>
        </is>
      </c>
      <c r="C1182" s="172" t="inlineStr">
        <is>
          <t>25-02-2026 17:55:18</t>
        </is>
      </c>
      <c r="D1182" s="173" t="inlineStr">
        <is>
          <t>1.39 Km</t>
        </is>
      </c>
      <c r="E1182" s="181" t="n">
        <v>13</v>
      </c>
      <c r="F1182" s="182" t="n">
        <v>30</v>
      </c>
      <c r="G1182" s="172" t="inlineStr">
        <is>
          <t>No</t>
        </is>
      </c>
      <c r="H1182" s="170">
        <f>IF(A1182="","",IF(OR(NOT(ISNUMBER(C1182)),C1182=""),"No",IF(AND(HOUR(C1182)&gt;=0,HOUR(C1182)&lt;5),"Yes","No")))</f>
        <v/>
      </c>
      <c r="I1182" s="183">
        <f>IF(OR(B1182="",NOT(ISNUMBER(B1182))),"",INT(B1182))</f>
        <v/>
      </c>
    </row>
    <row r="1183" ht="15" customHeight="1" s="122">
      <c r="A1183" s="179" t="inlineStr">
        <is>
          <t>KBB 104Q</t>
        </is>
      </c>
      <c r="B1183" s="172" t="inlineStr">
        <is>
          <t>25-02-2026 18:46:36</t>
        </is>
      </c>
      <c r="C1183" s="172" t="inlineStr">
        <is>
          <t>25-02-2026 18:54:40</t>
        </is>
      </c>
      <c r="D1183" s="173" t="inlineStr">
        <is>
          <t>1.38 Km</t>
        </is>
      </c>
      <c r="E1183" s="181" t="n">
        <v>11</v>
      </c>
      <c r="F1183" s="182" t="n">
        <v>26</v>
      </c>
      <c r="G1183" s="172" t="inlineStr">
        <is>
          <t>No</t>
        </is>
      </c>
      <c r="H1183" s="170">
        <f>IF(A1183="","",IF(OR(NOT(ISNUMBER(C1183)),C1183=""),"No",IF(AND(HOUR(C1183)&gt;=0,HOUR(C1183)&lt;5),"Yes","No")))</f>
        <v/>
      </c>
      <c r="I1183" s="183">
        <f>IF(OR(B1183="",NOT(ISNUMBER(B1183))),"",INT(B1183))</f>
        <v/>
      </c>
    </row>
    <row r="1184" ht="15" customHeight="1" s="122">
      <c r="A1184" s="179" t="inlineStr">
        <is>
          <t>KBB 104Q</t>
        </is>
      </c>
      <c r="B1184" s="172" t="inlineStr">
        <is>
          <t>25-02-2026 19:00:28</t>
        </is>
      </c>
      <c r="C1184" s="172" t="inlineStr">
        <is>
          <t>25-02-2026 19:08:42</t>
        </is>
      </c>
      <c r="D1184" s="173" t="inlineStr">
        <is>
          <t>0.79 Km</t>
        </is>
      </c>
      <c r="E1184" s="181" t="n">
        <v>10</v>
      </c>
      <c r="F1184" s="182" t="n">
        <v>25</v>
      </c>
      <c r="G1184" s="172" t="inlineStr">
        <is>
          <t>No</t>
        </is>
      </c>
      <c r="H1184" s="170">
        <f>IF(A1184="","",IF(OR(NOT(ISNUMBER(C1184)),C1184=""),"No",IF(AND(HOUR(C1184)&gt;=0,HOUR(C1184)&lt;5),"Yes","No")))</f>
        <v/>
      </c>
      <c r="I1184" s="183">
        <f>IF(OR(B1184="",NOT(ISNUMBER(B1184))),"",INT(B1184))</f>
        <v/>
      </c>
    </row>
    <row r="1185" ht="15" customHeight="1" s="122">
      <c r="A1185" s="179" t="inlineStr">
        <is>
          <t>KBB 104Q</t>
        </is>
      </c>
      <c r="B1185" s="172" t="inlineStr">
        <is>
          <t>25-02-2026 19:15:45</t>
        </is>
      </c>
      <c r="C1185" s="172" t="inlineStr">
        <is>
          <t>25-02-2026 19:29:40</t>
        </is>
      </c>
      <c r="D1185" s="173" t="inlineStr">
        <is>
          <t>5.09 Km</t>
        </is>
      </c>
      <c r="E1185" s="181" t="n">
        <v>20</v>
      </c>
      <c r="F1185" s="182" t="n">
        <v>63</v>
      </c>
      <c r="G1185" s="172" t="inlineStr">
        <is>
          <t>No</t>
        </is>
      </c>
      <c r="H1185" s="170">
        <f>IF(A1185="","",IF(OR(NOT(ISNUMBER(C1185)),C1185=""),"No",IF(AND(HOUR(C1185)&gt;=0,HOUR(C1185)&lt;5),"Yes","No")))</f>
        <v/>
      </c>
      <c r="I1185" s="183">
        <f>IF(OR(B1185="",NOT(ISNUMBER(B1185))),"",INT(B1185))</f>
        <v/>
      </c>
    </row>
    <row r="1186" ht="15" customHeight="1" s="122">
      <c r="A1186" s="179" t="inlineStr">
        <is>
          <t>KBB 104Q</t>
        </is>
      </c>
      <c r="B1186" s="172" t="inlineStr">
        <is>
          <t>25-02-2026 19:31:25</t>
        </is>
      </c>
      <c r="C1186" s="172" t="inlineStr">
        <is>
          <t>25-02-2026 19:35:04</t>
        </is>
      </c>
      <c r="D1186" s="173" t="inlineStr">
        <is>
          <t>0.63 Km</t>
        </is>
      </c>
      <c r="E1186" s="181" t="n">
        <v>15</v>
      </c>
      <c r="F1186" s="182" t="n">
        <v>34</v>
      </c>
      <c r="G1186" s="172" t="inlineStr">
        <is>
          <t>No</t>
        </is>
      </c>
      <c r="H1186" s="170">
        <f>IF(A1186="","",IF(OR(NOT(ISNUMBER(C1186)),C1186=""),"No",IF(AND(HOUR(C1186)&gt;=0,HOUR(C1186)&lt;5),"Yes","No")))</f>
        <v/>
      </c>
      <c r="I1186" s="183">
        <f>IF(OR(B1186="",NOT(ISNUMBER(B1186))),"",INT(B1186))</f>
        <v/>
      </c>
    </row>
    <row r="1187" ht="15" customHeight="1" s="122">
      <c r="A1187" s="179" t="inlineStr">
        <is>
          <t>KBB 104Q</t>
        </is>
      </c>
      <c r="B1187" s="172" t="inlineStr">
        <is>
          <t>26-02-2026 08:34:34</t>
        </is>
      </c>
      <c r="C1187" s="172" t="inlineStr">
        <is>
          <t>26-02-2026 10:26:22</t>
        </is>
      </c>
      <c r="D1187" s="173" t="inlineStr">
        <is>
          <t>108.51 Km</t>
        </is>
      </c>
      <c r="E1187" s="181" t="n">
        <v>62</v>
      </c>
      <c r="F1187" s="182" t="n">
        <v>110</v>
      </c>
      <c r="G1187" s="172" t="inlineStr">
        <is>
          <t>No</t>
        </is>
      </c>
      <c r="H1187" s="170">
        <f>IF(A1187="","",IF(OR(NOT(ISNUMBER(C1187)),C1187=""),"No",IF(AND(HOUR(C1187)&gt;=0,HOUR(C1187)&lt;5),"Yes","No")))</f>
        <v/>
      </c>
      <c r="I1187" s="183">
        <f>IF(OR(B1187="",NOT(ISNUMBER(B1187))),"",INT(B1187))</f>
        <v/>
      </c>
    </row>
    <row r="1188" ht="15" customHeight="1" s="122">
      <c r="A1188" s="179" t="inlineStr">
        <is>
          <t>KBB 104Q</t>
        </is>
      </c>
      <c r="B1188" s="172" t="inlineStr">
        <is>
          <t>26-02-2026 14:41:00</t>
        </is>
      </c>
      <c r="C1188" s="172" t="inlineStr">
        <is>
          <t>26-02-2026 15:45:11</t>
        </is>
      </c>
      <c r="D1188" s="173" t="inlineStr">
        <is>
          <t>52.17 Km</t>
        </is>
      </c>
      <c r="E1188" s="181" t="n">
        <v>50</v>
      </c>
      <c r="F1188" s="182" t="n">
        <v>102</v>
      </c>
      <c r="G1188" s="172" t="inlineStr">
        <is>
          <t>No</t>
        </is>
      </c>
      <c r="H1188" s="170">
        <f>IF(A1188="","",IF(OR(NOT(ISNUMBER(C1188)),C1188=""),"No",IF(AND(HOUR(C1188)&gt;=0,HOUR(C1188)&lt;5),"Yes","No")))</f>
        <v/>
      </c>
      <c r="I1188" s="183">
        <f>IF(OR(B1188="",NOT(ISNUMBER(B1188))),"",INT(B1188))</f>
        <v/>
      </c>
    </row>
    <row r="1189" ht="15" customHeight="1" s="122">
      <c r="A1189" s="179" t="inlineStr">
        <is>
          <t>KBB 104Q</t>
        </is>
      </c>
      <c r="B1189" s="172" t="inlineStr">
        <is>
          <t>26-02-2026 15:54:27</t>
        </is>
      </c>
      <c r="C1189" s="172" t="inlineStr">
        <is>
          <t>26-02-2026 15:55:40</t>
        </is>
      </c>
      <c r="D1189" s="173" t="inlineStr">
        <is>
          <t>0.05 Km</t>
        </is>
      </c>
      <c r="E1189" s="181" t="n">
        <v>8</v>
      </c>
      <c r="F1189" s="182" t="n">
        <v>9</v>
      </c>
      <c r="G1189" s="172" t="inlineStr">
        <is>
          <t>No</t>
        </is>
      </c>
      <c r="H1189" s="170">
        <f>IF(A1189="","",IF(OR(NOT(ISNUMBER(C1189)),C1189=""),"No",IF(AND(HOUR(C1189)&gt;=0,HOUR(C1189)&lt;5),"Yes","No")))</f>
        <v/>
      </c>
      <c r="I1189" s="183">
        <f>IF(OR(B1189="",NOT(ISNUMBER(B1189))),"",INT(B1189))</f>
        <v/>
      </c>
    </row>
    <row r="1190" ht="15" customHeight="1" s="122">
      <c r="A1190" s="179" t="inlineStr">
        <is>
          <t>KBB 104Q</t>
        </is>
      </c>
      <c r="B1190" s="172" t="inlineStr">
        <is>
          <t>26-02-2026 15:59:24</t>
        </is>
      </c>
      <c r="C1190" s="172" t="inlineStr">
        <is>
          <t>26-02-2026 16:09:03</t>
        </is>
      </c>
      <c r="D1190" s="173" t="inlineStr">
        <is>
          <t>9.34 Km</t>
        </is>
      </c>
      <c r="E1190" s="181" t="n">
        <v>62</v>
      </c>
      <c r="F1190" s="182" t="n">
        <v>91</v>
      </c>
      <c r="G1190" s="172" t="inlineStr">
        <is>
          <t>No</t>
        </is>
      </c>
      <c r="H1190" s="170">
        <f>IF(A1190="","",IF(OR(NOT(ISNUMBER(C1190)),C1190=""),"No",IF(AND(HOUR(C1190)&gt;=0,HOUR(C1190)&lt;5),"Yes","No")))</f>
        <v/>
      </c>
      <c r="I1190" s="183">
        <f>IF(OR(B1190="",NOT(ISNUMBER(B1190))),"",INT(B1190))</f>
        <v/>
      </c>
    </row>
    <row r="1191" ht="15" customHeight="1" s="122">
      <c r="A1191" s="179" t="inlineStr">
        <is>
          <t>KBB 104Q</t>
        </is>
      </c>
      <c r="B1191" s="172" t="inlineStr">
        <is>
          <t>26-02-2026 16:11:15</t>
        </is>
      </c>
      <c r="C1191" s="172" t="inlineStr">
        <is>
          <t>26-02-2026 16:12:15</t>
        </is>
      </c>
      <c r="D1191" s="173" t="inlineStr">
        <is>
          <t>0 Km</t>
        </is>
      </c>
      <c r="E1191" s="181" t="n">
        <v>6</v>
      </c>
      <c r="F1191" s="182" t="n">
        <v>6</v>
      </c>
      <c r="G1191" s="172" t="inlineStr">
        <is>
          <t>No</t>
        </is>
      </c>
      <c r="H1191" s="170">
        <f>IF(A1191="","",IF(OR(NOT(ISNUMBER(C1191)),C1191=""),"No",IF(AND(HOUR(C1191)&gt;=0,HOUR(C1191)&lt;5),"Yes","No")))</f>
        <v/>
      </c>
      <c r="I1191" s="183">
        <f>IF(OR(B1191="",NOT(ISNUMBER(B1191))),"",INT(B1191))</f>
        <v/>
      </c>
    </row>
    <row r="1192" ht="15" customHeight="1" s="122">
      <c r="A1192" s="179" t="inlineStr">
        <is>
          <t>KBB 104Q</t>
        </is>
      </c>
      <c r="B1192" s="172" t="inlineStr">
        <is>
          <t>26-02-2026 16:14:37</t>
        </is>
      </c>
      <c r="C1192" s="172" t="inlineStr">
        <is>
          <t>26-02-2026 16:53:43</t>
        </is>
      </c>
      <c r="D1192" s="173" t="inlineStr">
        <is>
          <t>37.51 Km</t>
        </is>
      </c>
      <c r="E1192" s="181" t="n">
        <v>59</v>
      </c>
      <c r="F1192" s="182" t="n">
        <v>89</v>
      </c>
      <c r="G1192" s="172" t="inlineStr">
        <is>
          <t>No</t>
        </is>
      </c>
      <c r="H1192" s="170">
        <f>IF(A1192="","",IF(OR(NOT(ISNUMBER(C1192)),C1192=""),"No",IF(AND(HOUR(C1192)&gt;=0,HOUR(C1192)&lt;5),"Yes","No")))</f>
        <v/>
      </c>
      <c r="I1192" s="183">
        <f>IF(OR(B1192="",NOT(ISNUMBER(B1192))),"",INT(B1192))</f>
        <v/>
      </c>
    </row>
    <row r="1193" ht="15" customHeight="1" s="122">
      <c r="A1193" s="179" t="inlineStr">
        <is>
          <t>KBB 104Q</t>
        </is>
      </c>
      <c r="B1193" s="172" t="inlineStr">
        <is>
          <t>26-02-2026 17:32:27</t>
        </is>
      </c>
      <c r="C1193" s="172" t="inlineStr">
        <is>
          <t>26-02-2026 17:51:34</t>
        </is>
      </c>
      <c r="D1193" s="173" t="inlineStr">
        <is>
          <t>11.36 Km</t>
        </is>
      </c>
      <c r="E1193" s="181" t="n">
        <v>35</v>
      </c>
      <c r="F1193" s="182" t="n">
        <v>71</v>
      </c>
      <c r="G1193" s="172" t="inlineStr">
        <is>
          <t>No</t>
        </is>
      </c>
      <c r="H1193" s="170">
        <f>IF(A1193="","",IF(OR(NOT(ISNUMBER(C1193)),C1193=""),"No",IF(AND(HOUR(C1193)&gt;=0,HOUR(C1193)&lt;5),"Yes","No")))</f>
        <v/>
      </c>
      <c r="I1193" s="183">
        <f>IF(OR(B1193="",NOT(ISNUMBER(B1193))),"",INT(B1193))</f>
        <v/>
      </c>
    </row>
    <row r="1194" ht="15" customHeight="1" s="122">
      <c r="A1194" s="179" t="inlineStr">
        <is>
          <t>KBB 104Q</t>
        </is>
      </c>
      <c r="B1194" s="172" t="inlineStr">
        <is>
          <t>26-02-2026 18:06:17</t>
        </is>
      </c>
      <c r="C1194" s="172" t="inlineStr">
        <is>
          <t>26-02-2026 18:11:47</t>
        </is>
      </c>
      <c r="D1194" s="173" t="inlineStr">
        <is>
          <t>1.72 Km</t>
        </is>
      </c>
      <c r="E1194" s="181" t="n">
        <v>17</v>
      </c>
      <c r="F1194" s="182" t="n">
        <v>37</v>
      </c>
      <c r="G1194" s="172" t="inlineStr">
        <is>
          <t>No</t>
        </is>
      </c>
      <c r="H1194" s="170">
        <f>IF(A1194="","",IF(OR(NOT(ISNUMBER(C1194)),C1194=""),"No",IF(AND(HOUR(C1194)&gt;=0,HOUR(C1194)&lt;5),"Yes","No")))</f>
        <v/>
      </c>
      <c r="I1194" s="183">
        <f>IF(OR(B1194="",NOT(ISNUMBER(B1194))),"",INT(B1194))</f>
        <v/>
      </c>
    </row>
    <row r="1195" ht="15" customHeight="1" s="122">
      <c r="A1195" s="179" t="inlineStr">
        <is>
          <t>KBB 104Q</t>
        </is>
      </c>
      <c r="B1195" s="172" t="inlineStr">
        <is>
          <t>26-02-2026 19:09:57</t>
        </is>
      </c>
      <c r="C1195" s="172" t="inlineStr">
        <is>
          <t>26-02-2026 19:14:26</t>
        </is>
      </c>
      <c r="D1195" s="173" t="inlineStr">
        <is>
          <t>0.74 Km</t>
        </is>
      </c>
      <c r="E1195" s="181" t="n">
        <v>14</v>
      </c>
      <c r="F1195" s="182" t="n">
        <v>30</v>
      </c>
      <c r="G1195" s="172" t="inlineStr">
        <is>
          <t>No</t>
        </is>
      </c>
      <c r="H1195" s="170">
        <f>IF(A1195="","",IF(OR(NOT(ISNUMBER(C1195)),C1195=""),"No",IF(AND(HOUR(C1195)&gt;=0,HOUR(C1195)&lt;5),"Yes","No")))</f>
        <v/>
      </c>
      <c r="I1195" s="183">
        <f>IF(OR(B1195="",NOT(ISNUMBER(B1195))),"",INT(B1195))</f>
        <v/>
      </c>
    </row>
    <row r="1196" ht="15" customHeight="1" s="122">
      <c r="A1196" s="179" t="inlineStr">
        <is>
          <t>KBB 104Q</t>
        </is>
      </c>
      <c r="B1196" s="172" t="inlineStr">
        <is>
          <t>26-02-2026 19:17:05</t>
        </is>
      </c>
      <c r="C1196" s="172" t="inlineStr">
        <is>
          <t>26-02-2026 19:19:25</t>
        </is>
      </c>
      <c r="D1196" s="173" t="inlineStr">
        <is>
          <t>0.46 Km</t>
        </is>
      </c>
      <c r="E1196" s="181" t="n">
        <v>16</v>
      </c>
      <c r="F1196" s="182" t="n">
        <v>36</v>
      </c>
      <c r="G1196" s="172" t="inlineStr">
        <is>
          <t>No</t>
        </is>
      </c>
      <c r="H1196" s="170">
        <f>IF(A1196="","",IF(OR(NOT(ISNUMBER(C1196)),C1196=""),"No",IF(AND(HOUR(C1196)&gt;=0,HOUR(C1196)&lt;5),"Yes","No")))</f>
        <v/>
      </c>
      <c r="I1196" s="183">
        <f>IF(OR(B1196="",NOT(ISNUMBER(B1196))),"",INT(B1196))</f>
        <v/>
      </c>
    </row>
    <row r="1197" ht="15" customHeight="1" s="122">
      <c r="A1197" s="179" t="inlineStr">
        <is>
          <t>KBB 104Q</t>
        </is>
      </c>
      <c r="B1197" s="172" t="inlineStr">
        <is>
          <t>26-02-2026 19:25:52</t>
        </is>
      </c>
      <c r="C1197" s="172" t="inlineStr">
        <is>
          <t>26-02-2026 19:28:53</t>
        </is>
      </c>
      <c r="D1197" s="173" t="inlineStr">
        <is>
          <t>0.6 Km</t>
        </is>
      </c>
      <c r="E1197" s="181" t="n">
        <v>14</v>
      </c>
      <c r="F1197" s="182" t="n">
        <v>27</v>
      </c>
      <c r="G1197" s="172" t="inlineStr">
        <is>
          <t>No</t>
        </is>
      </c>
      <c r="H1197" s="170">
        <f>IF(A1197="","",IF(OR(NOT(ISNUMBER(C1197)),C1197=""),"No",IF(AND(HOUR(C1197)&gt;=0,HOUR(C1197)&lt;5),"Yes","No")))</f>
        <v/>
      </c>
      <c r="I1197" s="183">
        <f>IF(OR(B1197="",NOT(ISNUMBER(B1197))),"",INT(B1197))</f>
        <v/>
      </c>
    </row>
    <row r="1198" ht="15" customHeight="1" s="122">
      <c r="A1198" s="179" t="inlineStr">
        <is>
          <t>KBB 104Q</t>
        </is>
      </c>
      <c r="B1198" s="172" t="inlineStr">
        <is>
          <t>26-02-2026 19:29:07</t>
        </is>
      </c>
      <c r="C1198" s="172" t="inlineStr">
        <is>
          <t>26-02-2026 19:29:42</t>
        </is>
      </c>
      <c r="D1198" s="173" t="inlineStr">
        <is>
          <t>0.01 Km</t>
        </is>
      </c>
      <c r="E1198" s="181" t="n">
        <v>7</v>
      </c>
      <c r="F1198" s="182" t="n">
        <v>8</v>
      </c>
      <c r="G1198" s="172" t="inlineStr">
        <is>
          <t>No</t>
        </is>
      </c>
      <c r="H1198" s="170">
        <f>IF(A1198="","",IF(OR(NOT(ISNUMBER(C1198)),C1198=""),"No",IF(AND(HOUR(C1198)&gt;=0,HOUR(C1198)&lt;5),"Yes","No")))</f>
        <v/>
      </c>
      <c r="I1198" s="183">
        <f>IF(OR(B1198="",NOT(ISNUMBER(B1198))),"",INT(B1198))</f>
        <v/>
      </c>
    </row>
    <row r="1199" ht="15" customHeight="1" s="122">
      <c r="A1199" s="179" t="inlineStr">
        <is>
          <t>KBB 104Q</t>
        </is>
      </c>
      <c r="B1199" s="172" t="inlineStr">
        <is>
          <t>27-02-2026 04:51:43</t>
        </is>
      </c>
      <c r="C1199" s="172" t="inlineStr">
        <is>
          <t>27-02-2026 04:56:16</t>
        </is>
      </c>
      <c r="D1199" s="173" t="inlineStr">
        <is>
          <t>2.61 Km</t>
        </is>
      </c>
      <c r="E1199" s="181" t="n">
        <v>31</v>
      </c>
      <c r="F1199" s="182" t="n">
        <v>68</v>
      </c>
      <c r="G1199" s="172" t="inlineStr">
        <is>
          <t>No</t>
        </is>
      </c>
      <c r="H1199" s="170">
        <f>IF(A1199="","",IF(OR(NOT(ISNUMBER(C1199)),C1199=""),"No",IF(AND(HOUR(C1199)&gt;=0,HOUR(C1199)&lt;5),"Yes","No")))</f>
        <v/>
      </c>
      <c r="I1199" s="183">
        <f>IF(OR(B1199="",NOT(ISNUMBER(B1199))),"",INT(B1199))</f>
        <v/>
      </c>
    </row>
    <row r="1200" ht="15" customHeight="1" s="122">
      <c r="A1200" s="179" t="inlineStr">
        <is>
          <t>KBB 104Q</t>
        </is>
      </c>
      <c r="B1200" s="172" t="inlineStr">
        <is>
          <t>27-02-2026 04:58:53</t>
        </is>
      </c>
      <c r="C1200" s="172" t="inlineStr">
        <is>
          <t>27-02-2026 05:01:50</t>
        </is>
      </c>
      <c r="D1200" s="173" t="inlineStr">
        <is>
          <t>1.11 Km</t>
        </is>
      </c>
      <c r="E1200" s="181" t="n">
        <v>27</v>
      </c>
      <c r="F1200" s="182" t="n">
        <v>55</v>
      </c>
      <c r="G1200" s="172" t="inlineStr">
        <is>
          <t>No</t>
        </is>
      </c>
      <c r="H1200" s="170">
        <f>IF(A1200="","",IF(OR(NOT(ISNUMBER(C1200)),C1200=""),"No",IF(AND(HOUR(C1200)&gt;=0,HOUR(C1200)&lt;5),"Yes","No")))</f>
        <v/>
      </c>
      <c r="I1200" s="183">
        <f>IF(OR(B1200="",NOT(ISNUMBER(B1200))),"",INT(B1200))</f>
        <v/>
      </c>
    </row>
    <row r="1201" ht="15" customHeight="1" s="122">
      <c r="A1201" s="179" t="inlineStr">
        <is>
          <t>KBB 104Q</t>
        </is>
      </c>
      <c r="B1201" s="172" t="inlineStr">
        <is>
          <t>27-02-2026 05:03:05</t>
        </is>
      </c>
      <c r="C1201" s="172" t="inlineStr">
        <is>
          <t>27-02-2026 05:06:11</t>
        </is>
      </c>
      <c r="D1201" s="173" t="inlineStr">
        <is>
          <t>1.6 Km</t>
        </is>
      </c>
      <c r="E1201" s="181" t="n">
        <v>26</v>
      </c>
      <c r="F1201" s="182" t="n">
        <v>58</v>
      </c>
      <c r="G1201" s="172" t="inlineStr">
        <is>
          <t>No</t>
        </is>
      </c>
      <c r="H1201" s="170">
        <f>IF(A1201="","",IF(OR(NOT(ISNUMBER(C1201)),C1201=""),"No",IF(AND(HOUR(C1201)&gt;=0,HOUR(C1201)&lt;5),"Yes","No")))</f>
        <v/>
      </c>
      <c r="I1201" s="183">
        <f>IF(OR(B1201="",NOT(ISNUMBER(B1201))),"",INT(B1201))</f>
        <v/>
      </c>
    </row>
    <row r="1202" ht="15" customHeight="1" s="122">
      <c r="A1202" s="179" t="inlineStr">
        <is>
          <t>KBB 104Q</t>
        </is>
      </c>
      <c r="B1202" s="172" t="inlineStr">
        <is>
          <t>27-02-2026 05:18:48</t>
        </is>
      </c>
      <c r="C1202" s="172" t="inlineStr">
        <is>
          <t>27-02-2026 05:19:45</t>
        </is>
      </c>
      <c r="D1202" s="173" t="inlineStr">
        <is>
          <t>0.01 Km</t>
        </is>
      </c>
      <c r="E1202" s="181" t="n">
        <v>7</v>
      </c>
      <c r="F1202" s="182" t="n">
        <v>7</v>
      </c>
      <c r="G1202" s="172" t="inlineStr">
        <is>
          <t>No</t>
        </is>
      </c>
      <c r="H1202" s="170">
        <f>IF(A1202="","",IF(OR(NOT(ISNUMBER(C1202)),C1202=""),"No",IF(AND(HOUR(C1202)&gt;=0,HOUR(C1202)&lt;5),"Yes","No")))</f>
        <v/>
      </c>
      <c r="I1202" s="183">
        <f>IF(OR(B1202="",NOT(ISNUMBER(B1202))),"",INT(B1202))</f>
        <v/>
      </c>
    </row>
    <row r="1203" ht="15" customHeight="1" s="122">
      <c r="A1203" s="179" t="inlineStr">
        <is>
          <t>KBB 105Q</t>
        </is>
      </c>
      <c r="B1203" s="180" t="n">
        <v>46024.67814814814</v>
      </c>
      <c r="C1203" s="180" t="n">
        <v>46024.68105324074</v>
      </c>
      <c r="D1203" s="173" t="inlineStr">
        <is>
          <t>0.31 Km</t>
        </is>
      </c>
      <c r="E1203" s="181" t="n">
        <v>10</v>
      </c>
      <c r="F1203" s="182" t="n">
        <v>15</v>
      </c>
      <c r="G1203" s="172" t="inlineStr">
        <is>
          <t>No</t>
        </is>
      </c>
      <c r="H1203" s="170">
        <f>IF(A1203="","",IF(OR(NOT(ISNUMBER(C1203)),C1203=""),"No",IF(AND(HOUR(C1203)&gt;=0,HOUR(C1203)&lt;5),"Yes","No")))</f>
        <v/>
      </c>
      <c r="I1203" s="183">
        <f>IF(OR(B1203="",NOT(ISNUMBER(B1203))),"",INT(B1203))</f>
        <v/>
      </c>
    </row>
    <row r="1204" ht="15" customHeight="1" s="122">
      <c r="A1204" s="179" t="inlineStr">
        <is>
          <t>KBB 105Q</t>
        </is>
      </c>
      <c r="B1204" s="180" t="n">
        <v>46024.68939814815</v>
      </c>
      <c r="C1204" s="180" t="n">
        <v>46024.70780092593</v>
      </c>
      <c r="D1204" s="173" t="inlineStr">
        <is>
          <t>8.4 Km</t>
        </is>
      </c>
      <c r="E1204" s="181" t="n">
        <v>20</v>
      </c>
      <c r="F1204" s="182" t="n">
        <v>49</v>
      </c>
      <c r="G1204" s="172" t="inlineStr">
        <is>
          <t>No</t>
        </is>
      </c>
      <c r="H1204" s="170">
        <f>IF(A1204="","",IF(OR(NOT(ISNUMBER(C1204)),C1204=""),"No",IF(AND(HOUR(C1204)&gt;=0,HOUR(C1204)&lt;5),"Yes","No")))</f>
        <v/>
      </c>
      <c r="I1204" s="183">
        <f>IF(OR(B1204="",NOT(ISNUMBER(B1204))),"",INT(B1204))</f>
        <v/>
      </c>
    </row>
    <row r="1205" ht="15" customHeight="1" s="122">
      <c r="A1205" s="179" t="inlineStr">
        <is>
          <t>KBB 105Q</t>
        </is>
      </c>
      <c r="B1205" s="180" t="n">
        <v>46024.71037037037</v>
      </c>
      <c r="C1205" s="180" t="n">
        <v>46024.74197916667</v>
      </c>
      <c r="D1205" s="173" t="inlineStr">
        <is>
          <t>48.16 Km</t>
        </is>
      </c>
      <c r="E1205" s="181" t="n">
        <v>64</v>
      </c>
      <c r="F1205" s="182" t="n">
        <v>87</v>
      </c>
      <c r="G1205" s="172" t="inlineStr">
        <is>
          <t>No</t>
        </is>
      </c>
      <c r="H1205" s="170">
        <f>IF(A1205="","",IF(OR(NOT(ISNUMBER(C1205)),C1205=""),"No",IF(AND(HOUR(C1205)&gt;=0,HOUR(C1205)&lt;5),"Yes","No")))</f>
        <v/>
      </c>
      <c r="I1205" s="183">
        <f>IF(OR(B1205="",NOT(ISNUMBER(B1205))),"",INT(B1205))</f>
        <v/>
      </c>
    </row>
    <row r="1206" ht="15" customHeight="1" s="122">
      <c r="A1206" s="179" t="inlineStr">
        <is>
          <t>KBB 105Q</t>
        </is>
      </c>
      <c r="B1206" s="180" t="n">
        <v>46024.75166666666</v>
      </c>
      <c r="C1206" s="180" t="n">
        <v>46024.76729166666</v>
      </c>
      <c r="D1206" s="173" t="inlineStr">
        <is>
          <t>20.17 Km</t>
        </is>
      </c>
      <c r="E1206" s="181" t="n">
        <v>54</v>
      </c>
      <c r="F1206" s="182" t="n">
        <v>81</v>
      </c>
      <c r="G1206" s="172" t="inlineStr">
        <is>
          <t>No</t>
        </is>
      </c>
      <c r="H1206" s="170">
        <f>IF(A1206="","",IF(OR(NOT(ISNUMBER(C1206)),C1206=""),"No",IF(AND(HOUR(C1206)&gt;=0,HOUR(C1206)&lt;5),"Yes","No")))</f>
        <v/>
      </c>
      <c r="I1206" s="183">
        <f>IF(OR(B1206="",NOT(ISNUMBER(B1206))),"",INT(B1206))</f>
        <v/>
      </c>
    </row>
    <row r="1207" ht="15" customHeight="1" s="122">
      <c r="A1207" s="179" t="inlineStr">
        <is>
          <t>KBB 105Q</t>
        </is>
      </c>
      <c r="B1207" s="180" t="n">
        <v>46024.77231481481</v>
      </c>
      <c r="C1207" s="180" t="n">
        <v>46024.77273148148</v>
      </c>
      <c r="D1207" s="173" t="inlineStr">
        <is>
          <t>0.04 Km</t>
        </is>
      </c>
      <c r="E1207" s="181" t="n">
        <v>11</v>
      </c>
      <c r="F1207" s="182" t="n">
        <v>12</v>
      </c>
      <c r="G1207" s="172" t="inlineStr">
        <is>
          <t>No</t>
        </is>
      </c>
      <c r="H1207" s="170">
        <f>IF(A1207="","",IF(OR(NOT(ISNUMBER(C1207)),C1207=""),"No",IF(AND(HOUR(C1207)&gt;=0,HOUR(C1207)&lt;5),"Yes","No")))</f>
        <v/>
      </c>
      <c r="I1207" s="183">
        <f>IF(OR(B1207="",NOT(ISNUMBER(B1207))),"",INT(B1207))</f>
        <v/>
      </c>
    </row>
    <row r="1208" ht="15" customHeight="1" s="122">
      <c r="A1208" s="179" t="inlineStr">
        <is>
          <t>KBB 105Q</t>
        </is>
      </c>
      <c r="B1208" s="180" t="n">
        <v>46024.77475694445</v>
      </c>
      <c r="C1208" s="180" t="n">
        <v>46024.77601851852</v>
      </c>
      <c r="D1208" s="173" t="inlineStr">
        <is>
          <t>0.22 Km</t>
        </is>
      </c>
      <c r="E1208" s="181" t="n">
        <v>11</v>
      </c>
      <c r="F1208" s="182" t="n">
        <v>20</v>
      </c>
      <c r="G1208" s="172" t="inlineStr">
        <is>
          <t>No</t>
        </is>
      </c>
      <c r="H1208" s="170">
        <f>IF(A1208="","",IF(OR(NOT(ISNUMBER(C1208)),C1208=""),"No",IF(AND(HOUR(C1208)&gt;=0,HOUR(C1208)&lt;5),"Yes","No")))</f>
        <v/>
      </c>
      <c r="I1208" s="183">
        <f>IF(OR(B1208="",NOT(ISNUMBER(B1208))),"",INT(B1208))</f>
        <v/>
      </c>
    </row>
    <row r="1209" ht="15" customHeight="1" s="122">
      <c r="A1209" s="179" t="inlineStr">
        <is>
          <t>KBB 105Q</t>
        </is>
      </c>
      <c r="B1209" s="180" t="n">
        <v>46024.77868055556</v>
      </c>
      <c r="C1209" s="180" t="n">
        <v>46024.78298611111</v>
      </c>
      <c r="D1209" s="173" t="inlineStr">
        <is>
          <t>4.54 Km</t>
        </is>
      </c>
      <c r="E1209" s="181" t="n">
        <v>47</v>
      </c>
      <c r="F1209" s="182" t="n">
        <v>77</v>
      </c>
      <c r="G1209" s="172" t="inlineStr">
        <is>
          <t>No</t>
        </is>
      </c>
      <c r="H1209" s="170">
        <f>IF(A1209="","",IF(OR(NOT(ISNUMBER(C1209)),C1209=""),"No",IF(AND(HOUR(C1209)&gt;=0,HOUR(C1209)&lt;5),"Yes","No")))</f>
        <v/>
      </c>
      <c r="I1209" s="183">
        <f>IF(OR(B1209="",NOT(ISNUMBER(B1209))),"",INT(B1209))</f>
        <v/>
      </c>
    </row>
    <row r="1210" ht="15" customHeight="1" s="122">
      <c r="A1210" s="179" t="inlineStr">
        <is>
          <t>KBB 105Q</t>
        </is>
      </c>
      <c r="B1210" s="180" t="n">
        <v>46024.78577546297</v>
      </c>
      <c r="C1210" s="180" t="n">
        <v>46024.78630787037</v>
      </c>
      <c r="D1210" s="173" t="inlineStr">
        <is>
          <t>0.28 Km</t>
        </is>
      </c>
      <c r="E1210" s="181" t="n">
        <v>20</v>
      </c>
      <c r="F1210" s="182" t="n">
        <v>37</v>
      </c>
      <c r="G1210" s="172" t="inlineStr">
        <is>
          <t>No</t>
        </is>
      </c>
      <c r="H1210" s="170">
        <f>IF(A1210="","",IF(OR(NOT(ISNUMBER(C1210)),C1210=""),"No",IF(AND(HOUR(C1210)&gt;=0,HOUR(C1210)&lt;5),"Yes","No")))</f>
        <v/>
      </c>
      <c r="I1210" s="183">
        <f>IF(OR(B1210="",NOT(ISNUMBER(B1210))),"",INT(B1210))</f>
        <v/>
      </c>
    </row>
    <row r="1211" ht="15" customHeight="1" s="122">
      <c r="A1211" s="179" t="inlineStr">
        <is>
          <t>KBB 105Q</t>
        </is>
      </c>
      <c r="B1211" s="180" t="n">
        <v>46024.78715277778</v>
      </c>
      <c r="C1211" s="180" t="n">
        <v>46024.8174537037</v>
      </c>
      <c r="D1211" s="173" t="inlineStr">
        <is>
          <t>35.86 Km</t>
        </is>
      </c>
      <c r="E1211" s="181" t="n">
        <v>51</v>
      </c>
      <c r="F1211" s="182" t="n">
        <v>77</v>
      </c>
      <c r="G1211" s="172" t="inlineStr">
        <is>
          <t>No</t>
        </is>
      </c>
      <c r="H1211" s="170">
        <f>IF(A1211="","",IF(OR(NOT(ISNUMBER(C1211)),C1211=""),"No",IF(AND(HOUR(C1211)&gt;=0,HOUR(C1211)&lt;5),"Yes","No")))</f>
        <v/>
      </c>
      <c r="I1211" s="183">
        <f>IF(OR(B1211="",NOT(ISNUMBER(B1211))),"",INT(B1211))</f>
        <v/>
      </c>
    </row>
    <row r="1212" ht="15" customHeight="1" s="122">
      <c r="A1212" s="179" t="inlineStr">
        <is>
          <t>KBB 105Q</t>
        </is>
      </c>
      <c r="B1212" s="180" t="n">
        <v>46024.83193287037</v>
      </c>
      <c r="C1212" s="180" t="n">
        <v>46024.83892361111</v>
      </c>
      <c r="D1212" s="173" t="inlineStr">
        <is>
          <t>3.06 Km</t>
        </is>
      </c>
      <c r="E1212" s="181" t="n">
        <v>17</v>
      </c>
      <c r="F1212" s="182" t="n">
        <v>38</v>
      </c>
      <c r="G1212" s="172" t="inlineStr">
        <is>
          <t>No</t>
        </is>
      </c>
      <c r="H1212" s="170">
        <f>IF(A1212="","",IF(OR(NOT(ISNUMBER(C1212)),C1212=""),"No",IF(AND(HOUR(C1212)&gt;=0,HOUR(C1212)&lt;5),"Yes","No")))</f>
        <v/>
      </c>
      <c r="I1212" s="183">
        <f>IF(OR(B1212="",NOT(ISNUMBER(B1212))),"",INT(B1212))</f>
        <v/>
      </c>
    </row>
    <row r="1213" ht="15" customHeight="1" s="122">
      <c r="A1213" s="179" t="inlineStr">
        <is>
          <t>KBB 105Q</t>
        </is>
      </c>
      <c r="B1213" s="180" t="n">
        <v>46055.42362268519</v>
      </c>
      <c r="C1213" s="180" t="n">
        <v>46055.42923611111</v>
      </c>
      <c r="D1213" s="173" t="inlineStr">
        <is>
          <t>2.06 Km</t>
        </is>
      </c>
      <c r="E1213" s="181" t="n">
        <v>16</v>
      </c>
      <c r="F1213" s="182" t="n">
        <v>48</v>
      </c>
      <c r="G1213" s="172" t="inlineStr">
        <is>
          <t>No</t>
        </is>
      </c>
      <c r="H1213" s="170">
        <f>IF(A1213="","",IF(OR(NOT(ISNUMBER(C1213)),C1213=""),"No",IF(AND(HOUR(C1213)&gt;=0,HOUR(C1213)&lt;5),"Yes","No")))</f>
        <v/>
      </c>
      <c r="I1213" s="183">
        <f>IF(OR(B1213="",NOT(ISNUMBER(B1213))),"",INT(B1213))</f>
        <v/>
      </c>
    </row>
    <row r="1214" ht="15" customHeight="1" s="122">
      <c r="A1214" s="179" t="inlineStr">
        <is>
          <t>KBB 105Q</t>
        </is>
      </c>
      <c r="B1214" s="180" t="n">
        <v>46055.43440972222</v>
      </c>
      <c r="C1214" s="180" t="n">
        <v>46055.43841435185</v>
      </c>
      <c r="D1214" s="173" t="inlineStr">
        <is>
          <t>1.75 Km</t>
        </is>
      </c>
      <c r="E1214" s="181" t="n">
        <v>21</v>
      </c>
      <c r="F1214" s="182" t="n">
        <v>50</v>
      </c>
      <c r="G1214" s="172" t="inlineStr">
        <is>
          <t>No</t>
        </is>
      </c>
      <c r="H1214" s="170">
        <f>IF(A1214="","",IF(OR(NOT(ISNUMBER(C1214)),C1214=""),"No",IF(AND(HOUR(C1214)&gt;=0,HOUR(C1214)&lt;5),"Yes","No")))</f>
        <v/>
      </c>
      <c r="I1214" s="183">
        <f>IF(OR(B1214="",NOT(ISNUMBER(B1214))),"",INT(B1214))</f>
        <v/>
      </c>
    </row>
    <row r="1215" ht="15" customHeight="1" s="122">
      <c r="A1215" s="179" t="inlineStr">
        <is>
          <t>KBB 105Q</t>
        </is>
      </c>
      <c r="B1215" s="180" t="n">
        <v>46055.44123842593</v>
      </c>
      <c r="C1215" s="180" t="n">
        <v>46055.45922453704</v>
      </c>
      <c r="D1215" s="173" t="inlineStr">
        <is>
          <t>16.77 Km</t>
        </is>
      </c>
      <c r="E1215" s="181" t="n">
        <v>47</v>
      </c>
      <c r="F1215" s="182" t="n">
        <v>76</v>
      </c>
      <c r="G1215" s="172" t="inlineStr">
        <is>
          <t>No</t>
        </is>
      </c>
      <c r="H1215" s="170">
        <f>IF(A1215="","",IF(OR(NOT(ISNUMBER(C1215)),C1215=""),"No",IF(AND(HOUR(C1215)&gt;=0,HOUR(C1215)&lt;5),"Yes","No")))</f>
        <v/>
      </c>
      <c r="I1215" s="183">
        <f>IF(OR(B1215="",NOT(ISNUMBER(B1215))),"",INT(B1215))</f>
        <v/>
      </c>
    </row>
    <row r="1216" ht="15" customHeight="1" s="122">
      <c r="A1216" s="179" t="inlineStr">
        <is>
          <t>KBB 105Q</t>
        </is>
      </c>
      <c r="B1216" s="180" t="n">
        <v>46055.45998842592</v>
      </c>
      <c r="C1216" s="180" t="n">
        <v>46055.51876157407</v>
      </c>
      <c r="D1216" s="173" t="inlineStr">
        <is>
          <t>77.37 Km</t>
        </is>
      </c>
      <c r="E1216" s="181" t="n">
        <v>56</v>
      </c>
      <c r="F1216" s="182" t="n">
        <v>86</v>
      </c>
      <c r="G1216" s="172" t="inlineStr">
        <is>
          <t>No</t>
        </is>
      </c>
      <c r="H1216" s="170">
        <f>IF(A1216="","",IF(OR(NOT(ISNUMBER(C1216)),C1216=""),"No",IF(AND(HOUR(C1216)&gt;=0,HOUR(C1216)&lt;5),"Yes","No")))</f>
        <v/>
      </c>
      <c r="I1216" s="183">
        <f>IF(OR(B1216="",NOT(ISNUMBER(B1216))),"",INT(B1216))</f>
        <v/>
      </c>
    </row>
    <row r="1217" ht="15" customHeight="1" s="122">
      <c r="A1217" s="179" t="inlineStr">
        <is>
          <t>KBB 105Q</t>
        </is>
      </c>
      <c r="B1217" s="180" t="n">
        <v>46055.52277777778</v>
      </c>
      <c r="C1217" s="180" t="n">
        <v>46055.52688657407</v>
      </c>
      <c r="D1217" s="173" t="inlineStr">
        <is>
          <t>2.17 Km</t>
        </is>
      </c>
      <c r="E1217" s="181" t="n">
        <v>24</v>
      </c>
      <c r="F1217" s="182" t="n">
        <v>54</v>
      </c>
      <c r="G1217" s="172" t="inlineStr">
        <is>
          <t>No</t>
        </is>
      </c>
      <c r="H1217" s="170">
        <f>IF(A1217="","",IF(OR(NOT(ISNUMBER(C1217)),C1217=""),"No",IF(AND(HOUR(C1217)&gt;=0,HOUR(C1217)&lt;5),"Yes","No")))</f>
        <v/>
      </c>
      <c r="I1217" s="183">
        <f>IF(OR(B1217="",NOT(ISNUMBER(B1217))),"",INT(B1217))</f>
        <v/>
      </c>
    </row>
    <row r="1218" ht="15" customHeight="1" s="122">
      <c r="A1218" s="179" t="inlineStr">
        <is>
          <t>KBB 105Q</t>
        </is>
      </c>
      <c r="B1218" s="180" t="n">
        <v>46055.53226851852</v>
      </c>
      <c r="C1218" s="180" t="n">
        <v>46055.54430555556</v>
      </c>
      <c r="D1218" s="173" t="inlineStr">
        <is>
          <t>13.36 Km</t>
        </is>
      </c>
      <c r="E1218" s="181" t="n">
        <v>44</v>
      </c>
      <c r="F1218" s="182" t="n">
        <v>78</v>
      </c>
      <c r="G1218" s="172" t="inlineStr">
        <is>
          <t>No</t>
        </is>
      </c>
      <c r="H1218" s="170">
        <f>IF(A1218="","",IF(OR(NOT(ISNUMBER(C1218)),C1218=""),"No",IF(AND(HOUR(C1218)&gt;=0,HOUR(C1218)&lt;5),"Yes","No")))</f>
        <v/>
      </c>
      <c r="I1218" s="183">
        <f>IF(OR(B1218="",NOT(ISNUMBER(B1218))),"",INT(B1218))</f>
        <v/>
      </c>
    </row>
    <row r="1219" ht="15" customHeight="1" s="122">
      <c r="A1219" s="179" t="inlineStr">
        <is>
          <t>KBB 105Q</t>
        </is>
      </c>
      <c r="B1219" s="180" t="n">
        <v>46055.54833333333</v>
      </c>
      <c r="C1219" s="180" t="n">
        <v>46055.63165509259</v>
      </c>
      <c r="D1219" s="173" t="inlineStr">
        <is>
          <t>105.76 Km</t>
        </is>
      </c>
      <c r="E1219" s="181" t="n">
        <v>54</v>
      </c>
      <c r="F1219" s="182" t="n">
        <v>89</v>
      </c>
      <c r="G1219" s="172" t="inlineStr">
        <is>
          <t>No</t>
        </is>
      </c>
      <c r="H1219" s="170">
        <f>IF(A1219="","",IF(OR(NOT(ISNUMBER(C1219)),C1219=""),"No",IF(AND(HOUR(C1219)&gt;=0,HOUR(C1219)&lt;5),"Yes","No")))</f>
        <v/>
      </c>
      <c r="I1219" s="183">
        <f>IF(OR(B1219="",NOT(ISNUMBER(B1219))),"",INT(B1219))</f>
        <v/>
      </c>
    </row>
    <row r="1220" ht="15" customHeight="1" s="122">
      <c r="A1220" s="179" t="inlineStr">
        <is>
          <t>KBB 105Q</t>
        </is>
      </c>
      <c r="B1220" s="180" t="n">
        <v>46055.63481481482</v>
      </c>
      <c r="C1220" s="180" t="n">
        <v>46055.64748842592</v>
      </c>
      <c r="D1220" s="173" t="inlineStr">
        <is>
          <t>10.11 Km</t>
        </is>
      </c>
      <c r="E1220" s="181" t="n">
        <v>33</v>
      </c>
      <c r="F1220" s="182" t="n">
        <v>63</v>
      </c>
      <c r="G1220" s="172" t="inlineStr">
        <is>
          <t>No</t>
        </is>
      </c>
      <c r="H1220" s="170">
        <f>IF(A1220="","",IF(OR(NOT(ISNUMBER(C1220)),C1220=""),"No",IF(AND(HOUR(C1220)&gt;=0,HOUR(C1220)&lt;5),"Yes","No")))</f>
        <v/>
      </c>
      <c r="I1220" s="183">
        <f>IF(OR(B1220="",NOT(ISNUMBER(B1220))),"",INT(B1220))</f>
        <v/>
      </c>
    </row>
    <row r="1221" ht="15" customHeight="1" s="122">
      <c r="A1221" s="179" t="inlineStr">
        <is>
          <t>KBB 105Q</t>
        </is>
      </c>
      <c r="B1221" s="180" t="n">
        <v>46055.66709490741</v>
      </c>
      <c r="C1221" s="180" t="n">
        <v>46055.67295138889</v>
      </c>
      <c r="D1221" s="173" t="inlineStr">
        <is>
          <t>4.23 Km</t>
        </is>
      </c>
      <c r="E1221" s="181" t="n">
        <v>27</v>
      </c>
      <c r="F1221" s="182" t="n">
        <v>56</v>
      </c>
      <c r="G1221" s="172" t="inlineStr">
        <is>
          <t>No</t>
        </is>
      </c>
      <c r="H1221" s="170">
        <f>IF(A1221="","",IF(OR(NOT(ISNUMBER(C1221)),C1221=""),"No",IF(AND(HOUR(C1221)&gt;=0,HOUR(C1221)&lt;5),"Yes","No")))</f>
        <v/>
      </c>
      <c r="I1221" s="183">
        <f>IF(OR(B1221="",NOT(ISNUMBER(B1221))),"",INT(B1221))</f>
        <v/>
      </c>
    </row>
    <row r="1222" ht="15" customHeight="1" s="122">
      <c r="A1222" s="179" t="inlineStr">
        <is>
          <t>KBB 105Q</t>
        </is>
      </c>
      <c r="B1222" s="180" t="n">
        <v>46055.67488425926</v>
      </c>
      <c r="C1222" s="180" t="n">
        <v>46055.70166666667</v>
      </c>
      <c r="D1222" s="173" t="inlineStr">
        <is>
          <t>33.54 Km</t>
        </is>
      </c>
      <c r="E1222" s="181" t="n">
        <v>52</v>
      </c>
      <c r="F1222" s="182" t="n">
        <v>77</v>
      </c>
      <c r="G1222" s="172" t="inlineStr">
        <is>
          <t>No</t>
        </is>
      </c>
      <c r="H1222" s="170">
        <f>IF(A1222="","",IF(OR(NOT(ISNUMBER(C1222)),C1222=""),"No",IF(AND(HOUR(C1222)&gt;=0,HOUR(C1222)&lt;5),"Yes","No")))</f>
        <v/>
      </c>
      <c r="I1222" s="183">
        <f>IF(OR(B1222="",NOT(ISNUMBER(B1222))),"",INT(B1222))</f>
        <v/>
      </c>
    </row>
    <row r="1223" ht="15" customHeight="1" s="122">
      <c r="A1223" s="179" t="inlineStr">
        <is>
          <t>KBB 105Q</t>
        </is>
      </c>
      <c r="B1223" s="180" t="n">
        <v>46055.7125</v>
      </c>
      <c r="C1223" s="180" t="n">
        <v>46055.71787037037</v>
      </c>
      <c r="D1223" s="173" t="inlineStr">
        <is>
          <t>5.9 Km</t>
        </is>
      </c>
      <c r="E1223" s="181" t="n">
        <v>45</v>
      </c>
      <c r="F1223" s="182" t="n">
        <v>74</v>
      </c>
      <c r="G1223" s="172" t="inlineStr">
        <is>
          <t>No</t>
        </is>
      </c>
      <c r="H1223" s="170">
        <f>IF(A1223="","",IF(OR(NOT(ISNUMBER(C1223)),C1223=""),"No",IF(AND(HOUR(C1223)&gt;=0,HOUR(C1223)&lt;5),"Yes","No")))</f>
        <v/>
      </c>
      <c r="I1223" s="183">
        <f>IF(OR(B1223="",NOT(ISNUMBER(B1223))),"",INT(B1223))</f>
        <v/>
      </c>
    </row>
    <row r="1224" ht="15" customHeight="1" s="122">
      <c r="A1224" s="179" t="inlineStr">
        <is>
          <t>KBB 105Q</t>
        </is>
      </c>
      <c r="B1224" s="180" t="n">
        <v>46055.72646990741</v>
      </c>
      <c r="C1224" s="180" t="n">
        <v>46055.72819444445</v>
      </c>
      <c r="D1224" s="173" t="inlineStr">
        <is>
          <t>0.33 Km</t>
        </is>
      </c>
      <c r="E1224" s="181" t="n">
        <v>10</v>
      </c>
      <c r="F1224" s="182" t="n">
        <v>20</v>
      </c>
      <c r="G1224" s="172" t="inlineStr">
        <is>
          <t>No</t>
        </is>
      </c>
      <c r="H1224" s="170">
        <f>IF(A1224="","",IF(OR(NOT(ISNUMBER(C1224)),C1224=""),"No",IF(AND(HOUR(C1224)&gt;=0,HOUR(C1224)&lt;5),"Yes","No")))</f>
        <v/>
      </c>
      <c r="I1224" s="183">
        <f>IF(OR(B1224="",NOT(ISNUMBER(B1224))),"",INT(B1224))</f>
        <v/>
      </c>
    </row>
    <row r="1225" ht="15" customHeight="1" s="122">
      <c r="A1225" s="179" t="inlineStr">
        <is>
          <t>KBB 105Q</t>
        </is>
      </c>
      <c r="B1225" s="180" t="n">
        <v>46083.38931712963</v>
      </c>
      <c r="C1225" s="180" t="n">
        <v>46083.39094907408</v>
      </c>
      <c r="D1225" s="173" t="inlineStr">
        <is>
          <t>0.35 Km</t>
        </is>
      </c>
      <c r="E1225" s="181" t="n">
        <v>12</v>
      </c>
      <c r="F1225" s="182" t="n">
        <v>31</v>
      </c>
      <c r="G1225" s="172" t="inlineStr">
        <is>
          <t>No</t>
        </is>
      </c>
      <c r="H1225" s="170">
        <f>IF(A1225="","",IF(OR(NOT(ISNUMBER(C1225)),C1225=""),"No",IF(AND(HOUR(C1225)&gt;=0,HOUR(C1225)&lt;5),"Yes","No")))</f>
        <v/>
      </c>
      <c r="I1225" s="183">
        <f>IF(OR(B1225="",NOT(ISNUMBER(B1225))),"",INT(B1225))</f>
        <v/>
      </c>
    </row>
    <row r="1226" ht="15" customHeight="1" s="122">
      <c r="A1226" s="179" t="inlineStr">
        <is>
          <t>KBB 105Q</t>
        </is>
      </c>
      <c r="B1226" s="180" t="n">
        <v>46083.40965277778</v>
      </c>
      <c r="C1226" s="180" t="n">
        <v>46083.41099537037</v>
      </c>
      <c r="D1226" s="173" t="inlineStr">
        <is>
          <t>0.09 Km</t>
        </is>
      </c>
      <c r="E1226" s="181" t="n">
        <v>8</v>
      </c>
      <c r="F1226" s="182" t="n">
        <v>12</v>
      </c>
      <c r="G1226" s="172" t="inlineStr">
        <is>
          <t>No</t>
        </is>
      </c>
      <c r="H1226" s="170">
        <f>IF(A1226="","",IF(OR(NOT(ISNUMBER(C1226)),C1226=""),"No",IF(AND(HOUR(C1226)&gt;=0,HOUR(C1226)&lt;5),"Yes","No")))</f>
        <v/>
      </c>
      <c r="I1226" s="183">
        <f>IF(OR(B1226="",NOT(ISNUMBER(B1226))),"",INT(B1226))</f>
        <v/>
      </c>
    </row>
    <row r="1227" ht="15" customHeight="1" s="122">
      <c r="A1227" s="179" t="inlineStr">
        <is>
          <t>KBB 105Q</t>
        </is>
      </c>
      <c r="B1227" s="180" t="n">
        <v>46083.41452546296</v>
      </c>
      <c r="C1227" s="180" t="n">
        <v>46083.42564814815</v>
      </c>
      <c r="D1227" s="173" t="inlineStr">
        <is>
          <t>15.38 Km</t>
        </is>
      </c>
      <c r="E1227" s="181" t="n">
        <v>56</v>
      </c>
      <c r="F1227" s="182" t="n">
        <v>92</v>
      </c>
      <c r="G1227" s="172" t="inlineStr">
        <is>
          <t>No</t>
        </is>
      </c>
      <c r="H1227" s="170">
        <f>IF(A1227="","",IF(OR(NOT(ISNUMBER(C1227)),C1227=""),"No",IF(AND(HOUR(C1227)&gt;=0,HOUR(C1227)&lt;5),"Yes","No")))</f>
        <v/>
      </c>
      <c r="I1227" s="183">
        <f>IF(OR(B1227="",NOT(ISNUMBER(B1227))),"",INT(B1227))</f>
        <v/>
      </c>
    </row>
    <row r="1228" ht="15" customHeight="1" s="122">
      <c r="A1228" s="179" t="inlineStr">
        <is>
          <t>KBB 105Q</t>
        </is>
      </c>
      <c r="B1228" s="180" t="n">
        <v>46083.45122685185</v>
      </c>
      <c r="C1228" s="180" t="n">
        <v>46083.46461805556</v>
      </c>
      <c r="D1228" s="173" t="inlineStr">
        <is>
          <t>12.05 Km</t>
        </is>
      </c>
      <c r="E1228" s="181" t="n">
        <v>35</v>
      </c>
      <c r="F1228" s="182" t="n">
        <v>68</v>
      </c>
      <c r="G1228" s="172" t="inlineStr">
        <is>
          <t>No</t>
        </is>
      </c>
      <c r="H1228" s="170">
        <f>IF(A1228="","",IF(OR(NOT(ISNUMBER(C1228)),C1228=""),"No",IF(AND(HOUR(C1228)&gt;=0,HOUR(C1228)&lt;5),"Yes","No")))</f>
        <v/>
      </c>
      <c r="I1228" s="183">
        <f>IF(OR(B1228="",NOT(ISNUMBER(B1228))),"",INT(B1228))</f>
        <v/>
      </c>
    </row>
    <row r="1229" ht="15" customHeight="1" s="122">
      <c r="A1229" s="179" t="inlineStr">
        <is>
          <t>KBB 105Q</t>
        </is>
      </c>
      <c r="B1229" s="180" t="n">
        <v>46083.46628472222</v>
      </c>
      <c r="C1229" s="180" t="n">
        <v>46083.48877314815</v>
      </c>
      <c r="D1229" s="173" t="inlineStr">
        <is>
          <t>24.24 Km</t>
        </is>
      </c>
      <c r="E1229" s="181" t="n">
        <v>45</v>
      </c>
      <c r="F1229" s="182" t="n">
        <v>70</v>
      </c>
      <c r="G1229" s="172" t="inlineStr">
        <is>
          <t>No</t>
        </is>
      </c>
      <c r="H1229" s="170">
        <f>IF(A1229="","",IF(OR(NOT(ISNUMBER(C1229)),C1229=""),"No",IF(AND(HOUR(C1229)&gt;=0,HOUR(C1229)&lt;5),"Yes","No")))</f>
        <v/>
      </c>
      <c r="I1229" s="183">
        <f>IF(OR(B1229="",NOT(ISNUMBER(B1229))),"",INT(B1229))</f>
        <v/>
      </c>
    </row>
    <row r="1230" ht="15" customHeight="1" s="122">
      <c r="A1230" s="179" t="inlineStr">
        <is>
          <t>KBB 105Q</t>
        </is>
      </c>
      <c r="B1230" s="180" t="n">
        <v>46083.50392361111</v>
      </c>
      <c r="C1230" s="180" t="n">
        <v>46083.50457175926</v>
      </c>
      <c r="D1230" s="173" t="inlineStr">
        <is>
          <t>0.23 Km</t>
        </is>
      </c>
      <c r="E1230" s="181" t="n">
        <v>17</v>
      </c>
      <c r="F1230" s="182" t="n">
        <v>25</v>
      </c>
      <c r="G1230" s="172" t="inlineStr">
        <is>
          <t>No</t>
        </is>
      </c>
      <c r="H1230" s="170">
        <f>IF(A1230="","",IF(OR(NOT(ISNUMBER(C1230)),C1230=""),"No",IF(AND(HOUR(C1230)&gt;=0,HOUR(C1230)&lt;5),"Yes","No")))</f>
        <v/>
      </c>
      <c r="I1230" s="183">
        <f>IF(OR(B1230="",NOT(ISNUMBER(B1230))),"",INT(B1230))</f>
        <v/>
      </c>
    </row>
    <row r="1231" ht="15" customHeight="1" s="122">
      <c r="A1231" s="179" t="inlineStr">
        <is>
          <t>KBB 105Q</t>
        </is>
      </c>
      <c r="B1231" s="180" t="n">
        <v>46083.52384259259</v>
      </c>
      <c r="C1231" s="180" t="n">
        <v>46083.57354166666</v>
      </c>
      <c r="D1231" s="173" t="inlineStr">
        <is>
          <t>55.86 Km</t>
        </is>
      </c>
      <c r="E1231" s="181" t="n">
        <v>47</v>
      </c>
      <c r="F1231" s="182" t="n">
        <v>68</v>
      </c>
      <c r="G1231" s="172" t="inlineStr">
        <is>
          <t>No</t>
        </is>
      </c>
      <c r="H1231" s="170">
        <f>IF(A1231="","",IF(OR(NOT(ISNUMBER(C1231)),C1231=""),"No",IF(AND(HOUR(C1231)&gt;=0,HOUR(C1231)&lt;5),"Yes","No")))</f>
        <v/>
      </c>
      <c r="I1231" s="183">
        <f>IF(OR(B1231="",NOT(ISNUMBER(B1231))),"",INT(B1231))</f>
        <v/>
      </c>
    </row>
    <row r="1232" ht="15" customHeight="1" s="122">
      <c r="A1232" s="179" t="inlineStr">
        <is>
          <t>KBB 105Q</t>
        </is>
      </c>
      <c r="B1232" s="180" t="n">
        <v>46083.57534722222</v>
      </c>
      <c r="C1232" s="180" t="n">
        <v>46083.60112268518</v>
      </c>
      <c r="D1232" s="173" t="inlineStr">
        <is>
          <t>30.22 Km</t>
        </is>
      </c>
      <c r="E1232" s="181" t="n">
        <v>48</v>
      </c>
      <c r="F1232" s="182" t="n">
        <v>75</v>
      </c>
      <c r="G1232" s="172" t="inlineStr">
        <is>
          <t>No</t>
        </is>
      </c>
      <c r="H1232" s="170">
        <f>IF(A1232="","",IF(OR(NOT(ISNUMBER(C1232)),C1232=""),"No",IF(AND(HOUR(C1232)&gt;=0,HOUR(C1232)&lt;5),"Yes","No")))</f>
        <v/>
      </c>
      <c r="I1232" s="183">
        <f>IF(OR(B1232="",NOT(ISNUMBER(B1232))),"",INT(B1232))</f>
        <v/>
      </c>
    </row>
    <row r="1233" ht="15" customHeight="1" s="122">
      <c r="A1233" s="179" t="inlineStr">
        <is>
          <t>KBB 105Q</t>
        </is>
      </c>
      <c r="B1233" s="180" t="n">
        <v>46083.6052662037</v>
      </c>
      <c r="C1233" s="180" t="n">
        <v>46083.60547453703</v>
      </c>
      <c r="D1233" s="173" t="inlineStr">
        <is>
          <t>0.02 Km</t>
        </is>
      </c>
      <c r="E1233" s="181" t="n">
        <v>7</v>
      </c>
      <c r="F1233" s="182" t="n">
        <v>7</v>
      </c>
      <c r="G1233" s="172" t="inlineStr">
        <is>
          <t>No</t>
        </is>
      </c>
      <c r="H1233" s="170">
        <f>IF(A1233="","",IF(OR(NOT(ISNUMBER(C1233)),C1233=""),"No",IF(AND(HOUR(C1233)&gt;=0,HOUR(C1233)&lt;5),"Yes","No")))</f>
        <v/>
      </c>
      <c r="I1233" s="183">
        <f>IF(OR(B1233="",NOT(ISNUMBER(B1233))),"",INT(B1233))</f>
        <v/>
      </c>
    </row>
    <row r="1234" ht="15" customHeight="1" s="122">
      <c r="A1234" s="179" t="inlineStr">
        <is>
          <t>KBB 105Q</t>
        </is>
      </c>
      <c r="B1234" s="180" t="n">
        <v>46083.61152777778</v>
      </c>
      <c r="C1234" s="180" t="n">
        <v>46083.62296296296</v>
      </c>
      <c r="D1234" s="173" t="inlineStr">
        <is>
          <t>10.18 Km</t>
        </is>
      </c>
      <c r="E1234" s="181" t="n">
        <v>35</v>
      </c>
      <c r="F1234" s="182" t="n">
        <v>74</v>
      </c>
      <c r="G1234" s="172" t="inlineStr">
        <is>
          <t>No</t>
        </is>
      </c>
      <c r="H1234" s="170">
        <f>IF(A1234="","",IF(OR(NOT(ISNUMBER(C1234)),C1234=""),"No",IF(AND(HOUR(C1234)&gt;=0,HOUR(C1234)&lt;5),"Yes","No")))</f>
        <v/>
      </c>
      <c r="I1234" s="183">
        <f>IF(OR(B1234="",NOT(ISNUMBER(B1234))),"",INT(B1234))</f>
        <v/>
      </c>
    </row>
    <row r="1235" ht="15" customHeight="1" s="122">
      <c r="A1235" s="179" t="inlineStr">
        <is>
          <t>KBB 105Q</t>
        </is>
      </c>
      <c r="B1235" s="180" t="n">
        <v>46083.73909722222</v>
      </c>
      <c r="C1235" s="180" t="n">
        <v>46083.74254629629</v>
      </c>
      <c r="D1235" s="173" t="inlineStr">
        <is>
          <t>1.1 Km</t>
        </is>
      </c>
      <c r="E1235" s="181" t="n">
        <v>13</v>
      </c>
      <c r="F1235" s="182" t="n">
        <v>32</v>
      </c>
      <c r="G1235" s="172" t="inlineStr">
        <is>
          <t>No</t>
        </is>
      </c>
      <c r="H1235" s="170">
        <f>IF(A1235="","",IF(OR(NOT(ISNUMBER(C1235)),C1235=""),"No",IF(AND(HOUR(C1235)&gt;=0,HOUR(C1235)&lt;5),"Yes","No")))</f>
        <v/>
      </c>
      <c r="I1235" s="183">
        <f>IF(OR(B1235="",NOT(ISNUMBER(B1235))),"",INT(B1235))</f>
        <v/>
      </c>
    </row>
    <row r="1236" ht="15" customHeight="1" s="122">
      <c r="A1236" s="179" t="inlineStr">
        <is>
          <t>KBB 105Q</t>
        </is>
      </c>
      <c r="B1236" s="180" t="n">
        <v>46083.75451388889</v>
      </c>
      <c r="C1236" s="180" t="n">
        <v>46083.76215277778</v>
      </c>
      <c r="D1236" s="173" t="inlineStr">
        <is>
          <t>4.68 Km</t>
        </is>
      </c>
      <c r="E1236" s="181" t="n">
        <v>22</v>
      </c>
      <c r="F1236" s="182" t="n">
        <v>50</v>
      </c>
      <c r="G1236" s="172" t="inlineStr">
        <is>
          <t>No</t>
        </is>
      </c>
      <c r="H1236" s="170">
        <f>IF(A1236="","",IF(OR(NOT(ISNUMBER(C1236)),C1236=""),"No",IF(AND(HOUR(C1236)&gt;=0,HOUR(C1236)&lt;5),"Yes","No")))</f>
        <v/>
      </c>
      <c r="I1236" s="183">
        <f>IF(OR(B1236="",NOT(ISNUMBER(B1236))),"",INT(B1236))</f>
        <v/>
      </c>
    </row>
    <row r="1237" ht="15" customHeight="1" s="122">
      <c r="A1237" s="179" t="inlineStr">
        <is>
          <t>KBB 105Q</t>
        </is>
      </c>
      <c r="B1237" s="180" t="n">
        <v>46114.37770833333</v>
      </c>
      <c r="C1237" s="180" t="n">
        <v>46114.38743055556</v>
      </c>
      <c r="D1237" s="173" t="inlineStr">
        <is>
          <t>5.67 Km</t>
        </is>
      </c>
      <c r="E1237" s="181" t="n">
        <v>24</v>
      </c>
      <c r="F1237" s="182" t="n">
        <v>59</v>
      </c>
      <c r="G1237" s="172" t="inlineStr">
        <is>
          <t>No</t>
        </is>
      </c>
      <c r="H1237" s="170">
        <f>IF(A1237="","",IF(OR(NOT(ISNUMBER(C1237)),C1237=""),"No",IF(AND(HOUR(C1237)&gt;=0,HOUR(C1237)&lt;5),"Yes","No")))</f>
        <v/>
      </c>
      <c r="I1237" s="183">
        <f>IF(OR(B1237="",NOT(ISNUMBER(B1237))),"",INT(B1237))</f>
        <v/>
      </c>
    </row>
    <row r="1238" ht="15" customHeight="1" s="122">
      <c r="A1238" s="179" t="inlineStr">
        <is>
          <t>KBB 105Q</t>
        </is>
      </c>
      <c r="B1238" s="180" t="n">
        <v>46114.51297453704</v>
      </c>
      <c r="C1238" s="180" t="n">
        <v>46114.52612268519</v>
      </c>
      <c r="D1238" s="173" t="inlineStr">
        <is>
          <t>8.83 Km</t>
        </is>
      </c>
      <c r="E1238" s="181" t="n">
        <v>24</v>
      </c>
      <c r="F1238" s="182" t="n">
        <v>69</v>
      </c>
      <c r="G1238" s="172" t="inlineStr">
        <is>
          <t>No</t>
        </is>
      </c>
      <c r="H1238" s="170">
        <f>IF(A1238="","",IF(OR(NOT(ISNUMBER(C1238)),C1238=""),"No",IF(AND(HOUR(C1238)&gt;=0,HOUR(C1238)&lt;5),"Yes","No")))</f>
        <v/>
      </c>
      <c r="I1238" s="183">
        <f>IF(OR(B1238="",NOT(ISNUMBER(B1238))),"",INT(B1238))</f>
        <v/>
      </c>
    </row>
    <row r="1239" ht="15" customHeight="1" s="122">
      <c r="A1239" s="179" t="inlineStr">
        <is>
          <t>KBB 105Q</t>
        </is>
      </c>
      <c r="B1239" s="180" t="n">
        <v>46114.58380787037</v>
      </c>
      <c r="C1239" s="180" t="n">
        <v>46114.59545138889</v>
      </c>
      <c r="D1239" s="173" t="inlineStr">
        <is>
          <t>8.78 Km</t>
        </is>
      </c>
      <c r="E1239" s="181" t="n">
        <v>30</v>
      </c>
      <c r="F1239" s="182" t="n">
        <v>83</v>
      </c>
      <c r="G1239" s="172" t="inlineStr">
        <is>
          <t>No</t>
        </is>
      </c>
      <c r="H1239" s="170">
        <f>IF(A1239="","",IF(OR(NOT(ISNUMBER(C1239)),C1239=""),"No",IF(AND(HOUR(C1239)&gt;=0,HOUR(C1239)&lt;5),"Yes","No")))</f>
        <v/>
      </c>
      <c r="I1239" s="183">
        <f>IF(OR(B1239="",NOT(ISNUMBER(B1239))),"",INT(B1239))</f>
        <v/>
      </c>
    </row>
    <row r="1240" ht="15" customHeight="1" s="122">
      <c r="A1240" s="179" t="inlineStr">
        <is>
          <t>KBB 105Q</t>
        </is>
      </c>
      <c r="B1240" s="180" t="n">
        <v>46114.72371527777</v>
      </c>
      <c r="C1240" s="180" t="n">
        <v>46114.72929398148</v>
      </c>
      <c r="D1240" s="173" t="inlineStr">
        <is>
          <t>2.01 Km</t>
        </is>
      </c>
      <c r="E1240" s="181" t="n">
        <v>15</v>
      </c>
      <c r="F1240" s="182" t="n">
        <v>38</v>
      </c>
      <c r="G1240" s="172" t="inlineStr">
        <is>
          <t>No</t>
        </is>
      </c>
      <c r="H1240" s="170">
        <f>IF(A1240="","",IF(OR(NOT(ISNUMBER(C1240)),C1240=""),"No",IF(AND(HOUR(C1240)&gt;=0,HOUR(C1240)&lt;5),"Yes","No")))</f>
        <v/>
      </c>
      <c r="I1240" s="183">
        <f>IF(OR(B1240="",NOT(ISNUMBER(B1240))),"",INT(B1240))</f>
        <v/>
      </c>
    </row>
    <row r="1241" ht="15" customHeight="1" s="122">
      <c r="A1241" s="179" t="inlineStr">
        <is>
          <t>KBB 105Q</t>
        </is>
      </c>
      <c r="B1241" s="180" t="n">
        <v>46114.73243055555</v>
      </c>
      <c r="C1241" s="180" t="n">
        <v>46114.74490740741</v>
      </c>
      <c r="D1241" s="173" t="inlineStr">
        <is>
          <t>10.61 Km</t>
        </is>
      </c>
      <c r="E1241" s="181" t="n">
        <v>33</v>
      </c>
      <c r="F1241" s="182" t="n">
        <v>67</v>
      </c>
      <c r="G1241" s="172" t="inlineStr">
        <is>
          <t>No</t>
        </is>
      </c>
      <c r="H1241" s="170">
        <f>IF(A1241="","",IF(OR(NOT(ISNUMBER(C1241)),C1241=""),"No",IF(AND(HOUR(C1241)&gt;=0,HOUR(C1241)&lt;5),"Yes","No")))</f>
        <v/>
      </c>
      <c r="I1241" s="183">
        <f>IF(OR(B1241="",NOT(ISNUMBER(B1241))),"",INT(B1241))</f>
        <v/>
      </c>
    </row>
    <row r="1242" ht="15" customHeight="1" s="122">
      <c r="A1242" s="179" t="inlineStr">
        <is>
          <t>KBB 105Q</t>
        </is>
      </c>
      <c r="B1242" s="180" t="n">
        <v>46114.74929398148</v>
      </c>
      <c r="C1242" s="180" t="n">
        <v>46114.75638888889</v>
      </c>
      <c r="D1242" s="173" t="inlineStr">
        <is>
          <t>4.56 Km</t>
        </is>
      </c>
      <c r="E1242" s="181" t="n">
        <v>23</v>
      </c>
      <c r="F1242" s="182" t="n">
        <v>53</v>
      </c>
      <c r="G1242" s="172" t="inlineStr">
        <is>
          <t>No</t>
        </is>
      </c>
      <c r="H1242" s="170">
        <f>IF(A1242="","",IF(OR(NOT(ISNUMBER(C1242)),C1242=""),"No",IF(AND(HOUR(C1242)&gt;=0,HOUR(C1242)&lt;5),"Yes","No")))</f>
        <v/>
      </c>
      <c r="I1242" s="183">
        <f>IF(OR(B1242="",NOT(ISNUMBER(B1242))),"",INT(B1242))</f>
        <v/>
      </c>
    </row>
    <row r="1243" ht="15" customHeight="1" s="122">
      <c r="A1243" s="179" t="inlineStr">
        <is>
          <t>KBB 105Q</t>
        </is>
      </c>
      <c r="B1243" s="180" t="n">
        <v>46114.76388888889</v>
      </c>
      <c r="C1243" s="180" t="n">
        <v>46114.76820601852</v>
      </c>
      <c r="D1243" s="173" t="inlineStr">
        <is>
          <t>0.67 Km</t>
        </is>
      </c>
      <c r="E1243" s="181" t="n">
        <v>12</v>
      </c>
      <c r="F1243" s="182" t="n">
        <v>33</v>
      </c>
      <c r="G1243" s="172" t="inlineStr">
        <is>
          <t>No</t>
        </is>
      </c>
      <c r="H1243" s="170">
        <f>IF(A1243="","",IF(OR(NOT(ISNUMBER(C1243)),C1243=""),"No",IF(AND(HOUR(C1243)&gt;=0,HOUR(C1243)&lt;5),"Yes","No")))</f>
        <v/>
      </c>
      <c r="I1243" s="183">
        <f>IF(OR(B1243="",NOT(ISNUMBER(B1243))),"",INT(B1243))</f>
        <v/>
      </c>
    </row>
    <row r="1244" ht="15" customHeight="1" s="122">
      <c r="A1244" s="179" t="inlineStr">
        <is>
          <t>KBB 105Q</t>
        </is>
      </c>
      <c r="B1244" s="180" t="n">
        <v>46114.76961805556</v>
      </c>
      <c r="C1244" s="180" t="n">
        <v>46114.77571759259</v>
      </c>
      <c r="D1244" s="173" t="inlineStr">
        <is>
          <t>1.46 Km</t>
        </is>
      </c>
      <c r="E1244" s="181" t="n">
        <v>12</v>
      </c>
      <c r="F1244" s="182" t="n">
        <v>34</v>
      </c>
      <c r="G1244" s="172" t="inlineStr">
        <is>
          <t>No</t>
        </is>
      </c>
      <c r="H1244" s="170">
        <f>IF(A1244="","",IF(OR(NOT(ISNUMBER(C1244)),C1244=""),"No",IF(AND(HOUR(C1244)&gt;=0,HOUR(C1244)&lt;5),"Yes","No")))</f>
        <v/>
      </c>
      <c r="I1244" s="183">
        <f>IF(OR(B1244="",NOT(ISNUMBER(B1244))),"",INT(B1244))</f>
        <v/>
      </c>
    </row>
    <row r="1245" ht="15" customHeight="1" s="122">
      <c r="A1245" s="179" t="inlineStr">
        <is>
          <t>KBB 105Q</t>
        </is>
      </c>
      <c r="B1245" s="180" t="n">
        <v>46114.890625</v>
      </c>
      <c r="C1245" s="180" t="n">
        <v>46114.91311342592</v>
      </c>
      <c r="D1245" s="173" t="inlineStr">
        <is>
          <t>18.85 Km</t>
        </is>
      </c>
      <c r="E1245" s="181" t="n">
        <v>36</v>
      </c>
      <c r="F1245" s="182" t="n">
        <v>82</v>
      </c>
      <c r="G1245" s="172" t="inlineStr">
        <is>
          <t>No</t>
        </is>
      </c>
      <c r="H1245" s="170">
        <f>IF(A1245="","",IF(OR(NOT(ISNUMBER(C1245)),C1245=""),"No",IF(AND(HOUR(C1245)&gt;=0,HOUR(C1245)&lt;5),"Yes","No")))</f>
        <v/>
      </c>
      <c r="I1245" s="183">
        <f>IF(OR(B1245="",NOT(ISNUMBER(B1245))),"",INT(B1245))</f>
        <v/>
      </c>
    </row>
    <row r="1246" ht="15" customHeight="1" s="122">
      <c r="A1246" s="179" t="inlineStr">
        <is>
          <t>KBB 105Q</t>
        </is>
      </c>
      <c r="B1246" s="180" t="n">
        <v>46144.44297453704</v>
      </c>
      <c r="C1246" s="180" t="n">
        <v>46144.45</v>
      </c>
      <c r="D1246" s="173" t="inlineStr">
        <is>
          <t>4.68 Km</t>
        </is>
      </c>
      <c r="E1246" s="181" t="n">
        <v>27</v>
      </c>
      <c r="F1246" s="182" t="n">
        <v>58</v>
      </c>
      <c r="G1246" s="172" t="inlineStr">
        <is>
          <t>No</t>
        </is>
      </c>
      <c r="H1246" s="170">
        <f>IF(A1246="","",IF(OR(NOT(ISNUMBER(C1246)),C1246=""),"No",IF(AND(HOUR(C1246)&gt;=0,HOUR(C1246)&lt;5),"Yes","No")))</f>
        <v/>
      </c>
      <c r="I1246" s="183">
        <f>IF(OR(B1246="",NOT(ISNUMBER(B1246))),"",INT(B1246))</f>
        <v/>
      </c>
    </row>
    <row r="1247" ht="15" customHeight="1" s="122">
      <c r="A1247" s="179" t="inlineStr">
        <is>
          <t>KBB 105Q</t>
        </is>
      </c>
      <c r="B1247" s="180" t="n">
        <v>46144.46186342592</v>
      </c>
      <c r="C1247" s="180" t="n">
        <v>46144.46412037037</v>
      </c>
      <c r="D1247" s="173" t="inlineStr">
        <is>
          <t>0.77 Km</t>
        </is>
      </c>
      <c r="E1247" s="181" t="n">
        <v>13</v>
      </c>
      <c r="F1247" s="182" t="n">
        <v>25</v>
      </c>
      <c r="G1247" s="172" t="inlineStr">
        <is>
          <t>No</t>
        </is>
      </c>
      <c r="H1247" s="170">
        <f>IF(A1247="","",IF(OR(NOT(ISNUMBER(C1247)),C1247=""),"No",IF(AND(HOUR(C1247)&gt;=0,HOUR(C1247)&lt;5),"Yes","No")))</f>
        <v/>
      </c>
      <c r="I1247" s="183">
        <f>IF(OR(B1247="",NOT(ISNUMBER(B1247))),"",INT(B1247))</f>
        <v/>
      </c>
    </row>
    <row r="1248" ht="15" customHeight="1" s="122">
      <c r="A1248" s="179" t="inlineStr">
        <is>
          <t>KBB 105Q</t>
        </is>
      </c>
      <c r="B1248" s="180" t="n">
        <v>46144.6896412037</v>
      </c>
      <c r="C1248" s="180" t="n">
        <v>46144.70003472222</v>
      </c>
      <c r="D1248" s="173" t="inlineStr">
        <is>
          <t>8.33 Km</t>
        </is>
      </c>
      <c r="E1248" s="181" t="n">
        <v>34</v>
      </c>
      <c r="F1248" s="182" t="n">
        <v>65</v>
      </c>
      <c r="G1248" s="172" t="inlineStr">
        <is>
          <t>No</t>
        </is>
      </c>
      <c r="H1248" s="170">
        <f>IF(A1248="","",IF(OR(NOT(ISNUMBER(C1248)),C1248=""),"No",IF(AND(HOUR(C1248)&gt;=0,HOUR(C1248)&lt;5),"Yes","No")))</f>
        <v/>
      </c>
      <c r="I1248" s="183">
        <f>IF(OR(B1248="",NOT(ISNUMBER(B1248))),"",INT(B1248))</f>
        <v/>
      </c>
    </row>
    <row r="1249" ht="15" customHeight="1" s="122">
      <c r="A1249" s="179" t="inlineStr">
        <is>
          <t>KBB 105Q</t>
        </is>
      </c>
      <c r="B1249" s="180" t="n">
        <v>46144.70368055555</v>
      </c>
      <c r="C1249" s="180" t="n">
        <v>46144.70641203703</v>
      </c>
      <c r="D1249" s="173" t="inlineStr">
        <is>
          <t>1.8 Km</t>
        </is>
      </c>
      <c r="E1249" s="181" t="n">
        <v>26</v>
      </c>
      <c r="F1249" s="182" t="n">
        <v>64</v>
      </c>
      <c r="G1249" s="172" t="inlineStr">
        <is>
          <t>No</t>
        </is>
      </c>
      <c r="H1249" s="170">
        <f>IF(A1249="","",IF(OR(NOT(ISNUMBER(C1249)),C1249=""),"No",IF(AND(HOUR(C1249)&gt;=0,HOUR(C1249)&lt;5),"Yes","No")))</f>
        <v/>
      </c>
      <c r="I1249" s="183">
        <f>IF(OR(B1249="",NOT(ISNUMBER(B1249))),"",INT(B1249))</f>
        <v/>
      </c>
    </row>
    <row r="1250" ht="15" customHeight="1" s="122">
      <c r="A1250" s="179" t="inlineStr">
        <is>
          <t>KBB 105Q</t>
        </is>
      </c>
      <c r="B1250" s="180" t="n">
        <v>46144.74641203704</v>
      </c>
      <c r="C1250" s="180" t="n">
        <v>46144.7472337963</v>
      </c>
      <c r="D1250" s="173" t="inlineStr">
        <is>
          <t>0.05 Km</t>
        </is>
      </c>
      <c r="E1250" s="181" t="n">
        <v>11</v>
      </c>
      <c r="F1250" s="182" t="n">
        <v>15</v>
      </c>
      <c r="G1250" s="172" t="inlineStr">
        <is>
          <t>No</t>
        </is>
      </c>
      <c r="H1250" s="170">
        <f>IF(A1250="","",IF(OR(NOT(ISNUMBER(C1250)),C1250=""),"No",IF(AND(HOUR(C1250)&gt;=0,HOUR(C1250)&lt;5),"Yes","No")))</f>
        <v/>
      </c>
      <c r="I1250" s="183">
        <f>IF(OR(B1250="",NOT(ISNUMBER(B1250))),"",INT(B1250))</f>
        <v/>
      </c>
    </row>
    <row r="1251" ht="15" customHeight="1" s="122">
      <c r="A1251" s="179" t="inlineStr">
        <is>
          <t>KBB 105Q</t>
        </is>
      </c>
      <c r="B1251" s="180" t="n">
        <v>46144.74865740741</v>
      </c>
      <c r="C1251" s="180" t="n">
        <v>46144.75590277778</v>
      </c>
      <c r="D1251" s="173" t="inlineStr">
        <is>
          <t>6.22 Km</t>
        </is>
      </c>
      <c r="E1251" s="181" t="n">
        <v>36</v>
      </c>
      <c r="F1251" s="182" t="n">
        <v>71</v>
      </c>
      <c r="G1251" s="172" t="inlineStr">
        <is>
          <t>No</t>
        </is>
      </c>
      <c r="H1251" s="170">
        <f>IF(A1251="","",IF(OR(NOT(ISNUMBER(C1251)),C1251=""),"No",IF(AND(HOUR(C1251)&gt;=0,HOUR(C1251)&lt;5),"Yes","No")))</f>
        <v/>
      </c>
      <c r="I1251" s="183">
        <f>IF(OR(B1251="",NOT(ISNUMBER(B1251))),"",INT(B1251))</f>
        <v/>
      </c>
    </row>
    <row r="1252" ht="15" customHeight="1" s="122">
      <c r="A1252" s="179" t="inlineStr">
        <is>
          <t>KBB 105Q</t>
        </is>
      </c>
      <c r="B1252" s="180" t="n">
        <v>46144.75877314815</v>
      </c>
      <c r="C1252" s="180" t="n">
        <v>46144.7628125</v>
      </c>
      <c r="D1252" s="173" t="inlineStr">
        <is>
          <t>2.43 Km</t>
        </is>
      </c>
      <c r="E1252" s="181" t="n">
        <v>24</v>
      </c>
      <c r="F1252" s="182" t="n">
        <v>65</v>
      </c>
      <c r="G1252" s="172" t="inlineStr">
        <is>
          <t>No</t>
        </is>
      </c>
      <c r="H1252" s="170">
        <f>IF(A1252="","",IF(OR(NOT(ISNUMBER(C1252)),C1252=""),"No",IF(AND(HOUR(C1252)&gt;=0,HOUR(C1252)&lt;5),"Yes","No")))</f>
        <v/>
      </c>
      <c r="I1252" s="183">
        <f>IF(OR(B1252="",NOT(ISNUMBER(B1252))),"",INT(B1252))</f>
        <v/>
      </c>
    </row>
    <row r="1253" ht="15" customHeight="1" s="122">
      <c r="A1253" s="179" t="inlineStr">
        <is>
          <t>KBB 105Q</t>
        </is>
      </c>
      <c r="B1253" s="180" t="n">
        <v>46144.7777662037</v>
      </c>
      <c r="C1253" s="180" t="n">
        <v>46144.79211805556</v>
      </c>
      <c r="D1253" s="173" t="inlineStr">
        <is>
          <t>8.82 Km</t>
        </is>
      </c>
      <c r="E1253" s="181" t="n">
        <v>24</v>
      </c>
      <c r="F1253" s="182" t="n">
        <v>60</v>
      </c>
      <c r="G1253" s="172" t="inlineStr">
        <is>
          <t>No</t>
        </is>
      </c>
      <c r="H1253" s="170">
        <f>IF(A1253="","",IF(OR(NOT(ISNUMBER(C1253)),C1253=""),"No",IF(AND(HOUR(C1253)&gt;=0,HOUR(C1253)&lt;5),"Yes","No")))</f>
        <v/>
      </c>
      <c r="I1253" s="183">
        <f>IF(OR(B1253="",NOT(ISNUMBER(B1253))),"",INT(B1253))</f>
        <v/>
      </c>
    </row>
    <row r="1254" ht="15" customHeight="1" s="122">
      <c r="A1254" s="179" t="inlineStr">
        <is>
          <t>KBB 105Q</t>
        </is>
      </c>
      <c r="B1254" s="180" t="n">
        <v>46144.80063657407</v>
      </c>
      <c r="C1254" s="180" t="n">
        <v>46144.80259259259</v>
      </c>
      <c r="D1254" s="173" t="inlineStr">
        <is>
          <t>0.43 Km</t>
        </is>
      </c>
      <c r="E1254" s="181" t="n">
        <v>10</v>
      </c>
      <c r="F1254" s="182" t="n">
        <v>23</v>
      </c>
      <c r="G1254" s="172" t="inlineStr">
        <is>
          <t>No</t>
        </is>
      </c>
      <c r="H1254" s="170">
        <f>IF(A1254="","",IF(OR(NOT(ISNUMBER(C1254)),C1254=""),"No",IF(AND(HOUR(C1254)&gt;=0,HOUR(C1254)&lt;5),"Yes","No")))</f>
        <v/>
      </c>
      <c r="I1254" s="183">
        <f>IF(OR(B1254="",NOT(ISNUMBER(B1254))),"",INT(B1254))</f>
        <v/>
      </c>
    </row>
    <row r="1255" ht="15" customHeight="1" s="122">
      <c r="A1255" s="179" t="inlineStr">
        <is>
          <t>KBB 105Q</t>
        </is>
      </c>
      <c r="B1255" s="180" t="n">
        <v>46175.34236111111</v>
      </c>
      <c r="C1255" s="180" t="n">
        <v>46175.34283564815</v>
      </c>
      <c r="D1255" s="173" t="inlineStr">
        <is>
          <t>0.03 Km</t>
        </is>
      </c>
      <c r="E1255" s="181" t="n">
        <v>6</v>
      </c>
      <c r="F1255" s="182" t="n">
        <v>6</v>
      </c>
      <c r="G1255" s="172" t="inlineStr">
        <is>
          <t>No</t>
        </is>
      </c>
      <c r="H1255" s="170">
        <f>IF(A1255="","",IF(OR(NOT(ISNUMBER(C1255)),C1255=""),"No",IF(AND(HOUR(C1255)&gt;=0,HOUR(C1255)&lt;5),"Yes","No")))</f>
        <v/>
      </c>
      <c r="I1255" s="183">
        <f>IF(OR(B1255="",NOT(ISNUMBER(B1255))),"",INT(B1255))</f>
        <v/>
      </c>
    </row>
    <row r="1256" ht="15" customHeight="1" s="122">
      <c r="A1256" s="179" t="inlineStr">
        <is>
          <t>KBB 105Q</t>
        </is>
      </c>
      <c r="B1256" s="180" t="n">
        <v>46175.34627314815</v>
      </c>
      <c r="C1256" s="180" t="n">
        <v>46175.4152662037</v>
      </c>
      <c r="D1256" s="173" t="inlineStr">
        <is>
          <t>95.32 Km</t>
        </is>
      </c>
      <c r="E1256" s="181" t="n">
        <v>58</v>
      </c>
      <c r="F1256" s="182" t="n">
        <v>83</v>
      </c>
      <c r="G1256" s="172" t="inlineStr">
        <is>
          <t>No</t>
        </is>
      </c>
      <c r="H1256" s="170">
        <f>IF(A1256="","",IF(OR(NOT(ISNUMBER(C1256)),C1256=""),"No",IF(AND(HOUR(C1256)&gt;=0,HOUR(C1256)&lt;5),"Yes","No")))</f>
        <v/>
      </c>
      <c r="I1256" s="183">
        <f>IF(OR(B1256="",NOT(ISNUMBER(B1256))),"",INT(B1256))</f>
        <v/>
      </c>
    </row>
    <row r="1257" ht="15" customHeight="1" s="122">
      <c r="A1257" s="179" t="inlineStr">
        <is>
          <t>KBB 105Q</t>
        </is>
      </c>
      <c r="B1257" s="180" t="n">
        <v>46175.42125</v>
      </c>
      <c r="C1257" s="180" t="n">
        <v>46175.43351851852</v>
      </c>
      <c r="D1257" s="173" t="inlineStr">
        <is>
          <t>13.89 Km</t>
        </is>
      </c>
      <c r="E1257" s="181" t="n">
        <v>44</v>
      </c>
      <c r="F1257" s="182" t="n">
        <v>67</v>
      </c>
      <c r="G1257" s="172" t="inlineStr">
        <is>
          <t>No</t>
        </is>
      </c>
      <c r="H1257" s="170">
        <f>IF(A1257="","",IF(OR(NOT(ISNUMBER(C1257)),C1257=""),"No",IF(AND(HOUR(C1257)&gt;=0,HOUR(C1257)&lt;5),"Yes","No")))</f>
        <v/>
      </c>
      <c r="I1257" s="183">
        <f>IF(OR(B1257="",NOT(ISNUMBER(B1257))),"",INT(B1257))</f>
        <v/>
      </c>
    </row>
    <row r="1258" ht="15" customHeight="1" s="122">
      <c r="A1258" s="179" t="inlineStr">
        <is>
          <t>KBB 105Q</t>
        </is>
      </c>
      <c r="B1258" s="180" t="n">
        <v>46175.44834490741</v>
      </c>
      <c r="C1258" s="180" t="n">
        <v>46175.45407407408</v>
      </c>
      <c r="D1258" s="173" t="inlineStr">
        <is>
          <t>5.11 Km</t>
        </is>
      </c>
      <c r="E1258" s="181" t="n">
        <v>38</v>
      </c>
      <c r="F1258" s="182" t="n">
        <v>66</v>
      </c>
      <c r="G1258" s="172" t="inlineStr">
        <is>
          <t>No</t>
        </is>
      </c>
      <c r="H1258" s="170">
        <f>IF(A1258="","",IF(OR(NOT(ISNUMBER(C1258)),C1258=""),"No",IF(AND(HOUR(C1258)&gt;=0,HOUR(C1258)&lt;5),"Yes","No")))</f>
        <v/>
      </c>
      <c r="I1258" s="183">
        <f>IF(OR(B1258="",NOT(ISNUMBER(B1258))),"",INT(B1258))</f>
        <v/>
      </c>
    </row>
    <row r="1259" ht="15" customHeight="1" s="122">
      <c r="A1259" s="179" t="inlineStr">
        <is>
          <t>KBB 105Q</t>
        </is>
      </c>
      <c r="B1259" s="180" t="n">
        <v>46175.45708333333</v>
      </c>
      <c r="C1259" s="180" t="n">
        <v>46175.46127314815</v>
      </c>
      <c r="D1259" s="173" t="inlineStr">
        <is>
          <t>1.3 Km</t>
        </is>
      </c>
      <c r="E1259" s="181" t="n">
        <v>12</v>
      </c>
      <c r="F1259" s="182" t="n">
        <v>41</v>
      </c>
      <c r="G1259" s="172" t="inlineStr">
        <is>
          <t>No</t>
        </is>
      </c>
      <c r="H1259" s="170">
        <f>IF(A1259="","",IF(OR(NOT(ISNUMBER(C1259)),C1259=""),"No",IF(AND(HOUR(C1259)&gt;=0,HOUR(C1259)&lt;5),"Yes","No")))</f>
        <v/>
      </c>
      <c r="I1259" s="183">
        <f>IF(OR(B1259="",NOT(ISNUMBER(B1259))),"",INT(B1259))</f>
        <v/>
      </c>
    </row>
    <row r="1260" ht="15" customHeight="1" s="122">
      <c r="A1260" s="179" t="inlineStr">
        <is>
          <t>KBB 105Q</t>
        </is>
      </c>
      <c r="B1260" s="180" t="n">
        <v>46175.57724537037</v>
      </c>
      <c r="C1260" s="180" t="n">
        <v>46175.5809837963</v>
      </c>
      <c r="D1260" s="173" t="inlineStr">
        <is>
          <t>1.52 Km</t>
        </is>
      </c>
      <c r="E1260" s="181" t="n">
        <v>12</v>
      </c>
      <c r="F1260" s="182" t="n">
        <v>32</v>
      </c>
      <c r="G1260" s="172" t="inlineStr">
        <is>
          <t>No</t>
        </is>
      </c>
      <c r="H1260" s="170">
        <f>IF(A1260="","",IF(OR(NOT(ISNUMBER(C1260)),C1260=""),"No",IF(AND(HOUR(C1260)&gt;=0,HOUR(C1260)&lt;5),"Yes","No")))</f>
        <v/>
      </c>
      <c r="I1260" s="183">
        <f>IF(OR(B1260="",NOT(ISNUMBER(B1260))),"",INT(B1260))</f>
        <v/>
      </c>
    </row>
    <row r="1261" ht="15" customHeight="1" s="122">
      <c r="A1261" s="179" t="inlineStr">
        <is>
          <t>KBB 105Q</t>
        </is>
      </c>
      <c r="B1261" s="180" t="n">
        <v>46175.65315972222</v>
      </c>
      <c r="C1261" s="180" t="n">
        <v>46175.65378472222</v>
      </c>
      <c r="D1261" s="173" t="inlineStr">
        <is>
          <t>0.15 Km</t>
        </is>
      </c>
      <c r="E1261" s="181" t="n">
        <v>8</v>
      </c>
      <c r="F1261" s="182" t="n">
        <v>18</v>
      </c>
      <c r="G1261" s="172" t="inlineStr">
        <is>
          <t>No</t>
        </is>
      </c>
      <c r="H1261" s="170">
        <f>IF(A1261="","",IF(OR(NOT(ISNUMBER(C1261)),C1261=""),"No",IF(AND(HOUR(C1261)&gt;=0,HOUR(C1261)&lt;5),"Yes","No")))</f>
        <v/>
      </c>
      <c r="I1261" s="183">
        <f>IF(OR(B1261="",NOT(ISNUMBER(B1261))),"",INT(B1261))</f>
        <v/>
      </c>
    </row>
    <row r="1262" ht="15" customHeight="1" s="122">
      <c r="A1262" s="179" t="inlineStr">
        <is>
          <t>KBB 105Q</t>
        </is>
      </c>
      <c r="B1262" s="180" t="n">
        <v>46175.65592592592</v>
      </c>
      <c r="C1262" s="180" t="n">
        <v>46175.68939814815</v>
      </c>
      <c r="D1262" s="173" t="inlineStr">
        <is>
          <t>29.98 Km</t>
        </is>
      </c>
      <c r="E1262" s="181" t="n">
        <v>38</v>
      </c>
      <c r="F1262" s="182" t="n">
        <v>68</v>
      </c>
      <c r="G1262" s="172" t="inlineStr">
        <is>
          <t>No</t>
        </is>
      </c>
      <c r="H1262" s="170">
        <f>IF(A1262="","",IF(OR(NOT(ISNUMBER(C1262)),C1262=""),"No",IF(AND(HOUR(C1262)&gt;=0,HOUR(C1262)&lt;5),"Yes","No")))</f>
        <v/>
      </c>
      <c r="I1262" s="183">
        <f>IF(OR(B1262="",NOT(ISNUMBER(B1262))),"",INT(B1262))</f>
        <v/>
      </c>
    </row>
    <row r="1263" ht="15" customHeight="1" s="122">
      <c r="A1263" s="179" t="inlineStr">
        <is>
          <t>KBB 105Q</t>
        </is>
      </c>
      <c r="B1263" s="180" t="n">
        <v>46175.69333333334</v>
      </c>
      <c r="C1263" s="180" t="n">
        <v>46175.70961805555</v>
      </c>
      <c r="D1263" s="173" t="inlineStr">
        <is>
          <t>9.81 Km</t>
        </is>
      </c>
      <c r="E1263" s="181" t="n">
        <v>26</v>
      </c>
      <c r="F1263" s="182" t="n">
        <v>52</v>
      </c>
      <c r="G1263" s="172" t="inlineStr">
        <is>
          <t>No</t>
        </is>
      </c>
      <c r="H1263" s="170">
        <f>IF(A1263="","",IF(OR(NOT(ISNUMBER(C1263)),C1263=""),"No",IF(AND(HOUR(C1263)&gt;=0,HOUR(C1263)&lt;5),"Yes","No")))</f>
        <v/>
      </c>
      <c r="I1263" s="183">
        <f>IF(OR(B1263="",NOT(ISNUMBER(B1263))),"",INT(B1263))</f>
        <v/>
      </c>
    </row>
    <row r="1264" ht="15" customHeight="1" s="122">
      <c r="A1264" s="179" t="inlineStr">
        <is>
          <t>KBB 105Q</t>
        </is>
      </c>
      <c r="B1264" s="180" t="n">
        <v>46175.75206018519</v>
      </c>
      <c r="C1264" s="180" t="n">
        <v>46175.75934027778</v>
      </c>
      <c r="D1264" s="173" t="inlineStr">
        <is>
          <t>2.16 Km</t>
        </is>
      </c>
      <c r="E1264" s="181" t="n">
        <v>15</v>
      </c>
      <c r="F1264" s="182" t="n">
        <v>33</v>
      </c>
      <c r="G1264" s="172" t="inlineStr">
        <is>
          <t>No</t>
        </is>
      </c>
      <c r="H1264" s="170">
        <f>IF(A1264="","",IF(OR(NOT(ISNUMBER(C1264)),C1264=""),"No",IF(AND(HOUR(C1264)&gt;=0,HOUR(C1264)&lt;5),"Yes","No")))</f>
        <v/>
      </c>
      <c r="I1264" s="183">
        <f>IF(OR(B1264="",NOT(ISNUMBER(B1264))),"",INT(B1264))</f>
        <v/>
      </c>
    </row>
    <row r="1265" ht="15" customHeight="1" s="122">
      <c r="A1265" s="179" t="inlineStr">
        <is>
          <t>KBB 105Q</t>
        </is>
      </c>
      <c r="B1265" s="180" t="n">
        <v>46175.78973379629</v>
      </c>
      <c r="C1265" s="180" t="n">
        <v>46175.81846064814</v>
      </c>
      <c r="D1265" s="173" t="inlineStr">
        <is>
          <t>23.27 Km</t>
        </is>
      </c>
      <c r="E1265" s="181" t="n">
        <v>34</v>
      </c>
      <c r="F1265" s="182" t="n">
        <v>65</v>
      </c>
      <c r="G1265" s="172" t="inlineStr">
        <is>
          <t>No</t>
        </is>
      </c>
      <c r="H1265" s="170">
        <f>IF(A1265="","",IF(OR(NOT(ISNUMBER(C1265)),C1265=""),"No",IF(AND(HOUR(C1265)&gt;=0,HOUR(C1265)&lt;5),"Yes","No")))</f>
        <v/>
      </c>
      <c r="I1265" s="183">
        <f>IF(OR(B1265="",NOT(ISNUMBER(B1265))),"",INT(B1265))</f>
        <v/>
      </c>
    </row>
    <row r="1266" ht="15" customHeight="1" s="122">
      <c r="A1266" s="179" t="inlineStr">
        <is>
          <t>KBB 105Q</t>
        </is>
      </c>
      <c r="B1266" s="180" t="n">
        <v>46175.83569444445</v>
      </c>
      <c r="C1266" s="180" t="n">
        <v>46175.84351851852</v>
      </c>
      <c r="D1266" s="173" t="inlineStr">
        <is>
          <t>2.99 Km</t>
        </is>
      </c>
      <c r="E1266" s="181" t="n">
        <v>13</v>
      </c>
      <c r="F1266" s="182" t="n">
        <v>46</v>
      </c>
      <c r="G1266" s="172" t="inlineStr">
        <is>
          <t>No</t>
        </is>
      </c>
      <c r="H1266" s="170">
        <f>IF(A1266="","",IF(OR(NOT(ISNUMBER(C1266)),C1266=""),"No",IF(AND(HOUR(C1266)&gt;=0,HOUR(C1266)&lt;5),"Yes","No")))</f>
        <v/>
      </c>
      <c r="I1266" s="183">
        <f>IF(OR(B1266="",NOT(ISNUMBER(B1266))),"",INT(B1266))</f>
        <v/>
      </c>
    </row>
    <row r="1267" ht="15" customHeight="1" s="122">
      <c r="A1267" s="179" t="inlineStr">
        <is>
          <t>KBB 105Q</t>
        </is>
      </c>
      <c r="B1267" s="180" t="n">
        <v>46205.60054398148</v>
      </c>
      <c r="C1267" s="180" t="n">
        <v>46205.63177083333</v>
      </c>
      <c r="D1267" s="173" t="inlineStr">
        <is>
          <t>27.78 Km</t>
        </is>
      </c>
      <c r="E1267" s="181" t="n">
        <v>36</v>
      </c>
      <c r="F1267" s="182" t="n">
        <v>70</v>
      </c>
      <c r="G1267" s="172" t="inlineStr">
        <is>
          <t>No</t>
        </is>
      </c>
      <c r="H1267" s="170">
        <f>IF(A1267="","",IF(OR(NOT(ISNUMBER(C1267)),C1267=""),"No",IF(AND(HOUR(C1267)&gt;=0,HOUR(C1267)&lt;5),"Yes","No")))</f>
        <v/>
      </c>
      <c r="I1267" s="183">
        <f>IF(OR(B1267="",NOT(ISNUMBER(B1267))),"",INT(B1267))</f>
        <v/>
      </c>
    </row>
    <row r="1268" ht="15" customHeight="1" s="122">
      <c r="A1268" s="179" t="inlineStr">
        <is>
          <t>KBB 105Q</t>
        </is>
      </c>
      <c r="B1268" s="180" t="n">
        <v>46205.63761574074</v>
      </c>
      <c r="C1268" s="180" t="n">
        <v>46205.64255787037</v>
      </c>
      <c r="D1268" s="173" t="inlineStr">
        <is>
          <t>2.21 Km</t>
        </is>
      </c>
      <c r="E1268" s="181" t="n">
        <v>17</v>
      </c>
      <c r="F1268" s="182" t="n">
        <v>42</v>
      </c>
      <c r="G1268" s="172" t="inlineStr">
        <is>
          <t>No</t>
        </is>
      </c>
      <c r="H1268" s="170">
        <f>IF(A1268="","",IF(OR(NOT(ISNUMBER(C1268)),C1268=""),"No",IF(AND(HOUR(C1268)&gt;=0,HOUR(C1268)&lt;5),"Yes","No")))</f>
        <v/>
      </c>
      <c r="I1268" s="183">
        <f>IF(OR(B1268="",NOT(ISNUMBER(B1268))),"",INT(B1268))</f>
        <v/>
      </c>
    </row>
    <row r="1269" ht="15" customHeight="1" s="122">
      <c r="A1269" s="179" t="inlineStr">
        <is>
          <t>KBB 105Q</t>
        </is>
      </c>
      <c r="B1269" s="180" t="n">
        <v>46205.68013888889</v>
      </c>
      <c r="C1269" s="180" t="n">
        <v>46205.71540509259</v>
      </c>
      <c r="D1269" s="173" t="inlineStr">
        <is>
          <t>25.88 Km</t>
        </is>
      </c>
      <c r="E1269" s="181" t="n">
        <v>31</v>
      </c>
      <c r="F1269" s="182" t="n">
        <v>60</v>
      </c>
      <c r="G1269" s="172" t="inlineStr">
        <is>
          <t>No</t>
        </is>
      </c>
      <c r="H1269" s="170">
        <f>IF(A1269="","",IF(OR(NOT(ISNUMBER(C1269)),C1269=""),"No",IF(AND(HOUR(C1269)&gt;=0,HOUR(C1269)&lt;5),"Yes","No")))</f>
        <v/>
      </c>
      <c r="I1269" s="183">
        <f>IF(OR(B1269="",NOT(ISNUMBER(B1269))),"",INT(B1269))</f>
        <v/>
      </c>
    </row>
    <row r="1270" ht="15" customHeight="1" s="122">
      <c r="A1270" s="179" t="inlineStr">
        <is>
          <t>KBB 105Q</t>
        </is>
      </c>
      <c r="B1270" s="180" t="n">
        <v>46236.38320601852</v>
      </c>
      <c r="C1270" s="180" t="n">
        <v>46236.40349537037</v>
      </c>
      <c r="D1270" s="173" t="inlineStr">
        <is>
          <t>18.32 Km</t>
        </is>
      </c>
      <c r="E1270" s="181" t="n">
        <v>39</v>
      </c>
      <c r="F1270" s="182" t="n">
        <v>70</v>
      </c>
      <c r="G1270" s="172" t="inlineStr">
        <is>
          <t>No</t>
        </is>
      </c>
      <c r="H1270" s="170">
        <f>IF(A1270="","",IF(OR(NOT(ISNUMBER(C1270)),C1270=""),"No",IF(AND(HOUR(C1270)&gt;=0,HOUR(C1270)&lt;5),"Yes","No")))</f>
        <v/>
      </c>
      <c r="I1270" s="183">
        <f>IF(OR(B1270="",NOT(ISNUMBER(B1270))),"",INT(B1270))</f>
        <v/>
      </c>
    </row>
    <row r="1271" ht="15" customHeight="1" s="122">
      <c r="A1271" s="179" t="inlineStr">
        <is>
          <t>KBB 105Q</t>
        </is>
      </c>
      <c r="B1271" s="180" t="n">
        <v>46236.40537037037</v>
      </c>
      <c r="C1271" s="180" t="n">
        <v>46236.41446759259</v>
      </c>
      <c r="D1271" s="173" t="inlineStr">
        <is>
          <t>7.62 Km</t>
        </is>
      </c>
      <c r="E1271" s="181" t="n">
        <v>34</v>
      </c>
      <c r="F1271" s="182" t="n">
        <v>60</v>
      </c>
      <c r="G1271" s="172" t="inlineStr">
        <is>
          <t>No</t>
        </is>
      </c>
      <c r="H1271" s="170">
        <f>IF(A1271="","",IF(OR(NOT(ISNUMBER(C1271)),C1271=""),"No",IF(AND(HOUR(C1271)&gt;=0,HOUR(C1271)&lt;5),"Yes","No")))</f>
        <v/>
      </c>
      <c r="I1271" s="183">
        <f>IF(OR(B1271="",NOT(ISNUMBER(B1271))),"",INT(B1271))</f>
        <v/>
      </c>
    </row>
    <row r="1272" ht="15" customHeight="1" s="122">
      <c r="A1272" s="179" t="inlineStr">
        <is>
          <t>KBB 105Q</t>
        </is>
      </c>
      <c r="B1272" s="180" t="n">
        <v>46236.41741898148</v>
      </c>
      <c r="C1272" s="180" t="n">
        <v>46236.42125</v>
      </c>
      <c r="D1272" s="173" t="inlineStr">
        <is>
          <t>1.08 Km</t>
        </is>
      </c>
      <c r="E1272" s="181" t="n">
        <v>14</v>
      </c>
      <c r="F1272" s="182" t="n">
        <v>32</v>
      </c>
      <c r="G1272" s="172" t="inlineStr">
        <is>
          <t>No</t>
        </is>
      </c>
      <c r="H1272" s="170">
        <f>IF(A1272="","",IF(OR(NOT(ISNUMBER(C1272)),C1272=""),"No",IF(AND(HOUR(C1272)&gt;=0,HOUR(C1272)&lt;5),"Yes","No")))</f>
        <v/>
      </c>
      <c r="I1272" s="183">
        <f>IF(OR(B1272="",NOT(ISNUMBER(B1272))),"",INT(B1272))</f>
        <v/>
      </c>
    </row>
    <row r="1273" ht="15" customHeight="1" s="122">
      <c r="A1273" s="179" t="inlineStr">
        <is>
          <t>KBB 105Q</t>
        </is>
      </c>
      <c r="B1273" s="180" t="n">
        <v>46236.43143518519</v>
      </c>
      <c r="C1273" s="180" t="n">
        <v>46236.45503472222</v>
      </c>
      <c r="D1273" s="173" t="inlineStr">
        <is>
          <t>24.14 Km</t>
        </is>
      </c>
      <c r="E1273" s="181" t="n">
        <v>45</v>
      </c>
      <c r="F1273" s="182" t="n">
        <v>75</v>
      </c>
      <c r="G1273" s="172" t="inlineStr">
        <is>
          <t>No</t>
        </is>
      </c>
      <c r="H1273" s="170">
        <f>IF(A1273="","",IF(OR(NOT(ISNUMBER(C1273)),C1273=""),"No",IF(AND(HOUR(C1273)&gt;=0,HOUR(C1273)&lt;5),"Yes","No")))</f>
        <v/>
      </c>
      <c r="I1273" s="183">
        <f>IF(OR(B1273="",NOT(ISNUMBER(B1273))),"",INT(B1273))</f>
        <v/>
      </c>
    </row>
    <row r="1274" ht="15" customHeight="1" s="122">
      <c r="A1274" s="179" t="inlineStr">
        <is>
          <t>KBB 105Q</t>
        </is>
      </c>
      <c r="B1274" s="180" t="n">
        <v>46236.49010416667</v>
      </c>
      <c r="C1274" s="180" t="n">
        <v>46236.49265046296</v>
      </c>
      <c r="D1274" s="173" t="inlineStr">
        <is>
          <t>0.61 Km</t>
        </is>
      </c>
      <c r="E1274" s="181" t="n">
        <v>9</v>
      </c>
      <c r="F1274" s="182" t="n">
        <v>18</v>
      </c>
      <c r="G1274" s="172" t="inlineStr">
        <is>
          <t>No</t>
        </is>
      </c>
      <c r="H1274" s="170">
        <f>IF(A1274="","",IF(OR(NOT(ISNUMBER(C1274)),C1274=""),"No",IF(AND(HOUR(C1274)&gt;=0,HOUR(C1274)&lt;5),"Yes","No")))</f>
        <v/>
      </c>
      <c r="I1274" s="183">
        <f>IF(OR(B1274="",NOT(ISNUMBER(B1274))),"",INT(B1274))</f>
        <v/>
      </c>
    </row>
    <row r="1275" ht="15" customHeight="1" s="122">
      <c r="A1275" s="179" t="inlineStr">
        <is>
          <t>KBB 105Q</t>
        </is>
      </c>
      <c r="B1275" s="180" t="n">
        <v>46236.49527777778</v>
      </c>
      <c r="C1275" s="180" t="n">
        <v>46236.52922453704</v>
      </c>
      <c r="D1275" s="173" t="inlineStr">
        <is>
          <t>35.33 Km</t>
        </is>
      </c>
      <c r="E1275" s="181" t="n">
        <v>45</v>
      </c>
      <c r="F1275" s="182" t="n">
        <v>79</v>
      </c>
      <c r="G1275" s="172" t="inlineStr">
        <is>
          <t>No</t>
        </is>
      </c>
      <c r="H1275" s="170">
        <f>IF(A1275="","",IF(OR(NOT(ISNUMBER(C1275)),C1275=""),"No",IF(AND(HOUR(C1275)&gt;=0,HOUR(C1275)&lt;5),"Yes","No")))</f>
        <v/>
      </c>
      <c r="I1275" s="183">
        <f>IF(OR(B1275="",NOT(ISNUMBER(B1275))),"",INT(B1275))</f>
        <v/>
      </c>
    </row>
    <row r="1276" ht="15" customHeight="1" s="122">
      <c r="A1276" s="179" t="inlineStr">
        <is>
          <t>KBB 105Q</t>
        </is>
      </c>
      <c r="B1276" s="180" t="n">
        <v>46236.61994212963</v>
      </c>
      <c r="C1276" s="180" t="n">
        <v>46236.62283564815</v>
      </c>
      <c r="D1276" s="173" t="inlineStr">
        <is>
          <t>1.01 Km</t>
        </is>
      </c>
      <c r="E1276" s="181" t="n">
        <v>11</v>
      </c>
      <c r="F1276" s="182" t="n">
        <v>27</v>
      </c>
      <c r="G1276" s="172" t="inlineStr">
        <is>
          <t>No</t>
        </is>
      </c>
      <c r="H1276" s="170">
        <f>IF(A1276="","",IF(OR(NOT(ISNUMBER(C1276)),C1276=""),"No",IF(AND(HOUR(C1276)&gt;=0,HOUR(C1276)&lt;5),"Yes","No")))</f>
        <v/>
      </c>
      <c r="I1276" s="183">
        <f>IF(OR(B1276="",NOT(ISNUMBER(B1276))),"",INT(B1276))</f>
        <v/>
      </c>
    </row>
    <row r="1277" ht="15" customHeight="1" s="122">
      <c r="A1277" s="179" t="inlineStr">
        <is>
          <t>KBB 105Q</t>
        </is>
      </c>
      <c r="B1277" s="180" t="n">
        <v>46236.66106481481</v>
      </c>
      <c r="C1277" s="180" t="n">
        <v>46236.72273148148</v>
      </c>
      <c r="D1277" s="173" t="inlineStr">
        <is>
          <t>75.56 Km</t>
        </is>
      </c>
      <c r="E1277" s="181" t="n">
        <v>50</v>
      </c>
      <c r="F1277" s="182" t="n">
        <v>79</v>
      </c>
      <c r="G1277" s="172" t="inlineStr">
        <is>
          <t>No</t>
        </is>
      </c>
      <c r="H1277" s="170">
        <f>IF(A1277="","",IF(OR(NOT(ISNUMBER(C1277)),C1277=""),"No",IF(AND(HOUR(C1277)&gt;=0,HOUR(C1277)&lt;5),"Yes","No")))</f>
        <v/>
      </c>
      <c r="I1277" s="183">
        <f>IF(OR(B1277="",NOT(ISNUMBER(B1277))),"",INT(B1277))</f>
        <v/>
      </c>
    </row>
    <row r="1278" ht="15" customHeight="1" s="122">
      <c r="A1278" s="179" t="inlineStr">
        <is>
          <t>KBB 105Q</t>
        </is>
      </c>
      <c r="B1278" s="180" t="n">
        <v>46236.74947916667</v>
      </c>
      <c r="C1278" s="180" t="n">
        <v>46236.7546875</v>
      </c>
      <c r="D1278" s="173" t="inlineStr">
        <is>
          <t>3.39 Km</t>
        </is>
      </c>
      <c r="E1278" s="181" t="n">
        <v>33</v>
      </c>
      <c r="F1278" s="182" t="n">
        <v>54</v>
      </c>
      <c r="G1278" s="172" t="inlineStr">
        <is>
          <t>No</t>
        </is>
      </c>
      <c r="H1278" s="170">
        <f>IF(A1278="","",IF(OR(NOT(ISNUMBER(C1278)),C1278=""),"No",IF(AND(HOUR(C1278)&gt;=0,HOUR(C1278)&lt;5),"Yes","No")))</f>
        <v/>
      </c>
      <c r="I1278" s="183">
        <f>IF(OR(B1278="",NOT(ISNUMBER(B1278))),"",INT(B1278))</f>
        <v/>
      </c>
    </row>
    <row r="1279" ht="15" customHeight="1" s="122">
      <c r="A1279" s="179" t="inlineStr">
        <is>
          <t>KBB 105Q</t>
        </is>
      </c>
      <c r="B1279" s="180" t="n">
        <v>46236.76467592592</v>
      </c>
      <c r="C1279" s="180" t="n">
        <v>46236.77019675926</v>
      </c>
      <c r="D1279" s="173" t="inlineStr">
        <is>
          <t>2.49 Km</t>
        </is>
      </c>
      <c r="E1279" s="181" t="n">
        <v>19</v>
      </c>
      <c r="F1279" s="182" t="n">
        <v>42</v>
      </c>
      <c r="G1279" s="172" t="inlineStr">
        <is>
          <t>No</t>
        </is>
      </c>
      <c r="H1279" s="170">
        <f>IF(A1279="","",IF(OR(NOT(ISNUMBER(C1279)),C1279=""),"No",IF(AND(HOUR(C1279)&gt;=0,HOUR(C1279)&lt;5),"Yes","No")))</f>
        <v/>
      </c>
      <c r="I1279" s="183">
        <f>IF(OR(B1279="",NOT(ISNUMBER(B1279))),"",INT(B1279))</f>
        <v/>
      </c>
    </row>
    <row r="1280" ht="15" customHeight="1" s="122">
      <c r="A1280" s="179" t="inlineStr">
        <is>
          <t>KBB 105Q</t>
        </is>
      </c>
      <c r="B1280" s="180" t="n">
        <v>46267.44747685185</v>
      </c>
      <c r="C1280" s="180" t="n">
        <v>46267.45388888889</v>
      </c>
      <c r="D1280" s="173" t="inlineStr">
        <is>
          <t>3.08 Km</t>
        </is>
      </c>
      <c r="E1280" s="181" t="n">
        <v>21</v>
      </c>
      <c r="F1280" s="182" t="n">
        <v>49</v>
      </c>
      <c r="G1280" s="172" t="inlineStr">
        <is>
          <t>No</t>
        </is>
      </c>
      <c r="H1280" s="170">
        <f>IF(A1280="","",IF(OR(NOT(ISNUMBER(C1280)),C1280=""),"No",IF(AND(HOUR(C1280)&gt;=0,HOUR(C1280)&lt;5),"Yes","No")))</f>
        <v/>
      </c>
      <c r="I1280" s="183">
        <f>IF(OR(B1280="",NOT(ISNUMBER(B1280))),"",INT(B1280))</f>
        <v/>
      </c>
    </row>
    <row r="1281" ht="15" customHeight="1" s="122">
      <c r="A1281" s="179" t="inlineStr">
        <is>
          <t>KBB 105Q</t>
        </is>
      </c>
      <c r="B1281" s="180" t="n">
        <v>46267.54236111111</v>
      </c>
      <c r="C1281" s="180" t="n">
        <v>46267.54460648148</v>
      </c>
      <c r="D1281" s="173" t="inlineStr">
        <is>
          <t>1.05 Km</t>
        </is>
      </c>
      <c r="E1281" s="181" t="n">
        <v>22</v>
      </c>
      <c r="F1281" s="182" t="n">
        <v>44</v>
      </c>
      <c r="G1281" s="172" t="inlineStr">
        <is>
          <t>No</t>
        </is>
      </c>
      <c r="H1281" s="170">
        <f>IF(A1281="","",IF(OR(NOT(ISNUMBER(C1281)),C1281=""),"No",IF(AND(HOUR(C1281)&gt;=0,HOUR(C1281)&lt;5),"Yes","No")))</f>
        <v/>
      </c>
      <c r="I1281" s="183">
        <f>IF(OR(B1281="",NOT(ISNUMBER(B1281))),"",INT(B1281))</f>
        <v/>
      </c>
    </row>
    <row r="1282" ht="15" customHeight="1" s="122">
      <c r="A1282" s="179" t="inlineStr">
        <is>
          <t>KBB 105Q</t>
        </is>
      </c>
      <c r="B1282" s="180" t="n">
        <v>46267.55068287037</v>
      </c>
      <c r="C1282" s="180" t="n">
        <v>46267.60047453704</v>
      </c>
      <c r="D1282" s="173" t="inlineStr">
        <is>
          <t>63.05 Km</t>
        </is>
      </c>
      <c r="E1282" s="181" t="n">
        <v>55</v>
      </c>
      <c r="F1282" s="182" t="n">
        <v>85</v>
      </c>
      <c r="G1282" s="172" t="inlineStr">
        <is>
          <t>No</t>
        </is>
      </c>
      <c r="H1282" s="170">
        <f>IF(A1282="","",IF(OR(NOT(ISNUMBER(C1282)),C1282=""),"No",IF(AND(HOUR(C1282)&gt;=0,HOUR(C1282)&lt;5),"Yes","No")))</f>
        <v/>
      </c>
      <c r="I1282" s="183">
        <f>IF(OR(B1282="",NOT(ISNUMBER(B1282))),"",INT(B1282))</f>
        <v/>
      </c>
    </row>
    <row r="1283" ht="15" customHeight="1" s="122">
      <c r="A1283" s="179" t="inlineStr">
        <is>
          <t>KBB 105Q</t>
        </is>
      </c>
      <c r="B1283" s="180" t="n">
        <v>46267.63976851852</v>
      </c>
      <c r="C1283" s="180" t="n">
        <v>46267.65006944445</v>
      </c>
      <c r="D1283" s="173" t="inlineStr">
        <is>
          <t>10.76 Km</t>
        </is>
      </c>
      <c r="E1283" s="181" t="n">
        <v>43</v>
      </c>
      <c r="F1283" s="182" t="n">
        <v>76</v>
      </c>
      <c r="G1283" s="172" t="inlineStr">
        <is>
          <t>No</t>
        </is>
      </c>
      <c r="H1283" s="170">
        <f>IF(A1283="","",IF(OR(NOT(ISNUMBER(C1283)),C1283=""),"No",IF(AND(HOUR(C1283)&gt;=0,HOUR(C1283)&lt;5),"Yes","No")))</f>
        <v/>
      </c>
      <c r="I1283" s="183">
        <f>IF(OR(B1283="",NOT(ISNUMBER(B1283))),"",INT(B1283))</f>
        <v/>
      </c>
    </row>
    <row r="1284" ht="15" customHeight="1" s="122">
      <c r="A1284" s="179" t="inlineStr">
        <is>
          <t>KBB 105Q</t>
        </is>
      </c>
      <c r="B1284" s="180" t="n">
        <v>46267.66241898148</v>
      </c>
      <c r="C1284" s="180" t="n">
        <v>46267.69431712963</v>
      </c>
      <c r="D1284" s="173" t="inlineStr">
        <is>
          <t>41.86 Km</t>
        </is>
      </c>
      <c r="E1284" s="181" t="n">
        <v>54</v>
      </c>
      <c r="F1284" s="182" t="n">
        <v>82</v>
      </c>
      <c r="G1284" s="172" t="inlineStr">
        <is>
          <t>No</t>
        </is>
      </c>
      <c r="H1284" s="170">
        <f>IF(A1284="","",IF(OR(NOT(ISNUMBER(C1284)),C1284=""),"No",IF(AND(HOUR(C1284)&gt;=0,HOUR(C1284)&lt;5),"Yes","No")))</f>
        <v/>
      </c>
      <c r="I1284" s="183">
        <f>IF(OR(B1284="",NOT(ISNUMBER(B1284))),"",INT(B1284))</f>
        <v/>
      </c>
    </row>
    <row r="1285" ht="15" customHeight="1" s="122">
      <c r="A1285" s="179" t="inlineStr">
        <is>
          <t>KBB 105Q</t>
        </is>
      </c>
      <c r="B1285" s="180" t="n">
        <v>46267.69635416667</v>
      </c>
      <c r="C1285" s="180" t="n">
        <v>46267.70197916667</v>
      </c>
      <c r="D1285" s="173" t="inlineStr">
        <is>
          <t>3.67 Km</t>
        </is>
      </c>
      <c r="E1285" s="181" t="n">
        <v>22</v>
      </c>
      <c r="F1285" s="182" t="n">
        <v>46</v>
      </c>
      <c r="G1285" s="172" t="inlineStr">
        <is>
          <t>No</t>
        </is>
      </c>
      <c r="H1285" s="170">
        <f>IF(A1285="","",IF(OR(NOT(ISNUMBER(C1285)),C1285=""),"No",IF(AND(HOUR(C1285)&gt;=0,HOUR(C1285)&lt;5),"Yes","No")))</f>
        <v/>
      </c>
      <c r="I1285" s="183">
        <f>IF(OR(B1285="",NOT(ISNUMBER(B1285))),"",INT(B1285))</f>
        <v/>
      </c>
    </row>
    <row r="1286" ht="15" customHeight="1" s="122">
      <c r="A1286" s="179" t="inlineStr">
        <is>
          <t>KBB 105Q</t>
        </is>
      </c>
      <c r="B1286" s="180" t="n">
        <v>46267.70583333333</v>
      </c>
      <c r="C1286" s="180" t="n">
        <v>46267.7149537037</v>
      </c>
      <c r="D1286" s="173" t="inlineStr">
        <is>
          <t>4.81 Km</t>
        </is>
      </c>
      <c r="E1286" s="181" t="n">
        <v>20</v>
      </c>
      <c r="F1286" s="182" t="n">
        <v>38</v>
      </c>
      <c r="G1286" s="172" t="inlineStr">
        <is>
          <t>No</t>
        </is>
      </c>
      <c r="H1286" s="170">
        <f>IF(A1286="","",IF(OR(NOT(ISNUMBER(C1286)),C1286=""),"No",IF(AND(HOUR(C1286)&gt;=0,HOUR(C1286)&lt;5),"Yes","No")))</f>
        <v/>
      </c>
      <c r="I1286" s="183">
        <f>IF(OR(B1286="",NOT(ISNUMBER(B1286))),"",INT(B1286))</f>
        <v/>
      </c>
    </row>
    <row r="1287" ht="15" customHeight="1" s="122">
      <c r="A1287" s="179" t="inlineStr">
        <is>
          <t>KBB 105Q</t>
        </is>
      </c>
      <c r="B1287" s="180" t="n">
        <v>46267.72179398148</v>
      </c>
      <c r="C1287" s="180" t="n">
        <v>46267.72418981481</v>
      </c>
      <c r="D1287" s="173" t="inlineStr">
        <is>
          <t>0.3 Km</t>
        </is>
      </c>
      <c r="E1287" s="181" t="n">
        <v>7</v>
      </c>
      <c r="F1287" s="182" t="n">
        <v>10</v>
      </c>
      <c r="G1287" s="172" t="inlineStr">
        <is>
          <t>No</t>
        </is>
      </c>
      <c r="H1287" s="170">
        <f>IF(A1287="","",IF(OR(NOT(ISNUMBER(C1287)),C1287=""),"No",IF(AND(HOUR(C1287)&gt;=0,HOUR(C1287)&lt;5),"Yes","No")))</f>
        <v/>
      </c>
      <c r="I1287" s="183">
        <f>IF(OR(B1287="",NOT(ISNUMBER(B1287))),"",INT(B1287))</f>
        <v/>
      </c>
    </row>
    <row r="1288" ht="15" customHeight="1" s="122">
      <c r="A1288" s="179" t="inlineStr">
        <is>
          <t>KBB 105Q</t>
        </is>
      </c>
      <c r="B1288" s="180" t="n">
        <v>46267.72649305555</v>
      </c>
      <c r="C1288" s="180" t="n">
        <v>46267.726875</v>
      </c>
      <c r="D1288" s="173" t="inlineStr">
        <is>
          <t>0.05 Km</t>
        </is>
      </c>
      <c r="E1288" s="181" t="n">
        <v>8</v>
      </c>
      <c r="F1288" s="182" t="n">
        <v>10</v>
      </c>
      <c r="G1288" s="172" t="inlineStr">
        <is>
          <t>No</t>
        </is>
      </c>
      <c r="H1288" s="170">
        <f>IF(A1288="","",IF(OR(NOT(ISNUMBER(C1288)),C1288=""),"No",IF(AND(HOUR(C1288)&gt;=0,HOUR(C1288)&lt;5),"Yes","No")))</f>
        <v/>
      </c>
      <c r="I1288" s="183">
        <f>IF(OR(B1288="",NOT(ISNUMBER(B1288))),"",INT(B1288))</f>
        <v/>
      </c>
    </row>
    <row r="1289" ht="15" customHeight="1" s="122">
      <c r="A1289" s="179" t="inlineStr">
        <is>
          <t>KBB 105Q</t>
        </is>
      </c>
      <c r="B1289" s="180" t="n">
        <v>46297.54885416666</v>
      </c>
      <c r="C1289" s="180" t="n">
        <v>46297.55019675926</v>
      </c>
      <c r="D1289" s="173" t="inlineStr">
        <is>
          <t>0.26 Km</t>
        </is>
      </c>
      <c r="E1289" s="181" t="n">
        <v>9</v>
      </c>
      <c r="F1289" s="182" t="n">
        <v>13</v>
      </c>
      <c r="G1289" s="172" t="inlineStr">
        <is>
          <t>No</t>
        </is>
      </c>
      <c r="H1289" s="170">
        <f>IF(A1289="","",IF(OR(NOT(ISNUMBER(C1289)),C1289=""),"No",IF(AND(HOUR(C1289)&gt;=0,HOUR(C1289)&lt;5),"Yes","No")))</f>
        <v/>
      </c>
      <c r="I1289" s="183">
        <f>IF(OR(B1289="",NOT(ISNUMBER(B1289))),"",INT(B1289))</f>
        <v/>
      </c>
    </row>
    <row r="1290" ht="15" customHeight="1" s="122">
      <c r="A1290" s="179" t="inlineStr">
        <is>
          <t>KBB 105Q</t>
        </is>
      </c>
      <c r="B1290" s="180" t="n">
        <v>46297.58311342593</v>
      </c>
      <c r="C1290" s="180" t="n">
        <v>46297.59179398148</v>
      </c>
      <c r="D1290" s="173" t="inlineStr">
        <is>
          <t>5.32 Km</t>
        </is>
      </c>
      <c r="E1290" s="181" t="n">
        <v>24</v>
      </c>
      <c r="F1290" s="182" t="n">
        <v>46</v>
      </c>
      <c r="G1290" s="172" t="inlineStr">
        <is>
          <t>No</t>
        </is>
      </c>
      <c r="H1290" s="170">
        <f>IF(A1290="","",IF(OR(NOT(ISNUMBER(C1290)),C1290=""),"No",IF(AND(HOUR(C1290)&gt;=0,HOUR(C1290)&lt;5),"Yes","No")))</f>
        <v/>
      </c>
      <c r="I1290" s="183">
        <f>IF(OR(B1290="",NOT(ISNUMBER(B1290))),"",INT(B1290))</f>
        <v/>
      </c>
    </row>
    <row r="1291" ht="15" customHeight="1" s="122">
      <c r="A1291" s="179" t="inlineStr">
        <is>
          <t>KBB 105Q</t>
        </is>
      </c>
      <c r="B1291" s="180" t="n">
        <v>46297.73903935185</v>
      </c>
      <c r="C1291" s="180" t="n">
        <v>46297.73974537037</v>
      </c>
      <c r="D1291" s="173" t="inlineStr">
        <is>
          <t>0.14 Km</t>
        </is>
      </c>
      <c r="E1291" s="181" t="n">
        <v>9</v>
      </c>
      <c r="F1291" s="182" t="n">
        <v>13</v>
      </c>
      <c r="G1291" s="172" t="inlineStr">
        <is>
          <t>No</t>
        </is>
      </c>
      <c r="H1291" s="170">
        <f>IF(A1291="","",IF(OR(NOT(ISNUMBER(C1291)),C1291=""),"No",IF(AND(HOUR(C1291)&gt;=0,HOUR(C1291)&lt;5),"Yes","No")))</f>
        <v/>
      </c>
      <c r="I1291" s="183">
        <f>IF(OR(B1291="",NOT(ISNUMBER(B1291))),"",INT(B1291))</f>
        <v/>
      </c>
    </row>
    <row r="1292" ht="15" customHeight="1" s="122">
      <c r="A1292" s="179" t="inlineStr">
        <is>
          <t>KBB 105Q</t>
        </is>
      </c>
      <c r="B1292" s="180" t="n">
        <v>46297.74471064815</v>
      </c>
      <c r="C1292" s="180" t="n">
        <v>46297.75659722222</v>
      </c>
      <c r="D1292" s="173" t="inlineStr">
        <is>
          <t>5.84 Km</t>
        </is>
      </c>
      <c r="E1292" s="181" t="n">
        <v>20</v>
      </c>
      <c r="F1292" s="182" t="n">
        <v>47</v>
      </c>
      <c r="G1292" s="172" t="inlineStr">
        <is>
          <t>No</t>
        </is>
      </c>
      <c r="H1292" s="170">
        <f>IF(A1292="","",IF(OR(NOT(ISNUMBER(C1292)),C1292=""),"No",IF(AND(HOUR(C1292)&gt;=0,HOUR(C1292)&lt;5),"Yes","No")))</f>
        <v/>
      </c>
      <c r="I1292" s="183">
        <f>IF(OR(B1292="",NOT(ISNUMBER(B1292))),"",INT(B1292))</f>
        <v/>
      </c>
    </row>
    <row r="1293" ht="15" customHeight="1" s="122">
      <c r="A1293" s="179" t="inlineStr">
        <is>
          <t>KBB 105Q</t>
        </is>
      </c>
      <c r="B1293" s="180" t="n">
        <v>46328.39762731481</v>
      </c>
      <c r="C1293" s="180" t="n">
        <v>46328.40091435185</v>
      </c>
      <c r="D1293" s="173" t="inlineStr">
        <is>
          <t>0.34 Km</t>
        </is>
      </c>
      <c r="E1293" s="181" t="n">
        <v>8</v>
      </c>
      <c r="F1293" s="182" t="n">
        <v>12</v>
      </c>
      <c r="G1293" s="172" t="inlineStr">
        <is>
          <t>No</t>
        </is>
      </c>
      <c r="H1293" s="170">
        <f>IF(A1293="","",IF(OR(NOT(ISNUMBER(C1293)),C1293=""),"No",IF(AND(HOUR(C1293)&gt;=0,HOUR(C1293)&lt;5),"Yes","No")))</f>
        <v/>
      </c>
      <c r="I1293" s="183">
        <f>IF(OR(B1293="",NOT(ISNUMBER(B1293))),"",INT(B1293))</f>
        <v/>
      </c>
    </row>
    <row r="1294" ht="15" customHeight="1" s="122">
      <c r="A1294" s="179" t="inlineStr">
        <is>
          <t>KBB 105Q</t>
        </is>
      </c>
      <c r="B1294" s="180" t="n">
        <v>46328.4228125</v>
      </c>
      <c r="C1294" s="180" t="n">
        <v>46328.43375</v>
      </c>
      <c r="D1294" s="173" t="inlineStr">
        <is>
          <t>5.79 Km</t>
        </is>
      </c>
      <c r="E1294" s="181" t="n">
        <v>20</v>
      </c>
      <c r="F1294" s="182" t="n">
        <v>42</v>
      </c>
      <c r="G1294" s="172" t="inlineStr">
        <is>
          <t>No</t>
        </is>
      </c>
      <c r="H1294" s="170">
        <f>IF(A1294="","",IF(OR(NOT(ISNUMBER(C1294)),C1294=""),"No",IF(AND(HOUR(C1294)&gt;=0,HOUR(C1294)&lt;5),"Yes","No")))</f>
        <v/>
      </c>
      <c r="I1294" s="183">
        <f>IF(OR(B1294="",NOT(ISNUMBER(B1294))),"",INT(B1294))</f>
        <v/>
      </c>
    </row>
    <row r="1295" ht="15" customHeight="1" s="122">
      <c r="A1295" s="179" t="inlineStr">
        <is>
          <t>KBB 105Q</t>
        </is>
      </c>
      <c r="B1295" s="180" t="n">
        <v>46328.45190972222</v>
      </c>
      <c r="C1295" s="180" t="n">
        <v>46328.45540509259</v>
      </c>
      <c r="D1295" s="173" t="inlineStr">
        <is>
          <t>0.82 Km</t>
        </is>
      </c>
      <c r="E1295" s="181" t="n">
        <v>10</v>
      </c>
      <c r="F1295" s="182" t="n">
        <v>19</v>
      </c>
      <c r="G1295" s="172" t="inlineStr">
        <is>
          <t>No</t>
        </is>
      </c>
      <c r="H1295" s="170">
        <f>IF(A1295="","",IF(OR(NOT(ISNUMBER(C1295)),C1295=""),"No",IF(AND(HOUR(C1295)&gt;=0,HOUR(C1295)&lt;5),"Yes","No")))</f>
        <v/>
      </c>
      <c r="I1295" s="183">
        <f>IF(OR(B1295="",NOT(ISNUMBER(B1295))),"",INT(B1295))</f>
        <v/>
      </c>
    </row>
    <row r="1296" ht="15" customHeight="1" s="122">
      <c r="A1296" s="179" t="inlineStr">
        <is>
          <t>KBB 105Q</t>
        </is>
      </c>
      <c r="B1296" s="180" t="n">
        <v>46328.45659722222</v>
      </c>
      <c r="C1296" s="180" t="n">
        <v>46328.45903935185</v>
      </c>
      <c r="D1296" s="173" t="inlineStr">
        <is>
          <t>0.21 Km</t>
        </is>
      </c>
      <c r="E1296" s="181" t="n">
        <v>8</v>
      </c>
      <c r="F1296" s="182" t="n">
        <v>20</v>
      </c>
      <c r="G1296" s="172" t="inlineStr">
        <is>
          <t>No</t>
        </is>
      </c>
      <c r="H1296" s="170">
        <f>IF(A1296="","",IF(OR(NOT(ISNUMBER(C1296)),C1296=""),"No",IF(AND(HOUR(C1296)&gt;=0,HOUR(C1296)&lt;5),"Yes","No")))</f>
        <v/>
      </c>
      <c r="I1296" s="183">
        <f>IF(OR(B1296="",NOT(ISNUMBER(B1296))),"",INT(B1296))</f>
        <v/>
      </c>
    </row>
    <row r="1297" ht="15" customHeight="1" s="122">
      <c r="A1297" s="179" t="inlineStr">
        <is>
          <t>KBB 105Q</t>
        </is>
      </c>
      <c r="B1297" s="180" t="n">
        <v>46328.4628125</v>
      </c>
      <c r="C1297" s="180" t="n">
        <v>46328.46648148148</v>
      </c>
      <c r="D1297" s="173" t="inlineStr">
        <is>
          <t>2.12 Km</t>
        </is>
      </c>
      <c r="E1297" s="181" t="n">
        <v>26</v>
      </c>
      <c r="F1297" s="182" t="n">
        <v>57</v>
      </c>
      <c r="G1297" s="172" t="inlineStr">
        <is>
          <t>No</t>
        </is>
      </c>
      <c r="H1297" s="170">
        <f>IF(A1297="","",IF(OR(NOT(ISNUMBER(C1297)),C1297=""),"No",IF(AND(HOUR(C1297)&gt;=0,HOUR(C1297)&lt;5),"Yes","No")))</f>
        <v/>
      </c>
      <c r="I1297" s="183">
        <f>IF(OR(B1297="",NOT(ISNUMBER(B1297))),"",INT(B1297))</f>
        <v/>
      </c>
    </row>
    <row r="1298" ht="15" customHeight="1" s="122">
      <c r="A1298" s="179" t="inlineStr">
        <is>
          <t>KBB 105Q</t>
        </is>
      </c>
      <c r="B1298" s="180" t="n">
        <v>46328.47133101852</v>
      </c>
      <c r="C1298" s="180" t="n">
        <v>46328.50910879629</v>
      </c>
      <c r="D1298" s="173" t="inlineStr">
        <is>
          <t>45.32 Km</t>
        </is>
      </c>
      <c r="E1298" s="181" t="n">
        <v>52</v>
      </c>
      <c r="F1298" s="182" t="n">
        <v>81</v>
      </c>
      <c r="G1298" s="172" t="inlineStr">
        <is>
          <t>No</t>
        </is>
      </c>
      <c r="H1298" s="170">
        <f>IF(A1298="","",IF(OR(NOT(ISNUMBER(C1298)),C1298=""),"No",IF(AND(HOUR(C1298)&gt;=0,HOUR(C1298)&lt;5),"Yes","No")))</f>
        <v/>
      </c>
      <c r="I1298" s="183">
        <f>IF(OR(B1298="",NOT(ISNUMBER(B1298))),"",INT(B1298))</f>
        <v/>
      </c>
    </row>
    <row r="1299" ht="15" customHeight="1" s="122">
      <c r="A1299" s="179" t="inlineStr">
        <is>
          <t>KBB 105Q</t>
        </is>
      </c>
      <c r="B1299" s="180" t="n">
        <v>46328.51252314815</v>
      </c>
      <c r="C1299" s="180" t="n">
        <v>46328.51388888889</v>
      </c>
      <c r="D1299" s="173" t="inlineStr">
        <is>
          <t>0.28 Km</t>
        </is>
      </c>
      <c r="E1299" s="181" t="n">
        <v>9</v>
      </c>
      <c r="F1299" s="182" t="n">
        <v>24</v>
      </c>
      <c r="G1299" s="172" t="inlineStr">
        <is>
          <t>No</t>
        </is>
      </c>
      <c r="H1299" s="170">
        <f>IF(A1299="","",IF(OR(NOT(ISNUMBER(C1299)),C1299=""),"No",IF(AND(HOUR(C1299)&gt;=0,HOUR(C1299)&lt;5),"Yes","No")))</f>
        <v/>
      </c>
      <c r="I1299" s="183">
        <f>IF(OR(B1299="",NOT(ISNUMBER(B1299))),"",INT(B1299))</f>
        <v/>
      </c>
    </row>
    <row r="1300" ht="15" customHeight="1" s="122">
      <c r="A1300" s="179" t="inlineStr">
        <is>
          <t>KBB 105Q</t>
        </is>
      </c>
      <c r="B1300" s="180" t="n">
        <v>46328.51873842593</v>
      </c>
      <c r="C1300" s="180" t="n">
        <v>46328.52342592592</v>
      </c>
      <c r="D1300" s="173" t="inlineStr">
        <is>
          <t>2.61 Km</t>
        </is>
      </c>
      <c r="E1300" s="181" t="n">
        <v>19</v>
      </c>
      <c r="F1300" s="182" t="n">
        <v>44</v>
      </c>
      <c r="G1300" s="172" t="inlineStr">
        <is>
          <t>No</t>
        </is>
      </c>
      <c r="H1300" s="170">
        <f>IF(A1300="","",IF(OR(NOT(ISNUMBER(C1300)),C1300=""),"No",IF(AND(HOUR(C1300)&gt;=0,HOUR(C1300)&lt;5),"Yes","No")))</f>
        <v/>
      </c>
      <c r="I1300" s="183">
        <f>IF(OR(B1300="",NOT(ISNUMBER(B1300))),"",INT(B1300))</f>
        <v/>
      </c>
    </row>
    <row r="1301" ht="15" customHeight="1" s="122">
      <c r="A1301" s="179" t="inlineStr">
        <is>
          <t>KBB 105Q</t>
        </is>
      </c>
      <c r="B1301" s="180" t="n">
        <v>46328.52649305556</v>
      </c>
      <c r="C1301" s="180" t="n">
        <v>46328.52663194444</v>
      </c>
      <c r="D1301" s="173" t="inlineStr">
        <is>
          <t>0.01 Km</t>
        </is>
      </c>
      <c r="E1301" s="181" t="n">
        <v>6</v>
      </c>
      <c r="F1301" s="182" t="n">
        <v>6</v>
      </c>
      <c r="G1301" s="172" t="inlineStr">
        <is>
          <t>No</t>
        </is>
      </c>
      <c r="H1301" s="170">
        <f>IF(A1301="","",IF(OR(NOT(ISNUMBER(C1301)),C1301=""),"No",IF(AND(HOUR(C1301)&gt;=0,HOUR(C1301)&lt;5),"Yes","No")))</f>
        <v/>
      </c>
      <c r="I1301" s="183">
        <f>IF(OR(B1301="",NOT(ISNUMBER(B1301))),"",INT(B1301))</f>
        <v/>
      </c>
    </row>
    <row r="1302" ht="15" customHeight="1" s="122">
      <c r="A1302" s="179" t="inlineStr">
        <is>
          <t>KBB 105Q</t>
        </is>
      </c>
      <c r="B1302" s="180" t="n">
        <v>46328.57098379629</v>
      </c>
      <c r="C1302" s="180" t="n">
        <v>46328.58606481482</v>
      </c>
      <c r="D1302" s="173" t="inlineStr">
        <is>
          <t>17.09 Km</t>
        </is>
      </c>
      <c r="E1302" s="181" t="n">
        <v>47</v>
      </c>
      <c r="F1302" s="182" t="n">
        <v>83</v>
      </c>
      <c r="G1302" s="172" t="inlineStr">
        <is>
          <t>No</t>
        </is>
      </c>
      <c r="H1302" s="170">
        <f>IF(A1302="","",IF(OR(NOT(ISNUMBER(C1302)),C1302=""),"No",IF(AND(HOUR(C1302)&gt;=0,HOUR(C1302)&lt;5),"Yes","No")))</f>
        <v/>
      </c>
      <c r="I1302" s="183">
        <f>IF(OR(B1302="",NOT(ISNUMBER(B1302))),"",INT(B1302))</f>
        <v/>
      </c>
    </row>
    <row r="1303" ht="15" customHeight="1" s="122">
      <c r="A1303" s="179" t="inlineStr">
        <is>
          <t>KBB 105Q</t>
        </is>
      </c>
      <c r="B1303" s="180" t="n">
        <v>46328.59625</v>
      </c>
      <c r="C1303" s="180" t="n">
        <v>46328.60760416667</v>
      </c>
      <c r="D1303" s="173" t="inlineStr">
        <is>
          <t>13.79 Km</t>
        </is>
      </c>
      <c r="E1303" s="181" t="n">
        <v>49</v>
      </c>
      <c r="F1303" s="182" t="n">
        <v>77</v>
      </c>
      <c r="G1303" s="172" t="inlineStr">
        <is>
          <t>No</t>
        </is>
      </c>
      <c r="H1303" s="170">
        <f>IF(A1303="","",IF(OR(NOT(ISNUMBER(C1303)),C1303=""),"No",IF(AND(HOUR(C1303)&gt;=0,HOUR(C1303)&lt;5),"Yes","No")))</f>
        <v/>
      </c>
      <c r="I1303" s="183">
        <f>IF(OR(B1303="",NOT(ISNUMBER(B1303))),"",INT(B1303))</f>
        <v/>
      </c>
    </row>
    <row r="1304" ht="15" customHeight="1" s="122">
      <c r="A1304" s="179" t="inlineStr">
        <is>
          <t>KBB 105Q</t>
        </is>
      </c>
      <c r="B1304" s="180" t="n">
        <v>46328.61390046297</v>
      </c>
      <c r="C1304" s="180" t="n">
        <v>46328.62086805556</v>
      </c>
      <c r="D1304" s="173" t="inlineStr">
        <is>
          <t>8.82 Km</t>
        </is>
      </c>
      <c r="E1304" s="181" t="n">
        <v>51</v>
      </c>
      <c r="F1304" s="182" t="n">
        <v>79</v>
      </c>
      <c r="G1304" s="172" t="inlineStr">
        <is>
          <t>No</t>
        </is>
      </c>
      <c r="H1304" s="170">
        <f>IF(A1304="","",IF(OR(NOT(ISNUMBER(C1304)),C1304=""),"No",IF(AND(HOUR(C1304)&gt;=0,HOUR(C1304)&lt;5),"Yes","No")))</f>
        <v/>
      </c>
      <c r="I1304" s="183">
        <f>IF(OR(B1304="",NOT(ISNUMBER(B1304))),"",INT(B1304))</f>
        <v/>
      </c>
    </row>
    <row r="1305" ht="15" customHeight="1" s="122">
      <c r="A1305" s="179" t="inlineStr">
        <is>
          <t>KBB 105Q</t>
        </is>
      </c>
      <c r="B1305" s="180" t="n">
        <v>46328.62415509259</v>
      </c>
      <c r="C1305" s="180" t="n">
        <v>46328.62567129629</v>
      </c>
      <c r="D1305" s="173" t="inlineStr">
        <is>
          <t>0.88 Km</t>
        </is>
      </c>
      <c r="E1305" s="181" t="n">
        <v>18</v>
      </c>
      <c r="F1305" s="182" t="n">
        <v>47</v>
      </c>
      <c r="G1305" s="172" t="inlineStr">
        <is>
          <t>No</t>
        </is>
      </c>
      <c r="H1305" s="170">
        <f>IF(A1305="","",IF(OR(NOT(ISNUMBER(C1305)),C1305=""),"No",IF(AND(HOUR(C1305)&gt;=0,HOUR(C1305)&lt;5),"Yes","No")))</f>
        <v/>
      </c>
      <c r="I1305" s="183">
        <f>IF(OR(B1305="",NOT(ISNUMBER(B1305))),"",INT(B1305))</f>
        <v/>
      </c>
    </row>
    <row r="1306" ht="15" customHeight="1" s="122">
      <c r="A1306" s="179" t="inlineStr">
        <is>
          <t>KBB 105Q</t>
        </is>
      </c>
      <c r="B1306" s="180" t="n">
        <v>46328.72399305556</v>
      </c>
      <c r="C1306" s="180" t="n">
        <v>46328.7297337963</v>
      </c>
      <c r="D1306" s="173" t="inlineStr">
        <is>
          <t>4.35 Km</t>
        </is>
      </c>
      <c r="E1306" s="181" t="n">
        <v>31</v>
      </c>
      <c r="F1306" s="182" t="n">
        <v>62</v>
      </c>
      <c r="G1306" s="172" t="inlineStr">
        <is>
          <t>No</t>
        </is>
      </c>
      <c r="H1306" s="170">
        <f>IF(A1306="","",IF(OR(NOT(ISNUMBER(C1306)),C1306=""),"No",IF(AND(HOUR(C1306)&gt;=0,HOUR(C1306)&lt;5),"Yes","No")))</f>
        <v/>
      </c>
      <c r="I1306" s="183">
        <f>IF(OR(B1306="",NOT(ISNUMBER(B1306))),"",INT(B1306))</f>
        <v/>
      </c>
    </row>
    <row r="1307" ht="15" customHeight="1" s="122">
      <c r="A1307" s="179" t="inlineStr">
        <is>
          <t>KBB 105Q</t>
        </is>
      </c>
      <c r="B1307" s="180" t="n">
        <v>46328.78608796297</v>
      </c>
      <c r="C1307" s="180" t="n">
        <v>46328.79835648148</v>
      </c>
      <c r="D1307" s="173" t="inlineStr">
        <is>
          <t>11.47 Km</t>
        </is>
      </c>
      <c r="E1307" s="181" t="n">
        <v>37</v>
      </c>
      <c r="F1307" s="182" t="n">
        <v>56</v>
      </c>
      <c r="G1307" s="172" t="inlineStr">
        <is>
          <t>No</t>
        </is>
      </c>
      <c r="H1307" s="170">
        <f>IF(A1307="","",IF(OR(NOT(ISNUMBER(C1307)),C1307=""),"No",IF(AND(HOUR(C1307)&gt;=0,HOUR(C1307)&lt;5),"Yes","No")))</f>
        <v/>
      </c>
      <c r="I1307" s="183">
        <f>IF(OR(B1307="",NOT(ISNUMBER(B1307))),"",INT(B1307))</f>
        <v/>
      </c>
    </row>
    <row r="1308" ht="15" customHeight="1" s="122">
      <c r="A1308" s="179" t="inlineStr">
        <is>
          <t>KBB 105Q</t>
        </is>
      </c>
      <c r="B1308" s="180" t="n">
        <v>46328.79982638889</v>
      </c>
      <c r="C1308" s="180" t="n">
        <v>46328.81452546296</v>
      </c>
      <c r="D1308" s="173" t="inlineStr">
        <is>
          <t>19.81 Km</t>
        </is>
      </c>
      <c r="E1308" s="181" t="n">
        <v>56</v>
      </c>
      <c r="F1308" s="182" t="n">
        <v>82</v>
      </c>
      <c r="G1308" s="172" t="inlineStr">
        <is>
          <t>No</t>
        </is>
      </c>
      <c r="H1308" s="170">
        <f>IF(A1308="","",IF(OR(NOT(ISNUMBER(C1308)),C1308=""),"No",IF(AND(HOUR(C1308)&gt;=0,HOUR(C1308)&lt;5),"Yes","No")))</f>
        <v/>
      </c>
      <c r="I1308" s="183">
        <f>IF(OR(B1308="",NOT(ISNUMBER(B1308))),"",INT(B1308))</f>
        <v/>
      </c>
    </row>
    <row r="1309" ht="15" customHeight="1" s="122">
      <c r="A1309" s="179" t="inlineStr">
        <is>
          <t>KBB 105Q</t>
        </is>
      </c>
      <c r="B1309" s="180" t="n">
        <v>46328.81908564815</v>
      </c>
      <c r="C1309" s="180" t="n">
        <v>46328.83576388889</v>
      </c>
      <c r="D1309" s="173" t="inlineStr">
        <is>
          <t>16.33 Km</t>
        </is>
      </c>
      <c r="E1309" s="181" t="n">
        <v>45</v>
      </c>
      <c r="F1309" s="182" t="n">
        <v>87</v>
      </c>
      <c r="G1309" s="172" t="inlineStr">
        <is>
          <t>No</t>
        </is>
      </c>
      <c r="H1309" s="170">
        <f>IF(A1309="","",IF(OR(NOT(ISNUMBER(C1309)),C1309=""),"No",IF(AND(HOUR(C1309)&gt;=0,HOUR(C1309)&lt;5),"Yes","No")))</f>
        <v/>
      </c>
      <c r="I1309" s="183">
        <f>IF(OR(B1309="",NOT(ISNUMBER(B1309))),"",INT(B1309))</f>
        <v/>
      </c>
    </row>
    <row r="1310" ht="15" customHeight="1" s="122">
      <c r="A1310" s="179" t="inlineStr">
        <is>
          <t>KBB 105Q</t>
        </is>
      </c>
      <c r="B1310" s="180" t="n">
        <v>46328.83731481482</v>
      </c>
      <c r="C1310" s="180" t="n">
        <v>46328.84133101852</v>
      </c>
      <c r="D1310" s="173" t="inlineStr">
        <is>
          <t>2.06 Km</t>
        </is>
      </c>
      <c r="E1310" s="181" t="n">
        <v>19</v>
      </c>
      <c r="F1310" s="182" t="n">
        <v>39</v>
      </c>
      <c r="G1310" s="172" t="inlineStr">
        <is>
          <t>No</t>
        </is>
      </c>
      <c r="H1310" s="170">
        <f>IF(A1310="","",IF(OR(NOT(ISNUMBER(C1310)),C1310=""),"No",IF(AND(HOUR(C1310)&gt;=0,HOUR(C1310)&lt;5),"Yes","No")))</f>
        <v/>
      </c>
      <c r="I1310" s="183">
        <f>IF(OR(B1310="",NOT(ISNUMBER(B1310))),"",INT(B1310))</f>
        <v/>
      </c>
    </row>
    <row r="1311" ht="15" customHeight="1" s="122">
      <c r="A1311" s="179" t="inlineStr">
        <is>
          <t>KBB 105Q</t>
        </is>
      </c>
      <c r="B1311" s="180" t="n">
        <v>46328.84306712963</v>
      </c>
      <c r="C1311" s="180" t="n">
        <v>46328.84349537037</v>
      </c>
      <c r="D1311" s="173" t="inlineStr">
        <is>
          <t>0.05 Km</t>
        </is>
      </c>
      <c r="E1311" s="181" t="n">
        <v>8</v>
      </c>
      <c r="F1311" s="182" t="n">
        <v>9</v>
      </c>
      <c r="G1311" s="172" t="inlineStr">
        <is>
          <t>No</t>
        </is>
      </c>
      <c r="H1311" s="170">
        <f>IF(A1311="","",IF(OR(NOT(ISNUMBER(C1311)),C1311=""),"No",IF(AND(HOUR(C1311)&gt;=0,HOUR(C1311)&lt;5),"Yes","No")))</f>
        <v/>
      </c>
      <c r="I1311" s="183">
        <f>IF(OR(B1311="",NOT(ISNUMBER(B1311))),"",INT(B1311))</f>
        <v/>
      </c>
    </row>
    <row r="1312" ht="15" customHeight="1" s="122">
      <c r="A1312" s="179" t="inlineStr">
        <is>
          <t>KBB 105Q</t>
        </is>
      </c>
      <c r="B1312" s="180" t="n">
        <v>46358.35356481482</v>
      </c>
      <c r="C1312" s="180" t="n">
        <v>46358.35438657407</v>
      </c>
      <c r="D1312" s="173" t="inlineStr">
        <is>
          <t>0.03 Km</t>
        </is>
      </c>
      <c r="E1312" s="181" t="n">
        <v>7</v>
      </c>
      <c r="F1312" s="182" t="n">
        <v>7</v>
      </c>
      <c r="G1312" s="172" t="inlineStr">
        <is>
          <t>No</t>
        </is>
      </c>
      <c r="H1312" s="170">
        <f>IF(A1312="","",IF(OR(NOT(ISNUMBER(C1312)),C1312=""),"No",IF(AND(HOUR(C1312)&gt;=0,HOUR(C1312)&lt;5),"Yes","No")))</f>
        <v/>
      </c>
      <c r="I1312" s="183">
        <f>IF(OR(B1312="",NOT(ISNUMBER(B1312))),"",INT(B1312))</f>
        <v/>
      </c>
    </row>
    <row r="1313" ht="15" customHeight="1" s="122">
      <c r="A1313" s="179" t="inlineStr">
        <is>
          <t>KBB 105Q</t>
        </is>
      </c>
      <c r="B1313" s="180" t="n">
        <v>46358.35555555556</v>
      </c>
      <c r="C1313" s="180" t="n">
        <v>46358.35690972222</v>
      </c>
      <c r="D1313" s="173" t="inlineStr">
        <is>
          <t>0.3 Km</t>
        </is>
      </c>
      <c r="E1313" s="181" t="n">
        <v>9</v>
      </c>
      <c r="F1313" s="182" t="n">
        <v>14</v>
      </c>
      <c r="G1313" s="172" t="inlineStr">
        <is>
          <t>No</t>
        </is>
      </c>
      <c r="H1313" s="170">
        <f>IF(A1313="","",IF(OR(NOT(ISNUMBER(C1313)),C1313=""),"No",IF(AND(HOUR(C1313)&gt;=0,HOUR(C1313)&lt;5),"Yes","No")))</f>
        <v/>
      </c>
      <c r="I1313" s="183">
        <f>IF(OR(B1313="",NOT(ISNUMBER(B1313))),"",INT(B1313))</f>
        <v/>
      </c>
    </row>
    <row r="1314" ht="15" customHeight="1" s="122">
      <c r="A1314" s="179" t="inlineStr">
        <is>
          <t>KBB 105Q</t>
        </is>
      </c>
      <c r="B1314" s="180" t="n">
        <v>46358.37568287037</v>
      </c>
      <c r="C1314" s="180" t="n">
        <v>46358.39467592593</v>
      </c>
      <c r="D1314" s="173" t="inlineStr">
        <is>
          <t>19.86 Km</t>
        </is>
      </c>
      <c r="E1314" s="181" t="n">
        <v>43</v>
      </c>
      <c r="F1314" s="182" t="n">
        <v>75</v>
      </c>
      <c r="G1314" s="172" t="inlineStr">
        <is>
          <t>No</t>
        </is>
      </c>
      <c r="H1314" s="170">
        <f>IF(A1314="","",IF(OR(NOT(ISNUMBER(C1314)),C1314=""),"No",IF(AND(HOUR(C1314)&gt;=0,HOUR(C1314)&lt;5),"Yes","No")))</f>
        <v/>
      </c>
      <c r="I1314" s="183">
        <f>IF(OR(B1314="",NOT(ISNUMBER(B1314))),"",INT(B1314))</f>
        <v/>
      </c>
    </row>
    <row r="1315" ht="15" customHeight="1" s="122">
      <c r="A1315" s="179" t="inlineStr">
        <is>
          <t>KBB 105Q</t>
        </is>
      </c>
      <c r="B1315" s="180" t="n">
        <v>46358.44422453704</v>
      </c>
      <c r="C1315" s="180" t="n">
        <v>46358.47172453703</v>
      </c>
      <c r="D1315" s="173" t="inlineStr">
        <is>
          <t>33 Km</t>
        </is>
      </c>
      <c r="E1315" s="181" t="n">
        <v>51</v>
      </c>
      <c r="F1315" s="182" t="n">
        <v>80</v>
      </c>
      <c r="G1315" s="172" t="inlineStr">
        <is>
          <t>No</t>
        </is>
      </c>
      <c r="H1315" s="170">
        <f>IF(A1315="","",IF(OR(NOT(ISNUMBER(C1315)),C1315=""),"No",IF(AND(HOUR(C1315)&gt;=0,HOUR(C1315)&lt;5),"Yes","No")))</f>
        <v/>
      </c>
      <c r="I1315" s="183">
        <f>IF(OR(B1315="",NOT(ISNUMBER(B1315))),"",INT(B1315))</f>
        <v/>
      </c>
    </row>
    <row r="1316" ht="15" customHeight="1" s="122">
      <c r="A1316" s="179" t="inlineStr">
        <is>
          <t>KBB 105Q</t>
        </is>
      </c>
      <c r="B1316" s="180" t="n">
        <v>46358.47288194444</v>
      </c>
      <c r="C1316" s="180" t="n">
        <v>46358.481875</v>
      </c>
      <c r="D1316" s="173" t="inlineStr">
        <is>
          <t>10.17 Km</t>
        </is>
      </c>
      <c r="E1316" s="181" t="n">
        <v>46</v>
      </c>
      <c r="F1316" s="182" t="n">
        <v>74</v>
      </c>
      <c r="G1316" s="172" t="inlineStr">
        <is>
          <t>No</t>
        </is>
      </c>
      <c r="H1316" s="170">
        <f>IF(A1316="","",IF(OR(NOT(ISNUMBER(C1316)),C1316=""),"No",IF(AND(HOUR(C1316)&gt;=0,HOUR(C1316)&lt;5),"Yes","No")))</f>
        <v/>
      </c>
      <c r="I1316" s="183">
        <f>IF(OR(B1316="",NOT(ISNUMBER(B1316))),"",INT(B1316))</f>
        <v/>
      </c>
    </row>
    <row r="1317" ht="15" customHeight="1" s="122">
      <c r="A1317" s="179" t="inlineStr">
        <is>
          <t>KBB 105Q</t>
        </is>
      </c>
      <c r="B1317" s="180" t="n">
        <v>46358.60607638889</v>
      </c>
      <c r="C1317" s="180" t="n">
        <v>46358.60722222222</v>
      </c>
      <c r="D1317" s="173" t="inlineStr">
        <is>
          <t>0.72 Km</t>
        </is>
      </c>
      <c r="E1317" s="181" t="n">
        <v>22</v>
      </c>
      <c r="F1317" s="182" t="n">
        <v>46</v>
      </c>
      <c r="G1317" s="172" t="inlineStr">
        <is>
          <t>No</t>
        </is>
      </c>
      <c r="H1317" s="170">
        <f>IF(A1317="","",IF(OR(NOT(ISNUMBER(C1317)),C1317=""),"No",IF(AND(HOUR(C1317)&gt;=0,HOUR(C1317)&lt;5),"Yes","No")))</f>
        <v/>
      </c>
      <c r="I1317" s="183">
        <f>IF(OR(B1317="",NOT(ISNUMBER(B1317))),"",INT(B1317))</f>
        <v/>
      </c>
    </row>
    <row r="1318" ht="15" customHeight="1" s="122">
      <c r="A1318" s="179" t="inlineStr">
        <is>
          <t>KBB 105Q</t>
        </is>
      </c>
      <c r="B1318" s="180" t="n">
        <v>46358.6096875</v>
      </c>
      <c r="C1318" s="180" t="n">
        <v>46358.62065972222</v>
      </c>
      <c r="D1318" s="173" t="inlineStr">
        <is>
          <t>11.88 Km</t>
        </is>
      </c>
      <c r="E1318" s="181" t="n">
        <v>45</v>
      </c>
      <c r="F1318" s="182" t="n">
        <v>73</v>
      </c>
      <c r="G1318" s="172" t="inlineStr">
        <is>
          <t>No</t>
        </is>
      </c>
      <c r="H1318" s="170">
        <f>IF(A1318="","",IF(OR(NOT(ISNUMBER(C1318)),C1318=""),"No",IF(AND(HOUR(C1318)&gt;=0,HOUR(C1318)&lt;5),"Yes","No")))</f>
        <v/>
      </c>
      <c r="I1318" s="183">
        <f>IF(OR(B1318="",NOT(ISNUMBER(B1318))),"",INT(B1318))</f>
        <v/>
      </c>
    </row>
    <row r="1319" ht="15" customHeight="1" s="122">
      <c r="A1319" s="179" t="inlineStr">
        <is>
          <t>KBB 105Q</t>
        </is>
      </c>
      <c r="B1319" s="180" t="n">
        <v>46358.63241898148</v>
      </c>
      <c r="C1319" s="180" t="n">
        <v>46358.63572916666</v>
      </c>
      <c r="D1319" s="173" t="inlineStr">
        <is>
          <t>1.02 Km</t>
        </is>
      </c>
      <c r="E1319" s="181" t="n">
        <v>13</v>
      </c>
      <c r="F1319" s="182" t="n">
        <v>22</v>
      </c>
      <c r="G1319" s="172" t="inlineStr">
        <is>
          <t>No</t>
        </is>
      </c>
      <c r="H1319" s="170">
        <f>IF(A1319="","",IF(OR(NOT(ISNUMBER(C1319)),C1319=""),"No",IF(AND(HOUR(C1319)&gt;=0,HOUR(C1319)&lt;5),"Yes","No")))</f>
        <v/>
      </c>
      <c r="I1319" s="183">
        <f>IF(OR(B1319="",NOT(ISNUMBER(B1319))),"",INT(B1319))</f>
        <v/>
      </c>
    </row>
    <row r="1320" ht="15" customHeight="1" s="122">
      <c r="A1320" s="179" t="inlineStr">
        <is>
          <t>KBB 105Q</t>
        </is>
      </c>
      <c r="B1320" s="180" t="n">
        <v>46358.69321759259</v>
      </c>
      <c r="C1320" s="180" t="n">
        <v>46358.7077199074</v>
      </c>
      <c r="D1320" s="173" t="inlineStr">
        <is>
          <t>13.51 Km</t>
        </is>
      </c>
      <c r="E1320" s="181" t="n">
        <v>37</v>
      </c>
      <c r="F1320" s="182" t="n">
        <v>58</v>
      </c>
      <c r="G1320" s="172" t="inlineStr">
        <is>
          <t>No</t>
        </is>
      </c>
      <c r="H1320" s="170">
        <f>IF(A1320="","",IF(OR(NOT(ISNUMBER(C1320)),C1320=""),"No",IF(AND(HOUR(C1320)&gt;=0,HOUR(C1320)&lt;5),"Yes","No")))</f>
        <v/>
      </c>
      <c r="I1320" s="183">
        <f>IF(OR(B1320="",NOT(ISNUMBER(B1320))),"",INT(B1320))</f>
        <v/>
      </c>
    </row>
    <row r="1321" ht="15" customHeight="1" s="122">
      <c r="A1321" s="179" t="inlineStr">
        <is>
          <t>KBB 105Q</t>
        </is>
      </c>
      <c r="B1321" s="180" t="n">
        <v>46358.71069444445</v>
      </c>
      <c r="C1321" s="180" t="n">
        <v>46358.7108912037</v>
      </c>
      <c r="D1321" s="173" t="inlineStr">
        <is>
          <t>0.02 Km</t>
        </is>
      </c>
      <c r="E1321" s="181" t="n">
        <v>8</v>
      </c>
      <c r="F1321" s="182" t="n">
        <v>9</v>
      </c>
      <c r="G1321" s="172" t="inlineStr">
        <is>
          <t>No</t>
        </is>
      </c>
      <c r="H1321" s="170">
        <f>IF(A1321="","",IF(OR(NOT(ISNUMBER(C1321)),C1321=""),"No",IF(AND(HOUR(C1321)&gt;=0,HOUR(C1321)&lt;5),"Yes","No")))</f>
        <v/>
      </c>
      <c r="I1321" s="183">
        <f>IF(OR(B1321="",NOT(ISNUMBER(B1321))),"",INT(B1321))</f>
        <v/>
      </c>
    </row>
    <row r="1322" ht="15" customHeight="1" s="122">
      <c r="A1322" s="179" t="inlineStr">
        <is>
          <t>KBB 105Q</t>
        </is>
      </c>
      <c r="B1322" s="180" t="n">
        <v>46358.7275</v>
      </c>
      <c r="C1322" s="180" t="n">
        <v>46358.76512731481</v>
      </c>
      <c r="D1322" s="173" t="inlineStr">
        <is>
          <t>49.27 Km</t>
        </is>
      </c>
      <c r="E1322" s="181" t="n">
        <v>54</v>
      </c>
      <c r="F1322" s="182" t="n">
        <v>84</v>
      </c>
      <c r="G1322" s="172" t="inlineStr">
        <is>
          <t>No</t>
        </is>
      </c>
      <c r="H1322" s="170">
        <f>IF(A1322="","",IF(OR(NOT(ISNUMBER(C1322)),C1322=""),"No",IF(AND(HOUR(C1322)&gt;=0,HOUR(C1322)&lt;5),"Yes","No")))</f>
        <v/>
      </c>
      <c r="I1322" s="183">
        <f>IF(OR(B1322="",NOT(ISNUMBER(B1322))),"",INT(B1322))</f>
        <v/>
      </c>
    </row>
    <row r="1323" ht="15" customHeight="1" s="122">
      <c r="A1323" s="179" t="inlineStr">
        <is>
          <t>KBB 105Q</t>
        </is>
      </c>
      <c r="B1323" s="180" t="n">
        <v>46358.76912037037</v>
      </c>
      <c r="C1323" s="180" t="n">
        <v>46358.77527777778</v>
      </c>
      <c r="D1323" s="173" t="inlineStr">
        <is>
          <t>2.66 Km</t>
        </is>
      </c>
      <c r="E1323" s="181" t="n">
        <v>24</v>
      </c>
      <c r="F1323" s="182" t="n">
        <v>42</v>
      </c>
      <c r="G1323" s="172" t="inlineStr">
        <is>
          <t>No</t>
        </is>
      </c>
      <c r="H1323" s="170">
        <f>IF(A1323="","",IF(OR(NOT(ISNUMBER(C1323)),C1323=""),"No",IF(AND(HOUR(C1323)&gt;=0,HOUR(C1323)&lt;5),"Yes","No")))</f>
        <v/>
      </c>
      <c r="I1323" s="183">
        <f>IF(OR(B1323="",NOT(ISNUMBER(B1323))),"",INT(B1323))</f>
        <v/>
      </c>
    </row>
    <row r="1324" ht="15" customHeight="1" s="122">
      <c r="A1324" s="179" t="inlineStr">
        <is>
          <t>KBB 105Q</t>
        </is>
      </c>
      <c r="B1324" s="180" t="n">
        <v>46358.80111111111</v>
      </c>
      <c r="C1324" s="180" t="n">
        <v>46358.80761574074</v>
      </c>
      <c r="D1324" s="173" t="inlineStr">
        <is>
          <t>3.98 Km</t>
        </is>
      </c>
      <c r="E1324" s="181" t="n">
        <v>23</v>
      </c>
      <c r="F1324" s="182" t="n">
        <v>35</v>
      </c>
      <c r="G1324" s="172" t="inlineStr">
        <is>
          <t>No</t>
        </is>
      </c>
      <c r="H1324" s="170">
        <f>IF(A1324="","",IF(OR(NOT(ISNUMBER(C1324)),C1324=""),"No",IF(AND(HOUR(C1324)&gt;=0,HOUR(C1324)&lt;5),"Yes","No")))</f>
        <v/>
      </c>
      <c r="I1324" s="183">
        <f>IF(OR(B1324="",NOT(ISNUMBER(B1324))),"",INT(B1324))</f>
        <v/>
      </c>
    </row>
    <row r="1325" ht="15" customHeight="1" s="122">
      <c r="A1325" s="179" t="inlineStr">
        <is>
          <t>KBB 105Q</t>
        </is>
      </c>
      <c r="B1325" s="180" t="n">
        <v>46358.80841435185</v>
      </c>
      <c r="C1325" s="180" t="n">
        <v>46358.81149305555</v>
      </c>
      <c r="D1325" s="173" t="inlineStr">
        <is>
          <t>1.09 Km</t>
        </is>
      </c>
      <c r="E1325" s="181" t="n">
        <v>16</v>
      </c>
      <c r="F1325" s="182" t="n">
        <v>23</v>
      </c>
      <c r="G1325" s="172" t="inlineStr">
        <is>
          <t>No</t>
        </is>
      </c>
      <c r="H1325" s="170">
        <f>IF(A1325="","",IF(OR(NOT(ISNUMBER(C1325)),C1325=""),"No",IF(AND(HOUR(C1325)&gt;=0,HOUR(C1325)&lt;5),"Yes","No")))</f>
        <v/>
      </c>
      <c r="I1325" s="183">
        <f>IF(OR(B1325="",NOT(ISNUMBER(B1325))),"",INT(B1325))</f>
        <v/>
      </c>
    </row>
    <row r="1326" ht="15" customHeight="1" s="122">
      <c r="A1326" s="179" t="inlineStr">
        <is>
          <t>KBB 105Q</t>
        </is>
      </c>
      <c r="B1326" s="180" t="n">
        <v>46358.82376157407</v>
      </c>
      <c r="C1326" s="180" t="n">
        <v>46358.82721064815</v>
      </c>
      <c r="D1326" s="173" t="inlineStr">
        <is>
          <t>0.56 Km</t>
        </is>
      </c>
      <c r="E1326" s="181" t="n">
        <v>8</v>
      </c>
      <c r="F1326" s="182" t="n">
        <v>15</v>
      </c>
      <c r="G1326" s="172" t="inlineStr">
        <is>
          <t>No</t>
        </is>
      </c>
      <c r="H1326" s="170">
        <f>IF(A1326="","",IF(OR(NOT(ISNUMBER(C1326)),C1326=""),"No",IF(AND(HOUR(C1326)&gt;=0,HOUR(C1326)&lt;5),"Yes","No")))</f>
        <v/>
      </c>
      <c r="I1326" s="183">
        <f>IF(OR(B1326="",NOT(ISNUMBER(B1326))),"",INT(B1326))</f>
        <v/>
      </c>
    </row>
    <row r="1327" ht="15" customHeight="1" s="122">
      <c r="A1327" s="179" t="inlineStr">
        <is>
          <t>KBB 105Q</t>
        </is>
      </c>
      <c r="B1327" s="180" t="n">
        <v>46358.82927083333</v>
      </c>
      <c r="C1327" s="180" t="n">
        <v>46358.82959490741</v>
      </c>
      <c r="D1327" s="173" t="inlineStr">
        <is>
          <t>0.05 Km</t>
        </is>
      </c>
      <c r="E1327" s="181" t="n">
        <v>6</v>
      </c>
      <c r="F1327" s="182" t="n">
        <v>7</v>
      </c>
      <c r="G1327" s="172" t="inlineStr">
        <is>
          <t>No</t>
        </is>
      </c>
      <c r="H1327" s="170">
        <f>IF(A1327="","",IF(OR(NOT(ISNUMBER(C1327)),C1327=""),"No",IF(AND(HOUR(C1327)&gt;=0,HOUR(C1327)&lt;5),"Yes","No")))</f>
        <v/>
      </c>
      <c r="I1327" s="183">
        <f>IF(OR(B1327="",NOT(ISNUMBER(B1327))),"",INT(B1327))</f>
        <v/>
      </c>
    </row>
    <row r="1328" ht="15" customHeight="1" s="122">
      <c r="A1328" s="179" t="inlineStr">
        <is>
          <t>KBB 105Q</t>
        </is>
      </c>
      <c r="B1328" s="172" t="inlineStr">
        <is>
          <t>13-02-2026 13:40:23</t>
        </is>
      </c>
      <c r="C1328" s="172" t="inlineStr">
        <is>
          <t>13-02-2026 13:41:23</t>
        </is>
      </c>
      <c r="D1328" s="173" t="inlineStr">
        <is>
          <t>0.02 Km</t>
        </is>
      </c>
      <c r="E1328" s="181" t="n">
        <v>7</v>
      </c>
      <c r="F1328" s="182" t="n">
        <v>7</v>
      </c>
      <c r="G1328" s="172" t="inlineStr">
        <is>
          <t>No</t>
        </is>
      </c>
      <c r="H1328" s="170">
        <f>IF(A1328="","",IF(OR(NOT(ISNUMBER(C1328)),C1328=""),"No",IF(AND(HOUR(C1328)&gt;=0,HOUR(C1328)&lt;5),"Yes","No")))</f>
        <v/>
      </c>
      <c r="I1328" s="183">
        <f>IF(OR(B1328="",NOT(ISNUMBER(B1328))),"",INT(B1328))</f>
        <v/>
      </c>
    </row>
    <row r="1329" ht="15" customHeight="1" s="122">
      <c r="A1329" s="179" t="inlineStr">
        <is>
          <t>KBB 105Q</t>
        </is>
      </c>
      <c r="B1329" s="172" t="inlineStr">
        <is>
          <t>13-02-2026 13:44:03</t>
        </is>
      </c>
      <c r="C1329" s="172" t="inlineStr">
        <is>
          <t>13-02-2026 13:47:04</t>
        </is>
      </c>
      <c r="D1329" s="173" t="inlineStr">
        <is>
          <t>0.34 Km</t>
        </is>
      </c>
      <c r="E1329" s="181" t="n">
        <v>8</v>
      </c>
      <c r="F1329" s="182" t="n">
        <v>12</v>
      </c>
      <c r="G1329" s="172" t="inlineStr">
        <is>
          <t>No</t>
        </is>
      </c>
      <c r="H1329" s="170">
        <f>IF(A1329="","",IF(OR(NOT(ISNUMBER(C1329)),C1329=""),"No",IF(AND(HOUR(C1329)&gt;=0,HOUR(C1329)&lt;5),"Yes","No")))</f>
        <v/>
      </c>
      <c r="I1329" s="183">
        <f>IF(OR(B1329="",NOT(ISNUMBER(B1329))),"",INT(B1329))</f>
        <v/>
      </c>
    </row>
    <row r="1330" ht="15" customHeight="1" s="122">
      <c r="A1330" s="179" t="inlineStr">
        <is>
          <t>KBB 105Q</t>
        </is>
      </c>
      <c r="B1330" s="172" t="inlineStr">
        <is>
          <t>13-02-2026 14:51:58</t>
        </is>
      </c>
      <c r="C1330" s="172" t="inlineStr">
        <is>
          <t>13-02-2026 16:08:45</t>
        </is>
      </c>
      <c r="D1330" s="173" t="inlineStr">
        <is>
          <t>65.02 Km</t>
        </is>
      </c>
      <c r="E1330" s="181" t="n">
        <v>52</v>
      </c>
      <c r="F1330" s="182" t="n">
        <v>81</v>
      </c>
      <c r="G1330" s="172" t="inlineStr">
        <is>
          <t>No</t>
        </is>
      </c>
      <c r="H1330" s="170">
        <f>IF(A1330="","",IF(OR(NOT(ISNUMBER(C1330)),C1330=""),"No",IF(AND(HOUR(C1330)&gt;=0,HOUR(C1330)&lt;5),"Yes","No")))</f>
        <v/>
      </c>
      <c r="I1330" s="183">
        <f>IF(OR(B1330="",NOT(ISNUMBER(B1330))),"",INT(B1330))</f>
        <v/>
      </c>
    </row>
    <row r="1331" ht="15" customHeight="1" s="122">
      <c r="A1331" s="179" t="inlineStr">
        <is>
          <t>KBB 105Q</t>
        </is>
      </c>
      <c r="B1331" s="172" t="inlineStr">
        <is>
          <t>13-02-2026 16:14:23</t>
        </is>
      </c>
      <c r="C1331" s="172" t="inlineStr">
        <is>
          <t>13-02-2026 17:21:51</t>
        </is>
      </c>
      <c r="D1331" s="173" t="inlineStr">
        <is>
          <t>52.21 Km</t>
        </is>
      </c>
      <c r="E1331" s="181" t="n">
        <v>48</v>
      </c>
      <c r="F1331" s="182" t="n">
        <v>74</v>
      </c>
      <c r="G1331" s="172" t="inlineStr">
        <is>
          <t>No</t>
        </is>
      </c>
      <c r="H1331" s="170">
        <f>IF(A1331="","",IF(OR(NOT(ISNUMBER(C1331)),C1331=""),"No",IF(AND(HOUR(C1331)&gt;=0,HOUR(C1331)&lt;5),"Yes","No")))</f>
        <v/>
      </c>
      <c r="I1331" s="183">
        <f>IF(OR(B1331="",NOT(ISNUMBER(B1331))),"",INT(B1331))</f>
        <v/>
      </c>
    </row>
    <row r="1332" ht="15" customHeight="1" s="122">
      <c r="A1332" s="179" t="inlineStr">
        <is>
          <t>KBB 105Q</t>
        </is>
      </c>
      <c r="B1332" s="172" t="inlineStr">
        <is>
          <t>13-02-2026 17:43:15</t>
        </is>
      </c>
      <c r="C1332" s="172" t="inlineStr">
        <is>
          <t>13-02-2026 17:52:21</t>
        </is>
      </c>
      <c r="D1332" s="173" t="inlineStr">
        <is>
          <t>3.08 Km</t>
        </is>
      </c>
      <c r="E1332" s="181" t="n">
        <v>23</v>
      </c>
      <c r="F1332" s="182" t="n">
        <v>61</v>
      </c>
      <c r="G1332" s="172" t="inlineStr">
        <is>
          <t>No</t>
        </is>
      </c>
      <c r="H1332" s="170">
        <f>IF(A1332="","",IF(OR(NOT(ISNUMBER(C1332)),C1332=""),"No",IF(AND(HOUR(C1332)&gt;=0,HOUR(C1332)&lt;5),"Yes","No")))</f>
        <v/>
      </c>
      <c r="I1332" s="183">
        <f>IF(OR(B1332="",NOT(ISNUMBER(B1332))),"",INT(B1332))</f>
        <v/>
      </c>
    </row>
    <row r="1333" ht="15" customHeight="1" s="122">
      <c r="A1333" s="179" t="inlineStr">
        <is>
          <t>KBB 105Q</t>
        </is>
      </c>
      <c r="B1333" s="172" t="inlineStr">
        <is>
          <t>14-02-2026 08:45:09</t>
        </is>
      </c>
      <c r="C1333" s="172" t="inlineStr">
        <is>
          <t>14-02-2026 08:55:12</t>
        </is>
      </c>
      <c r="D1333" s="173" t="inlineStr">
        <is>
          <t>5.86 Km</t>
        </is>
      </c>
      <c r="E1333" s="181" t="n">
        <v>33</v>
      </c>
      <c r="F1333" s="182" t="n">
        <v>74</v>
      </c>
      <c r="G1333" s="172" t="inlineStr">
        <is>
          <t>No</t>
        </is>
      </c>
      <c r="H1333" s="170">
        <f>IF(A1333="","",IF(OR(NOT(ISNUMBER(C1333)),C1333=""),"No",IF(AND(HOUR(C1333)&gt;=0,HOUR(C1333)&lt;5),"Yes","No")))</f>
        <v/>
      </c>
      <c r="I1333" s="183">
        <f>IF(OR(B1333="",NOT(ISNUMBER(B1333))),"",INT(B1333))</f>
        <v/>
      </c>
    </row>
    <row r="1334" ht="15" customHeight="1" s="122">
      <c r="A1334" s="179" t="inlineStr">
        <is>
          <t>KBB 105Q</t>
        </is>
      </c>
      <c r="B1334" s="172" t="inlineStr">
        <is>
          <t>14-02-2026 11:31:47</t>
        </is>
      </c>
      <c r="C1334" s="172" t="inlineStr">
        <is>
          <t>14-02-2026 11:34:05</t>
        </is>
      </c>
      <c r="D1334" s="173" t="inlineStr">
        <is>
          <t>0.66 Km</t>
        </is>
      </c>
      <c r="E1334" s="181" t="n">
        <v>15</v>
      </c>
      <c r="F1334" s="182" t="n">
        <v>25</v>
      </c>
      <c r="G1334" s="172" t="inlineStr">
        <is>
          <t>No</t>
        </is>
      </c>
      <c r="H1334" s="170">
        <f>IF(A1334="","",IF(OR(NOT(ISNUMBER(C1334)),C1334=""),"No",IF(AND(HOUR(C1334)&gt;=0,HOUR(C1334)&lt;5),"Yes","No")))</f>
        <v/>
      </c>
      <c r="I1334" s="183">
        <f>IF(OR(B1334="",NOT(ISNUMBER(B1334))),"",INT(B1334))</f>
        <v/>
      </c>
    </row>
    <row r="1335" ht="15" customHeight="1" s="122">
      <c r="A1335" s="179" t="inlineStr">
        <is>
          <t>KBB 105Q</t>
        </is>
      </c>
      <c r="B1335" s="172" t="inlineStr">
        <is>
          <t>14-02-2026 12:13:21</t>
        </is>
      </c>
      <c r="C1335" s="172" t="inlineStr">
        <is>
          <t>14-02-2026 12:20:52</t>
        </is>
      </c>
      <c r="D1335" s="173" t="inlineStr">
        <is>
          <t>0.92 Km</t>
        </is>
      </c>
      <c r="E1335" s="181" t="n">
        <v>9</v>
      </c>
      <c r="F1335" s="182" t="n">
        <v>20</v>
      </c>
      <c r="G1335" s="172" t="inlineStr">
        <is>
          <t>No</t>
        </is>
      </c>
      <c r="H1335" s="170">
        <f>IF(A1335="","",IF(OR(NOT(ISNUMBER(C1335)),C1335=""),"No",IF(AND(HOUR(C1335)&gt;=0,HOUR(C1335)&lt;5),"Yes","No")))</f>
        <v/>
      </c>
      <c r="I1335" s="183">
        <f>IF(OR(B1335="",NOT(ISNUMBER(B1335))),"",INT(B1335))</f>
        <v/>
      </c>
    </row>
    <row r="1336" ht="15" customHeight="1" s="122">
      <c r="A1336" s="179" t="inlineStr">
        <is>
          <t>KBB 105Q</t>
        </is>
      </c>
      <c r="B1336" s="172" t="inlineStr">
        <is>
          <t>14-02-2026 12:23:26</t>
        </is>
      </c>
      <c r="C1336" s="172" t="inlineStr">
        <is>
          <t>14-02-2026 12:32:10</t>
        </is>
      </c>
      <c r="D1336" s="173" t="inlineStr">
        <is>
          <t>3.39 Km</t>
        </is>
      </c>
      <c r="E1336" s="181" t="n">
        <v>24</v>
      </c>
      <c r="F1336" s="182" t="n">
        <v>33</v>
      </c>
      <c r="G1336" s="172" t="inlineStr">
        <is>
          <t>No</t>
        </is>
      </c>
      <c r="H1336" s="170">
        <f>IF(A1336="","",IF(OR(NOT(ISNUMBER(C1336)),C1336=""),"No",IF(AND(HOUR(C1336)&gt;=0,HOUR(C1336)&lt;5),"Yes","No")))</f>
        <v/>
      </c>
      <c r="I1336" s="183">
        <f>IF(OR(B1336="",NOT(ISNUMBER(B1336))),"",INT(B1336))</f>
        <v/>
      </c>
    </row>
    <row r="1337" ht="15" customHeight="1" s="122">
      <c r="A1337" s="179" t="inlineStr">
        <is>
          <t>KBB 105Q</t>
        </is>
      </c>
      <c r="B1337" s="172" t="inlineStr">
        <is>
          <t>14-02-2026 12:44:43</t>
        </is>
      </c>
      <c r="C1337" s="172" t="inlineStr">
        <is>
          <t>14-02-2026 12:52:21</t>
        </is>
      </c>
      <c r="D1337" s="173" t="inlineStr">
        <is>
          <t>2.49 Km</t>
        </is>
      </c>
      <c r="E1337" s="181" t="n">
        <v>19</v>
      </c>
      <c r="F1337" s="182" t="n">
        <v>37</v>
      </c>
      <c r="G1337" s="172" t="inlineStr">
        <is>
          <t>No</t>
        </is>
      </c>
      <c r="H1337" s="170">
        <f>IF(A1337="","",IF(OR(NOT(ISNUMBER(C1337)),C1337=""),"No",IF(AND(HOUR(C1337)&gt;=0,HOUR(C1337)&lt;5),"Yes","No")))</f>
        <v/>
      </c>
      <c r="I1337" s="183">
        <f>IF(OR(B1337="",NOT(ISNUMBER(B1337))),"",INT(B1337))</f>
        <v/>
      </c>
    </row>
    <row r="1338" ht="15" customHeight="1" s="122">
      <c r="A1338" s="179" t="inlineStr">
        <is>
          <t>KBB 105Q</t>
        </is>
      </c>
      <c r="B1338" s="172" t="inlineStr">
        <is>
          <t>14-02-2026 15:46:58</t>
        </is>
      </c>
      <c r="C1338" s="172" t="inlineStr">
        <is>
          <t>14-02-2026 16:01:43</t>
        </is>
      </c>
      <c r="D1338" s="173" t="inlineStr">
        <is>
          <t>6.63 Km</t>
        </is>
      </c>
      <c r="E1338" s="181" t="n">
        <v>29</v>
      </c>
      <c r="F1338" s="182" t="n">
        <v>55</v>
      </c>
      <c r="G1338" s="172" t="inlineStr">
        <is>
          <t>No</t>
        </is>
      </c>
      <c r="H1338" s="170">
        <f>IF(A1338="","",IF(OR(NOT(ISNUMBER(C1338)),C1338=""),"No",IF(AND(HOUR(C1338)&gt;=0,HOUR(C1338)&lt;5),"Yes","No")))</f>
        <v/>
      </c>
      <c r="I1338" s="183">
        <f>IF(OR(B1338="",NOT(ISNUMBER(B1338))),"",INT(B1338))</f>
        <v/>
      </c>
    </row>
    <row r="1339" ht="15" customHeight="1" s="122">
      <c r="A1339" s="179" t="inlineStr">
        <is>
          <t>KBB 105Q</t>
        </is>
      </c>
      <c r="B1339" s="172" t="inlineStr">
        <is>
          <t>14-02-2026 16:30:33</t>
        </is>
      </c>
      <c r="C1339" s="172" t="inlineStr">
        <is>
          <t>14-02-2026 16:33:59</t>
        </is>
      </c>
      <c r="D1339" s="173" t="inlineStr">
        <is>
          <t>0.78 Km</t>
        </is>
      </c>
      <c r="E1339" s="181" t="n">
        <v>18</v>
      </c>
      <c r="F1339" s="182" t="n">
        <v>32</v>
      </c>
      <c r="G1339" s="172" t="inlineStr">
        <is>
          <t>No</t>
        </is>
      </c>
      <c r="H1339" s="170">
        <f>IF(A1339="","",IF(OR(NOT(ISNUMBER(C1339)),C1339=""),"No",IF(AND(HOUR(C1339)&gt;=0,HOUR(C1339)&lt;5),"Yes","No")))</f>
        <v/>
      </c>
      <c r="I1339" s="183">
        <f>IF(OR(B1339="",NOT(ISNUMBER(B1339))),"",INT(B1339))</f>
        <v/>
      </c>
    </row>
    <row r="1340" ht="15" customHeight="1" s="122">
      <c r="A1340" s="179" t="inlineStr">
        <is>
          <t>KBB 105Q</t>
        </is>
      </c>
      <c r="B1340" s="172" t="inlineStr">
        <is>
          <t>14-02-2026 19:44:14</t>
        </is>
      </c>
      <c r="C1340" s="172" t="inlineStr">
        <is>
          <t>14-02-2026 20:00:10</t>
        </is>
      </c>
      <c r="D1340" s="173" t="inlineStr">
        <is>
          <t>5.85 Km</t>
        </is>
      </c>
      <c r="E1340" s="181" t="n">
        <v>21</v>
      </c>
      <c r="F1340" s="182" t="n">
        <v>39</v>
      </c>
      <c r="G1340" s="172" t="inlineStr">
        <is>
          <t>No</t>
        </is>
      </c>
      <c r="H1340" s="170">
        <f>IF(A1340="","",IF(OR(NOT(ISNUMBER(C1340)),C1340=""),"No",IF(AND(HOUR(C1340)&gt;=0,HOUR(C1340)&lt;5),"Yes","No")))</f>
        <v/>
      </c>
      <c r="I1340" s="183">
        <f>IF(OR(B1340="",NOT(ISNUMBER(B1340))),"",INT(B1340))</f>
        <v/>
      </c>
    </row>
    <row r="1341" ht="15" customHeight="1" s="122">
      <c r="A1341" s="179" t="inlineStr">
        <is>
          <t>KBB 105Q</t>
        </is>
      </c>
      <c r="B1341" s="172" t="inlineStr">
        <is>
          <t>14-02-2026 20:01:22</t>
        </is>
      </c>
      <c r="C1341" s="172" t="inlineStr">
        <is>
          <t>14-02-2026 20:01:36</t>
        </is>
      </c>
      <c r="D1341" s="173" t="inlineStr">
        <is>
          <t>0.04 Km</t>
        </is>
      </c>
      <c r="E1341" s="181" t="n">
        <v>8</v>
      </c>
      <c r="F1341" s="182" t="n">
        <v>10</v>
      </c>
      <c r="G1341" s="172" t="inlineStr">
        <is>
          <t>No</t>
        </is>
      </c>
      <c r="H1341" s="170">
        <f>IF(A1341="","",IF(OR(NOT(ISNUMBER(C1341)),C1341=""),"No",IF(AND(HOUR(C1341)&gt;=0,HOUR(C1341)&lt;5),"Yes","No")))</f>
        <v/>
      </c>
      <c r="I1341" s="183">
        <f>IF(OR(B1341="",NOT(ISNUMBER(B1341))),"",INT(B1341))</f>
        <v/>
      </c>
    </row>
    <row r="1342" ht="15" customHeight="1" s="122">
      <c r="A1342" s="179" t="inlineStr">
        <is>
          <t>KBB 105Q</t>
        </is>
      </c>
      <c r="B1342" s="172" t="inlineStr">
        <is>
          <t>16-02-2026 08:14:49</t>
        </is>
      </c>
      <c r="C1342" s="172" t="inlineStr">
        <is>
          <t>16-02-2026 08:19:09</t>
        </is>
      </c>
      <c r="D1342" s="173" t="inlineStr">
        <is>
          <t>0.81 Km</t>
        </is>
      </c>
      <c r="E1342" s="181" t="n">
        <v>12</v>
      </c>
      <c r="F1342" s="182" t="n">
        <v>30</v>
      </c>
      <c r="G1342" s="172" t="inlineStr">
        <is>
          <t>No</t>
        </is>
      </c>
      <c r="H1342" s="170">
        <f>IF(A1342="","",IF(OR(NOT(ISNUMBER(C1342)),C1342=""),"No",IF(AND(HOUR(C1342)&gt;=0,HOUR(C1342)&lt;5),"Yes","No")))</f>
        <v/>
      </c>
      <c r="I1342" s="183">
        <f>IF(OR(B1342="",NOT(ISNUMBER(B1342))),"",INT(B1342))</f>
        <v/>
      </c>
    </row>
    <row r="1343" ht="15" customHeight="1" s="122">
      <c r="A1343" s="179" t="inlineStr">
        <is>
          <t>KBB 105Q</t>
        </is>
      </c>
      <c r="B1343" s="172" t="inlineStr">
        <is>
          <t>16-02-2026 08:19:10</t>
        </is>
      </c>
      <c r="C1343" s="172" t="inlineStr">
        <is>
          <t>16-02-2026 08:24:36</t>
        </is>
      </c>
      <c r="D1343" s="173" t="inlineStr">
        <is>
          <t>2.24 Km</t>
        </is>
      </c>
      <c r="E1343" s="181" t="n">
        <v>31</v>
      </c>
      <c r="F1343" s="182" t="n">
        <v>61</v>
      </c>
      <c r="G1343" s="172" t="inlineStr">
        <is>
          <t>No</t>
        </is>
      </c>
      <c r="H1343" s="170">
        <f>IF(A1343="","",IF(OR(NOT(ISNUMBER(C1343)),C1343=""),"No",IF(AND(HOUR(C1343)&gt;=0,HOUR(C1343)&lt;5),"Yes","No")))</f>
        <v/>
      </c>
      <c r="I1343" s="183">
        <f>IF(OR(B1343="",NOT(ISNUMBER(B1343))),"",INT(B1343))</f>
        <v/>
      </c>
    </row>
    <row r="1344" ht="15" customHeight="1" s="122">
      <c r="A1344" s="179" t="inlineStr">
        <is>
          <t>KBB 105Q</t>
        </is>
      </c>
      <c r="B1344" s="172" t="inlineStr">
        <is>
          <t>16-02-2026 08:30:49</t>
        </is>
      </c>
      <c r="C1344" s="172" t="inlineStr">
        <is>
          <t>16-02-2026 08:51:21</t>
        </is>
      </c>
      <c r="D1344" s="173" t="inlineStr">
        <is>
          <t>18.78 Km</t>
        </is>
      </c>
      <c r="E1344" s="181" t="n">
        <v>59</v>
      </c>
      <c r="F1344" s="182" t="n">
        <v>90</v>
      </c>
      <c r="G1344" s="172" t="inlineStr">
        <is>
          <t>No</t>
        </is>
      </c>
      <c r="H1344" s="170">
        <f>IF(A1344="","",IF(OR(NOT(ISNUMBER(C1344)),C1344=""),"No",IF(AND(HOUR(C1344)&gt;=0,HOUR(C1344)&lt;5),"Yes","No")))</f>
        <v/>
      </c>
      <c r="I1344" s="183">
        <f>IF(OR(B1344="",NOT(ISNUMBER(B1344))),"",INT(B1344))</f>
        <v/>
      </c>
    </row>
    <row r="1345" ht="15" customHeight="1" s="122">
      <c r="A1345" s="179" t="inlineStr">
        <is>
          <t>KBB 105Q</t>
        </is>
      </c>
      <c r="B1345" s="172" t="inlineStr">
        <is>
          <t>16-02-2026 08:52:59</t>
        </is>
      </c>
      <c r="C1345" s="172" t="inlineStr">
        <is>
          <t>16-02-2026 09:39:13</t>
        </is>
      </c>
      <c r="D1345" s="173" t="inlineStr">
        <is>
          <t>41.36 Km</t>
        </is>
      </c>
      <c r="E1345" s="181" t="n">
        <v>55</v>
      </c>
      <c r="F1345" s="182" t="n">
        <v>84</v>
      </c>
      <c r="G1345" s="172" t="inlineStr">
        <is>
          <t>No</t>
        </is>
      </c>
      <c r="H1345" s="170">
        <f>IF(A1345="","",IF(OR(NOT(ISNUMBER(C1345)),C1345=""),"No",IF(AND(HOUR(C1345)&gt;=0,HOUR(C1345)&lt;5),"Yes","No")))</f>
        <v/>
      </c>
      <c r="I1345" s="183">
        <f>IF(OR(B1345="",NOT(ISNUMBER(B1345))),"",INT(B1345))</f>
        <v/>
      </c>
    </row>
    <row r="1346" ht="15" customHeight="1" s="122">
      <c r="A1346" s="179" t="inlineStr">
        <is>
          <t>KBB 105Q</t>
        </is>
      </c>
      <c r="B1346" s="172" t="inlineStr">
        <is>
          <t>16-02-2026 09:49:33</t>
        </is>
      </c>
      <c r="C1346" s="172" t="inlineStr">
        <is>
          <t>16-02-2026 09:49:45</t>
        </is>
      </c>
      <c r="D1346" s="173" t="inlineStr">
        <is>
          <t>0.01 Km</t>
        </is>
      </c>
      <c r="E1346" s="181" t="n">
        <v>6</v>
      </c>
      <c r="F1346" s="182" t="n">
        <v>7</v>
      </c>
      <c r="G1346" s="172" t="inlineStr">
        <is>
          <t>No</t>
        </is>
      </c>
      <c r="H1346" s="170">
        <f>IF(A1346="","",IF(OR(NOT(ISNUMBER(C1346)),C1346=""),"No",IF(AND(HOUR(C1346)&gt;=0,HOUR(C1346)&lt;5),"Yes","No")))</f>
        <v/>
      </c>
      <c r="I1346" s="183">
        <f>IF(OR(B1346="",NOT(ISNUMBER(B1346))),"",INT(B1346))</f>
        <v/>
      </c>
    </row>
    <row r="1347" ht="15" customHeight="1" s="122">
      <c r="A1347" s="179" t="inlineStr">
        <is>
          <t>KBB 105Q</t>
        </is>
      </c>
      <c r="B1347" s="172" t="inlineStr">
        <is>
          <t>16-02-2026 09:55:37</t>
        </is>
      </c>
      <c r="C1347" s="172" t="inlineStr">
        <is>
          <t>16-02-2026 11:07:22</t>
        </is>
      </c>
      <c r="D1347" s="173" t="inlineStr">
        <is>
          <t>75.4 Km</t>
        </is>
      </c>
      <c r="E1347" s="181" t="n">
        <v>63</v>
      </c>
      <c r="F1347" s="182" t="n">
        <v>83</v>
      </c>
      <c r="G1347" s="172" t="inlineStr">
        <is>
          <t>No</t>
        </is>
      </c>
      <c r="H1347" s="170">
        <f>IF(A1347="","",IF(OR(NOT(ISNUMBER(C1347)),C1347=""),"No",IF(AND(HOUR(C1347)&gt;=0,HOUR(C1347)&lt;5),"Yes","No")))</f>
        <v/>
      </c>
      <c r="I1347" s="183">
        <f>IF(OR(B1347="",NOT(ISNUMBER(B1347))),"",INT(B1347))</f>
        <v/>
      </c>
    </row>
    <row r="1348" ht="15" customHeight="1" s="122">
      <c r="A1348" s="179" t="inlineStr">
        <is>
          <t>KBB 105Q</t>
        </is>
      </c>
      <c r="B1348" s="172" t="inlineStr">
        <is>
          <t>16-02-2026 11:23:23</t>
        </is>
      </c>
      <c r="C1348" s="172" t="inlineStr">
        <is>
          <t>16-02-2026 12:06:59</t>
        </is>
      </c>
      <c r="D1348" s="173" t="inlineStr">
        <is>
          <t>36.23 Km</t>
        </is>
      </c>
      <c r="E1348" s="181" t="n">
        <v>52</v>
      </c>
      <c r="F1348" s="182" t="n">
        <v>89</v>
      </c>
      <c r="G1348" s="172" t="inlineStr">
        <is>
          <t>No</t>
        </is>
      </c>
      <c r="H1348" s="170">
        <f>IF(A1348="","",IF(OR(NOT(ISNUMBER(C1348)),C1348=""),"No",IF(AND(HOUR(C1348)&gt;=0,HOUR(C1348)&lt;5),"Yes","No")))</f>
        <v/>
      </c>
      <c r="I1348" s="183">
        <f>IF(OR(B1348="",NOT(ISNUMBER(B1348))),"",INT(B1348))</f>
        <v/>
      </c>
    </row>
    <row r="1349" ht="15" customHeight="1" s="122">
      <c r="A1349" s="179" t="inlineStr">
        <is>
          <t>KBB 105Q</t>
        </is>
      </c>
      <c r="B1349" s="172" t="inlineStr">
        <is>
          <t>16-02-2026 18:34:27</t>
        </is>
      </c>
      <c r="C1349" s="172" t="inlineStr">
        <is>
          <t>16-02-2026 18:36:04</t>
        </is>
      </c>
      <c r="D1349" s="173" t="inlineStr">
        <is>
          <t>0.3 Km</t>
        </is>
      </c>
      <c r="E1349" s="181" t="n">
        <v>12</v>
      </c>
      <c r="F1349" s="182" t="n">
        <v>25</v>
      </c>
      <c r="G1349" s="172" t="inlineStr">
        <is>
          <t>No</t>
        </is>
      </c>
      <c r="H1349" s="170">
        <f>IF(A1349="","",IF(OR(NOT(ISNUMBER(C1349)),C1349=""),"No",IF(AND(HOUR(C1349)&gt;=0,HOUR(C1349)&lt;5),"Yes","No")))</f>
        <v/>
      </c>
      <c r="I1349" s="183">
        <f>IF(OR(B1349="",NOT(ISNUMBER(B1349))),"",INT(B1349))</f>
        <v/>
      </c>
    </row>
    <row r="1350" ht="15" customHeight="1" s="122">
      <c r="A1350" s="179" t="inlineStr">
        <is>
          <t>KBB 105Q</t>
        </is>
      </c>
      <c r="B1350" s="172" t="inlineStr">
        <is>
          <t>16-02-2026 19:23:30</t>
        </is>
      </c>
      <c r="C1350" s="172" t="inlineStr">
        <is>
          <t>16-02-2026 19:25:30</t>
        </is>
      </c>
      <c r="D1350" s="173" t="inlineStr">
        <is>
          <t>0.6 Km</t>
        </is>
      </c>
      <c r="E1350" s="181" t="n">
        <v>14</v>
      </c>
      <c r="F1350" s="182" t="n">
        <v>28</v>
      </c>
      <c r="G1350" s="172" t="inlineStr">
        <is>
          <t>No</t>
        </is>
      </c>
      <c r="H1350" s="170">
        <f>IF(A1350="","",IF(OR(NOT(ISNUMBER(C1350)),C1350=""),"No",IF(AND(HOUR(C1350)&gt;=0,HOUR(C1350)&lt;5),"Yes","No")))</f>
        <v/>
      </c>
      <c r="I1350" s="183">
        <f>IF(OR(B1350="",NOT(ISNUMBER(B1350))),"",INT(B1350))</f>
        <v/>
      </c>
    </row>
    <row r="1351" ht="15" customHeight="1" s="122">
      <c r="A1351" s="179" t="inlineStr">
        <is>
          <t>KBB 105Q</t>
        </is>
      </c>
      <c r="B1351" s="172" t="inlineStr">
        <is>
          <t>17-02-2026 08:07:55</t>
        </is>
      </c>
      <c r="C1351" s="172" t="inlineStr">
        <is>
          <t>17-02-2026 08:22:58</t>
        </is>
      </c>
      <c r="D1351" s="173" t="inlineStr">
        <is>
          <t>8.5 Km</t>
        </is>
      </c>
      <c r="E1351" s="181" t="n">
        <v>34</v>
      </c>
      <c r="F1351" s="182" t="n">
        <v>69</v>
      </c>
      <c r="G1351" s="172" t="inlineStr">
        <is>
          <t>No</t>
        </is>
      </c>
      <c r="H1351" s="170">
        <f>IF(A1351="","",IF(OR(NOT(ISNUMBER(C1351)),C1351=""),"No",IF(AND(HOUR(C1351)&gt;=0,HOUR(C1351)&lt;5),"Yes","No")))</f>
        <v/>
      </c>
      <c r="I1351" s="183">
        <f>IF(OR(B1351="",NOT(ISNUMBER(B1351))),"",INT(B1351))</f>
        <v/>
      </c>
    </row>
    <row r="1352" ht="15" customHeight="1" s="122">
      <c r="A1352" s="179" t="inlineStr">
        <is>
          <t>KBB 105Q</t>
        </is>
      </c>
      <c r="B1352" s="172" t="inlineStr">
        <is>
          <t>17-02-2026 08:28:00</t>
        </is>
      </c>
      <c r="C1352" s="172" t="inlineStr">
        <is>
          <t>17-02-2026 08:28:12</t>
        </is>
      </c>
      <c r="D1352" s="173" t="inlineStr">
        <is>
          <t>0.03 Km</t>
        </is>
      </c>
      <c r="E1352" s="181" t="n">
        <v>10</v>
      </c>
      <c r="F1352" s="182" t="n">
        <v>14</v>
      </c>
      <c r="G1352" s="172" t="inlineStr">
        <is>
          <t>No</t>
        </is>
      </c>
      <c r="H1352" s="170">
        <f>IF(A1352="","",IF(OR(NOT(ISNUMBER(C1352)),C1352=""),"No",IF(AND(HOUR(C1352)&gt;=0,HOUR(C1352)&lt;5),"Yes","No")))</f>
        <v/>
      </c>
      <c r="I1352" s="183">
        <f>IF(OR(B1352="",NOT(ISNUMBER(B1352))),"",INT(B1352))</f>
        <v/>
      </c>
    </row>
    <row r="1353" ht="15" customHeight="1" s="122">
      <c r="A1353" s="179" t="inlineStr">
        <is>
          <t>KBB 105Q</t>
        </is>
      </c>
      <c r="B1353" s="172" t="inlineStr">
        <is>
          <t>17-02-2026 08:31:48</t>
        </is>
      </c>
      <c r="C1353" s="172" t="inlineStr">
        <is>
          <t>17-02-2026 08:45:52</t>
        </is>
      </c>
      <c r="D1353" s="173" t="inlineStr">
        <is>
          <t>8.2 Km</t>
        </is>
      </c>
      <c r="E1353" s="181" t="n">
        <v>35</v>
      </c>
      <c r="F1353" s="182" t="n">
        <v>74</v>
      </c>
      <c r="G1353" s="172" t="inlineStr">
        <is>
          <t>No</t>
        </is>
      </c>
      <c r="H1353" s="170">
        <f>IF(A1353="","",IF(OR(NOT(ISNUMBER(C1353)),C1353=""),"No",IF(AND(HOUR(C1353)&gt;=0,HOUR(C1353)&lt;5),"Yes","No")))</f>
        <v/>
      </c>
      <c r="I1353" s="183">
        <f>IF(OR(B1353="",NOT(ISNUMBER(B1353))),"",INT(B1353))</f>
        <v/>
      </c>
    </row>
    <row r="1354" ht="15" customHeight="1" s="122">
      <c r="A1354" s="179" t="inlineStr">
        <is>
          <t>KBB 105Q</t>
        </is>
      </c>
      <c r="B1354" s="172" t="inlineStr">
        <is>
          <t>17-02-2026 09:02:14</t>
        </is>
      </c>
      <c r="C1354" s="172" t="inlineStr">
        <is>
          <t>17-02-2026 09:22:17</t>
        </is>
      </c>
      <c r="D1354" s="173" t="inlineStr">
        <is>
          <t>13.24 Km</t>
        </is>
      </c>
      <c r="E1354" s="181" t="n">
        <v>38</v>
      </c>
      <c r="F1354" s="182" t="n">
        <v>70</v>
      </c>
      <c r="G1354" s="172" t="inlineStr">
        <is>
          <t>No</t>
        </is>
      </c>
      <c r="H1354" s="170">
        <f>IF(A1354="","",IF(OR(NOT(ISNUMBER(C1354)),C1354=""),"No",IF(AND(HOUR(C1354)&gt;=0,HOUR(C1354)&lt;5),"Yes","No")))</f>
        <v/>
      </c>
      <c r="I1354" s="183">
        <f>IF(OR(B1354="",NOT(ISNUMBER(B1354))),"",INT(B1354))</f>
        <v/>
      </c>
    </row>
    <row r="1355" ht="15" customHeight="1" s="122">
      <c r="A1355" s="179" t="inlineStr">
        <is>
          <t>KBB 105Q</t>
        </is>
      </c>
      <c r="B1355" s="172" t="inlineStr">
        <is>
          <t>17-02-2026 09:47:43</t>
        </is>
      </c>
      <c r="C1355" s="172" t="inlineStr">
        <is>
          <t>17-02-2026 10:29:33</t>
        </is>
      </c>
      <c r="D1355" s="173" t="inlineStr">
        <is>
          <t>28.76 Km</t>
        </is>
      </c>
      <c r="E1355" s="181" t="n">
        <v>42</v>
      </c>
      <c r="F1355" s="182" t="n">
        <v>68</v>
      </c>
      <c r="G1355" s="172" t="inlineStr">
        <is>
          <t>No</t>
        </is>
      </c>
      <c r="H1355" s="170">
        <f>IF(A1355="","",IF(OR(NOT(ISNUMBER(C1355)),C1355=""),"No",IF(AND(HOUR(C1355)&gt;=0,HOUR(C1355)&lt;5),"Yes","No")))</f>
        <v/>
      </c>
      <c r="I1355" s="183">
        <f>IF(OR(B1355="",NOT(ISNUMBER(B1355))),"",INT(B1355))</f>
        <v/>
      </c>
    </row>
    <row r="1356" ht="15" customHeight="1" s="122">
      <c r="A1356" s="179" t="inlineStr">
        <is>
          <t>KBB 105Q</t>
        </is>
      </c>
      <c r="B1356" s="172" t="inlineStr">
        <is>
          <t>17-02-2026 10:42:35</t>
        </is>
      </c>
      <c r="C1356" s="172" t="inlineStr">
        <is>
          <t>17-02-2026 10:44:40</t>
        </is>
      </c>
      <c r="D1356" s="173" t="inlineStr">
        <is>
          <t>0.51 Km</t>
        </is>
      </c>
      <c r="E1356" s="181" t="n">
        <v>14</v>
      </c>
      <c r="F1356" s="182" t="n">
        <v>26</v>
      </c>
      <c r="G1356" s="172" t="inlineStr">
        <is>
          <t>No</t>
        </is>
      </c>
      <c r="H1356" s="170">
        <f>IF(A1356="","",IF(OR(NOT(ISNUMBER(C1356)),C1356=""),"No",IF(AND(HOUR(C1356)&gt;=0,HOUR(C1356)&lt;5),"Yes","No")))</f>
        <v/>
      </c>
      <c r="I1356" s="183">
        <f>IF(OR(B1356="",NOT(ISNUMBER(B1356))),"",INT(B1356))</f>
        <v/>
      </c>
    </row>
    <row r="1357" ht="15" customHeight="1" s="122">
      <c r="A1357" s="179" t="inlineStr">
        <is>
          <t>KBB 105Q</t>
        </is>
      </c>
      <c r="B1357" s="172" t="inlineStr">
        <is>
          <t>17-02-2026 12:05:21</t>
        </is>
      </c>
      <c r="C1357" s="172" t="inlineStr">
        <is>
          <t>17-02-2026 12:20:18</t>
        </is>
      </c>
      <c r="D1357" s="173" t="inlineStr">
        <is>
          <t>10.87 Km</t>
        </is>
      </c>
      <c r="E1357" s="181" t="n">
        <v>41</v>
      </c>
      <c r="F1357" s="182" t="n">
        <v>78</v>
      </c>
      <c r="G1357" s="172" t="inlineStr">
        <is>
          <t>No</t>
        </is>
      </c>
      <c r="H1357" s="170">
        <f>IF(A1357="","",IF(OR(NOT(ISNUMBER(C1357)),C1357=""),"No",IF(AND(HOUR(C1357)&gt;=0,HOUR(C1357)&lt;5),"Yes","No")))</f>
        <v/>
      </c>
      <c r="I1357" s="183">
        <f>IF(OR(B1357="",NOT(ISNUMBER(B1357))),"",INT(B1357))</f>
        <v/>
      </c>
    </row>
    <row r="1358" ht="15" customHeight="1" s="122">
      <c r="A1358" s="179" t="inlineStr">
        <is>
          <t>KBB 105Q</t>
        </is>
      </c>
      <c r="B1358" s="172" t="inlineStr">
        <is>
          <t>17-02-2026 12:54:39</t>
        </is>
      </c>
      <c r="C1358" s="172" t="inlineStr">
        <is>
          <t>17-02-2026 12:58:23</t>
        </is>
      </c>
      <c r="D1358" s="173" t="inlineStr">
        <is>
          <t>1.02 Km</t>
        </is>
      </c>
      <c r="E1358" s="181" t="n">
        <v>16</v>
      </c>
      <c r="F1358" s="182" t="n">
        <v>34</v>
      </c>
      <c r="G1358" s="172" t="inlineStr">
        <is>
          <t>No</t>
        </is>
      </c>
      <c r="H1358" s="170">
        <f>IF(A1358="","",IF(OR(NOT(ISNUMBER(C1358)),C1358=""),"No",IF(AND(HOUR(C1358)&gt;=0,HOUR(C1358)&lt;5),"Yes","No")))</f>
        <v/>
      </c>
      <c r="I1358" s="183">
        <f>IF(OR(B1358="",NOT(ISNUMBER(B1358))),"",INT(B1358))</f>
        <v/>
      </c>
    </row>
    <row r="1359" ht="15" customHeight="1" s="122">
      <c r="A1359" s="179" t="inlineStr">
        <is>
          <t>KBB 105Q</t>
        </is>
      </c>
      <c r="B1359" s="172" t="inlineStr">
        <is>
          <t>17-02-2026 13:03:00</t>
        </is>
      </c>
      <c r="C1359" s="172" t="inlineStr">
        <is>
          <t>17-02-2026 13:19:25</t>
        </is>
      </c>
      <c r="D1359" s="173" t="inlineStr">
        <is>
          <t>10.49 Km</t>
        </is>
      </c>
      <c r="E1359" s="181" t="n">
        <v>34</v>
      </c>
      <c r="F1359" s="182" t="n">
        <v>57</v>
      </c>
      <c r="G1359" s="172" t="inlineStr">
        <is>
          <t>No</t>
        </is>
      </c>
      <c r="H1359" s="170">
        <f>IF(A1359="","",IF(OR(NOT(ISNUMBER(C1359)),C1359=""),"No",IF(AND(HOUR(C1359)&gt;=0,HOUR(C1359)&lt;5),"Yes","No")))</f>
        <v/>
      </c>
      <c r="I1359" s="183">
        <f>IF(OR(B1359="",NOT(ISNUMBER(B1359))),"",INT(B1359))</f>
        <v/>
      </c>
    </row>
    <row r="1360" ht="15" customHeight="1" s="122">
      <c r="A1360" s="179" t="inlineStr">
        <is>
          <t>KBB 105Q</t>
        </is>
      </c>
      <c r="B1360" s="172" t="inlineStr">
        <is>
          <t>17-02-2026 14:40:01</t>
        </is>
      </c>
      <c r="C1360" s="172" t="inlineStr">
        <is>
          <t>17-02-2026 15:03:28</t>
        </is>
      </c>
      <c r="D1360" s="173" t="inlineStr">
        <is>
          <t>13.62 Km</t>
        </is>
      </c>
      <c r="E1360" s="181" t="n">
        <v>32</v>
      </c>
      <c r="F1360" s="182" t="n">
        <v>55</v>
      </c>
      <c r="G1360" s="172" t="inlineStr">
        <is>
          <t>No</t>
        </is>
      </c>
      <c r="H1360" s="170">
        <f>IF(A1360="","",IF(OR(NOT(ISNUMBER(C1360)),C1360=""),"No",IF(AND(HOUR(C1360)&gt;=0,HOUR(C1360)&lt;5),"Yes","No")))</f>
        <v/>
      </c>
      <c r="I1360" s="183">
        <f>IF(OR(B1360="",NOT(ISNUMBER(B1360))),"",INT(B1360))</f>
        <v/>
      </c>
    </row>
    <row r="1361" ht="15" customHeight="1" s="122">
      <c r="A1361" s="179" t="inlineStr">
        <is>
          <t>KBB 105Q</t>
        </is>
      </c>
      <c r="B1361" s="172" t="inlineStr">
        <is>
          <t>17-02-2026 15:12:17</t>
        </is>
      </c>
      <c r="C1361" s="172" t="inlineStr">
        <is>
          <t>17-02-2026 15:58:15</t>
        </is>
      </c>
      <c r="D1361" s="173" t="inlineStr">
        <is>
          <t>28.89 Km</t>
        </is>
      </c>
      <c r="E1361" s="181" t="n">
        <v>36</v>
      </c>
      <c r="F1361" s="182" t="n">
        <v>71</v>
      </c>
      <c r="G1361" s="172" t="inlineStr">
        <is>
          <t>No</t>
        </is>
      </c>
      <c r="H1361" s="170">
        <f>IF(A1361="","",IF(OR(NOT(ISNUMBER(C1361)),C1361=""),"No",IF(AND(HOUR(C1361)&gt;=0,HOUR(C1361)&lt;5),"Yes","No")))</f>
        <v/>
      </c>
      <c r="I1361" s="183">
        <f>IF(OR(B1361="",NOT(ISNUMBER(B1361))),"",INT(B1361))</f>
        <v/>
      </c>
    </row>
    <row r="1362" ht="15" customHeight="1" s="122">
      <c r="A1362" s="179" t="inlineStr">
        <is>
          <t>KBB 105Q</t>
        </is>
      </c>
      <c r="B1362" s="172" t="inlineStr">
        <is>
          <t>17-02-2026 20:06:12</t>
        </is>
      </c>
      <c r="C1362" s="172" t="inlineStr">
        <is>
          <t>17-02-2026 20:12:01</t>
        </is>
      </c>
      <c r="D1362" s="173" t="inlineStr">
        <is>
          <t>1.45 Km</t>
        </is>
      </c>
      <c r="E1362" s="181" t="n">
        <v>14</v>
      </c>
      <c r="F1362" s="182" t="n">
        <v>32</v>
      </c>
      <c r="G1362" s="172" t="inlineStr">
        <is>
          <t>No</t>
        </is>
      </c>
      <c r="H1362" s="170">
        <f>IF(A1362="","",IF(OR(NOT(ISNUMBER(C1362)),C1362=""),"No",IF(AND(HOUR(C1362)&gt;=0,HOUR(C1362)&lt;5),"Yes","No")))</f>
        <v/>
      </c>
      <c r="I1362" s="183">
        <f>IF(OR(B1362="",NOT(ISNUMBER(B1362))),"",INT(B1362))</f>
        <v/>
      </c>
    </row>
    <row r="1363" ht="15" customHeight="1" s="122">
      <c r="A1363" s="179" t="inlineStr">
        <is>
          <t>KBB 105Q</t>
        </is>
      </c>
      <c r="B1363" s="172" t="inlineStr">
        <is>
          <t>17-02-2026 20:30:44</t>
        </is>
      </c>
      <c r="C1363" s="172" t="inlineStr">
        <is>
          <t>17-02-2026 20:37:35</t>
        </is>
      </c>
      <c r="D1363" s="173" t="inlineStr">
        <is>
          <t>1.72 Km</t>
        </is>
      </c>
      <c r="E1363" s="181" t="n">
        <v>14</v>
      </c>
      <c r="F1363" s="182" t="n">
        <v>28</v>
      </c>
      <c r="G1363" s="172" t="inlineStr">
        <is>
          <t>No</t>
        </is>
      </c>
      <c r="H1363" s="170">
        <f>IF(A1363="","",IF(OR(NOT(ISNUMBER(C1363)),C1363=""),"No",IF(AND(HOUR(C1363)&gt;=0,HOUR(C1363)&lt;5),"Yes","No")))</f>
        <v/>
      </c>
      <c r="I1363" s="183">
        <f>IF(OR(B1363="",NOT(ISNUMBER(B1363))),"",INT(B1363))</f>
        <v/>
      </c>
    </row>
    <row r="1364" ht="15" customHeight="1" s="122">
      <c r="A1364" s="179" t="inlineStr">
        <is>
          <t>KBB 105Q</t>
        </is>
      </c>
      <c r="B1364" s="172" t="inlineStr">
        <is>
          <t>18-02-2026 08:18:51</t>
        </is>
      </c>
      <c r="C1364" s="172" t="inlineStr">
        <is>
          <t>18-02-2026 08:23:06</t>
        </is>
      </c>
      <c r="D1364" s="173" t="inlineStr">
        <is>
          <t>1.01 Km</t>
        </is>
      </c>
      <c r="E1364" s="181" t="n">
        <v>13</v>
      </c>
      <c r="F1364" s="182" t="n">
        <v>24</v>
      </c>
      <c r="G1364" s="172" t="inlineStr">
        <is>
          <t>No</t>
        </is>
      </c>
      <c r="H1364" s="170">
        <f>IF(A1364="","",IF(OR(NOT(ISNUMBER(C1364)),C1364=""),"No",IF(AND(HOUR(C1364)&gt;=0,HOUR(C1364)&lt;5),"Yes","No")))</f>
        <v/>
      </c>
      <c r="I1364" s="183">
        <f>IF(OR(B1364="",NOT(ISNUMBER(B1364))),"",INT(B1364))</f>
        <v/>
      </c>
    </row>
    <row r="1365" ht="15" customHeight="1" s="122">
      <c r="A1365" s="179" t="inlineStr">
        <is>
          <t>KBB 105Q</t>
        </is>
      </c>
      <c r="B1365" s="172" t="inlineStr">
        <is>
          <t>18-02-2026 14:24:39</t>
        </is>
      </c>
      <c r="C1365" s="172" t="inlineStr">
        <is>
          <t>18-02-2026 14:38:57</t>
        </is>
      </c>
      <c r="D1365" s="173" t="inlineStr">
        <is>
          <t>8.34 Km</t>
        </is>
      </c>
      <c r="E1365" s="181" t="n">
        <v>34</v>
      </c>
      <c r="F1365" s="182" t="n">
        <v>64</v>
      </c>
      <c r="G1365" s="172" t="inlineStr">
        <is>
          <t>No</t>
        </is>
      </c>
      <c r="H1365" s="170">
        <f>IF(A1365="","",IF(OR(NOT(ISNUMBER(C1365)),C1365=""),"No",IF(AND(HOUR(C1365)&gt;=0,HOUR(C1365)&lt;5),"Yes","No")))</f>
        <v/>
      </c>
      <c r="I1365" s="183">
        <f>IF(OR(B1365="",NOT(ISNUMBER(B1365))),"",INT(B1365))</f>
        <v/>
      </c>
    </row>
    <row r="1366" ht="15" customHeight="1" s="122">
      <c r="A1366" s="179" t="inlineStr">
        <is>
          <t>KBB 105Q</t>
        </is>
      </c>
      <c r="B1366" s="172" t="inlineStr">
        <is>
          <t>18-02-2026 14:40:08</t>
        </is>
      </c>
      <c r="C1366" s="172" t="inlineStr">
        <is>
          <t>18-02-2026 14:40:41</t>
        </is>
      </c>
      <c r="D1366" s="173" t="inlineStr">
        <is>
          <t>0.02 Km</t>
        </is>
      </c>
      <c r="E1366" s="181" t="n">
        <v>7</v>
      </c>
      <c r="F1366" s="182" t="n">
        <v>7</v>
      </c>
      <c r="G1366" s="172" t="inlineStr">
        <is>
          <t>No</t>
        </is>
      </c>
      <c r="H1366" s="170">
        <f>IF(A1366="","",IF(OR(NOT(ISNUMBER(C1366)),C1366=""),"No",IF(AND(HOUR(C1366)&gt;=0,HOUR(C1366)&lt;5),"Yes","No")))</f>
        <v/>
      </c>
      <c r="I1366" s="183">
        <f>IF(OR(B1366="",NOT(ISNUMBER(B1366))),"",INT(B1366))</f>
        <v/>
      </c>
    </row>
    <row r="1367" ht="15" customHeight="1" s="122">
      <c r="A1367" s="179" t="inlineStr">
        <is>
          <t>KBB 105Q</t>
        </is>
      </c>
      <c r="B1367" s="172" t="inlineStr">
        <is>
          <t>18-02-2026 14:45:24</t>
        </is>
      </c>
      <c r="C1367" s="172" t="inlineStr">
        <is>
          <t>18-02-2026 15:21:51</t>
        </is>
      </c>
      <c r="D1367" s="173" t="inlineStr">
        <is>
          <t>28.42 Km</t>
        </is>
      </c>
      <c r="E1367" s="181" t="n">
        <v>49</v>
      </c>
      <c r="F1367" s="182" t="n">
        <v>75</v>
      </c>
      <c r="G1367" s="172" t="inlineStr">
        <is>
          <t>No</t>
        </is>
      </c>
      <c r="H1367" s="170">
        <f>IF(A1367="","",IF(OR(NOT(ISNUMBER(C1367)),C1367=""),"No",IF(AND(HOUR(C1367)&gt;=0,HOUR(C1367)&lt;5),"Yes","No")))</f>
        <v/>
      </c>
      <c r="I1367" s="183">
        <f>IF(OR(B1367="",NOT(ISNUMBER(B1367))),"",INT(B1367))</f>
        <v/>
      </c>
    </row>
    <row r="1368" ht="15" customHeight="1" s="122">
      <c r="A1368" s="179" t="inlineStr">
        <is>
          <t>KBB 105Q</t>
        </is>
      </c>
      <c r="B1368" s="172" t="inlineStr">
        <is>
          <t>18-02-2026 15:30:48</t>
        </is>
      </c>
      <c r="C1368" s="172" t="inlineStr">
        <is>
          <t>18-02-2026 16:20:16</t>
        </is>
      </c>
      <c r="D1368" s="173" t="inlineStr">
        <is>
          <t>47.11 Km</t>
        </is>
      </c>
      <c r="E1368" s="181" t="n">
        <v>57</v>
      </c>
      <c r="F1368" s="182" t="n">
        <v>81</v>
      </c>
      <c r="G1368" s="172" t="inlineStr">
        <is>
          <t>No</t>
        </is>
      </c>
      <c r="H1368" s="170">
        <f>IF(A1368="","",IF(OR(NOT(ISNUMBER(C1368)),C1368=""),"No",IF(AND(HOUR(C1368)&gt;=0,HOUR(C1368)&lt;5),"Yes","No")))</f>
        <v/>
      </c>
      <c r="I1368" s="183">
        <f>IF(OR(B1368="",NOT(ISNUMBER(B1368))),"",INT(B1368))</f>
        <v/>
      </c>
    </row>
    <row r="1369" ht="15" customHeight="1" s="122">
      <c r="A1369" s="179" t="inlineStr">
        <is>
          <t>KBB 105Q</t>
        </is>
      </c>
      <c r="B1369" s="172" t="inlineStr">
        <is>
          <t>18-02-2026 16:33:20</t>
        </is>
      </c>
      <c r="C1369" s="172" t="inlineStr">
        <is>
          <t>18-02-2026 17:04:07</t>
        </is>
      </c>
      <c r="D1369" s="173" t="inlineStr">
        <is>
          <t>24.18 Km</t>
        </is>
      </c>
      <c r="E1369" s="181" t="n">
        <v>48</v>
      </c>
      <c r="F1369" s="182" t="n">
        <v>73</v>
      </c>
      <c r="G1369" s="172" t="inlineStr">
        <is>
          <t>No</t>
        </is>
      </c>
      <c r="H1369" s="170">
        <f>IF(A1369="","",IF(OR(NOT(ISNUMBER(C1369)),C1369=""),"No",IF(AND(HOUR(C1369)&gt;=0,HOUR(C1369)&lt;5),"Yes","No")))</f>
        <v/>
      </c>
      <c r="I1369" s="183">
        <f>IF(OR(B1369="",NOT(ISNUMBER(B1369))),"",INT(B1369))</f>
        <v/>
      </c>
    </row>
    <row r="1370" ht="15" customHeight="1" s="122">
      <c r="A1370" s="179" t="inlineStr">
        <is>
          <t>KBB 105Q</t>
        </is>
      </c>
      <c r="B1370" s="172" t="inlineStr">
        <is>
          <t>18-02-2026 19:02:10</t>
        </is>
      </c>
      <c r="C1370" s="172" t="inlineStr">
        <is>
          <t>18-02-2026 19:48:38</t>
        </is>
      </c>
      <c r="D1370" s="173" t="inlineStr">
        <is>
          <t>37.52 Km</t>
        </is>
      </c>
      <c r="E1370" s="181" t="n">
        <v>52</v>
      </c>
      <c r="F1370" s="182" t="n">
        <v>75</v>
      </c>
      <c r="G1370" s="172" t="inlineStr">
        <is>
          <t>No</t>
        </is>
      </c>
      <c r="H1370" s="170">
        <f>IF(A1370="","",IF(OR(NOT(ISNUMBER(C1370)),C1370=""),"No",IF(AND(HOUR(C1370)&gt;=0,HOUR(C1370)&lt;5),"Yes","No")))</f>
        <v/>
      </c>
      <c r="I1370" s="183">
        <f>IF(OR(B1370="",NOT(ISNUMBER(B1370))),"",INT(B1370))</f>
        <v/>
      </c>
    </row>
    <row r="1371" ht="15" customHeight="1" s="122">
      <c r="A1371" s="179" t="inlineStr">
        <is>
          <t>KBB 105Q</t>
        </is>
      </c>
      <c r="B1371" s="172" t="inlineStr">
        <is>
          <t>18-02-2026 19:50:31</t>
        </is>
      </c>
      <c r="C1371" s="172" t="inlineStr">
        <is>
          <t>18-02-2026 19:57:29</t>
        </is>
      </c>
      <c r="D1371" s="173" t="inlineStr">
        <is>
          <t>4.19 Km</t>
        </is>
      </c>
      <c r="E1371" s="181" t="n">
        <v>36</v>
      </c>
      <c r="F1371" s="182" t="n">
        <v>63</v>
      </c>
      <c r="G1371" s="172" t="inlineStr">
        <is>
          <t>No</t>
        </is>
      </c>
      <c r="H1371" s="170">
        <f>IF(A1371="","",IF(OR(NOT(ISNUMBER(C1371)),C1371=""),"No",IF(AND(HOUR(C1371)&gt;=0,HOUR(C1371)&lt;5),"Yes","No")))</f>
        <v/>
      </c>
      <c r="I1371" s="183">
        <f>IF(OR(B1371="",NOT(ISNUMBER(B1371))),"",INT(B1371))</f>
        <v/>
      </c>
    </row>
    <row r="1372" ht="15" customHeight="1" s="122">
      <c r="A1372" s="179" t="inlineStr">
        <is>
          <t>KBB 105Q</t>
        </is>
      </c>
      <c r="B1372" s="172" t="inlineStr">
        <is>
          <t>18-02-2026 20:00:17</t>
        </is>
      </c>
      <c r="C1372" s="172" t="inlineStr">
        <is>
          <t>18-02-2026 20:18:37</t>
        </is>
      </c>
      <c r="D1372" s="173" t="inlineStr">
        <is>
          <t>6.49 Km</t>
        </is>
      </c>
      <c r="E1372" s="181" t="n">
        <v>19</v>
      </c>
      <c r="F1372" s="182" t="n">
        <v>44</v>
      </c>
      <c r="G1372" s="172" t="inlineStr">
        <is>
          <t>No</t>
        </is>
      </c>
      <c r="H1372" s="170">
        <f>IF(A1372="","",IF(OR(NOT(ISNUMBER(C1372)),C1372=""),"No",IF(AND(HOUR(C1372)&gt;=0,HOUR(C1372)&lt;5),"Yes","No")))</f>
        <v/>
      </c>
      <c r="I1372" s="183">
        <f>IF(OR(B1372="",NOT(ISNUMBER(B1372))),"",INT(B1372))</f>
        <v/>
      </c>
    </row>
    <row r="1373" ht="15" customHeight="1" s="122">
      <c r="A1373" s="179" t="inlineStr">
        <is>
          <t>KBB 105Q</t>
        </is>
      </c>
      <c r="B1373" s="172" t="inlineStr">
        <is>
          <t>18-02-2026 20:21:10</t>
        </is>
      </c>
      <c r="C1373" s="172" t="inlineStr">
        <is>
          <t>18-02-2026 20:21:37</t>
        </is>
      </c>
      <c r="D1373" s="173" t="inlineStr">
        <is>
          <t>0.06 Km</t>
        </is>
      </c>
      <c r="E1373" s="181" t="n">
        <v>7</v>
      </c>
      <c r="F1373" s="182" t="n">
        <v>8</v>
      </c>
      <c r="G1373" s="172" t="inlineStr">
        <is>
          <t>No</t>
        </is>
      </c>
      <c r="H1373" s="170">
        <f>IF(A1373="","",IF(OR(NOT(ISNUMBER(C1373)),C1373=""),"No",IF(AND(HOUR(C1373)&gt;=0,HOUR(C1373)&lt;5),"Yes","No")))</f>
        <v/>
      </c>
      <c r="I1373" s="183">
        <f>IF(OR(B1373="",NOT(ISNUMBER(B1373))),"",INT(B1373))</f>
        <v/>
      </c>
    </row>
    <row r="1374" ht="15" customHeight="1" s="122">
      <c r="A1374" s="179" t="inlineStr">
        <is>
          <t>KBB 105Q</t>
        </is>
      </c>
      <c r="B1374" s="172" t="inlineStr">
        <is>
          <t>19-02-2026 10:36:12</t>
        </is>
      </c>
      <c r="C1374" s="172" t="inlineStr">
        <is>
          <t>19-02-2026 10:37:17</t>
        </is>
      </c>
      <c r="D1374" s="173" t="inlineStr">
        <is>
          <t>0.03 Km</t>
        </is>
      </c>
      <c r="E1374" s="181" t="n">
        <v>7</v>
      </c>
      <c r="F1374" s="182" t="n">
        <v>8</v>
      </c>
      <c r="G1374" s="172" t="inlineStr">
        <is>
          <t>No</t>
        </is>
      </c>
      <c r="H1374" s="170">
        <f>IF(A1374="","",IF(OR(NOT(ISNUMBER(C1374)),C1374=""),"No",IF(AND(HOUR(C1374)&gt;=0,HOUR(C1374)&lt;5),"Yes","No")))</f>
        <v/>
      </c>
      <c r="I1374" s="183">
        <f>IF(OR(B1374="",NOT(ISNUMBER(B1374))),"",INT(B1374))</f>
        <v/>
      </c>
    </row>
    <row r="1375" ht="15" customHeight="1" s="122">
      <c r="A1375" s="179" t="inlineStr">
        <is>
          <t>KBB 105Q</t>
        </is>
      </c>
      <c r="B1375" s="172" t="inlineStr">
        <is>
          <t>19-02-2026 10:38:31</t>
        </is>
      </c>
      <c r="C1375" s="172" t="inlineStr">
        <is>
          <t>19-02-2026 10:41:56</t>
        </is>
      </c>
      <c r="D1375" s="173" t="inlineStr">
        <is>
          <t>0.34 Km</t>
        </is>
      </c>
      <c r="E1375" s="181" t="n">
        <v>10</v>
      </c>
      <c r="F1375" s="182" t="n">
        <v>16</v>
      </c>
      <c r="G1375" s="172" t="inlineStr">
        <is>
          <t>No</t>
        </is>
      </c>
      <c r="H1375" s="170">
        <f>IF(A1375="","",IF(OR(NOT(ISNUMBER(C1375)),C1375=""),"No",IF(AND(HOUR(C1375)&gt;=0,HOUR(C1375)&lt;5),"Yes","No")))</f>
        <v/>
      </c>
      <c r="I1375" s="183">
        <f>IF(OR(B1375="",NOT(ISNUMBER(B1375))),"",INT(B1375))</f>
        <v/>
      </c>
    </row>
    <row r="1376" ht="15" customHeight="1" s="122">
      <c r="A1376" s="179" t="inlineStr">
        <is>
          <t>KBB 105Q</t>
        </is>
      </c>
      <c r="B1376" s="172" t="inlineStr">
        <is>
          <t>19-02-2026 10:55:23</t>
        </is>
      </c>
      <c r="C1376" s="172" t="inlineStr">
        <is>
          <t>19-02-2026 11:16:37</t>
        </is>
      </c>
      <c r="D1376" s="173" t="inlineStr">
        <is>
          <t>8.01 Km</t>
        </is>
      </c>
      <c r="E1376" s="181" t="n">
        <v>21</v>
      </c>
      <c r="F1376" s="182" t="n">
        <v>42</v>
      </c>
      <c r="G1376" s="172" t="inlineStr">
        <is>
          <t>No</t>
        </is>
      </c>
      <c r="H1376" s="170">
        <f>IF(A1376="","",IF(OR(NOT(ISNUMBER(C1376)),C1376=""),"No",IF(AND(HOUR(C1376)&gt;=0,HOUR(C1376)&lt;5),"Yes","No")))</f>
        <v/>
      </c>
      <c r="I1376" s="183">
        <f>IF(OR(B1376="",NOT(ISNUMBER(B1376))),"",INT(B1376))</f>
        <v/>
      </c>
    </row>
    <row r="1377" ht="15" customHeight="1" s="122">
      <c r="A1377" s="179" t="inlineStr">
        <is>
          <t>KBB 105Q</t>
        </is>
      </c>
      <c r="B1377" s="172" t="inlineStr">
        <is>
          <t>19-02-2026 11:20:42</t>
        </is>
      </c>
      <c r="C1377" s="172" t="inlineStr">
        <is>
          <t>19-02-2026 12:12:33</t>
        </is>
      </c>
      <c r="D1377" s="173" t="inlineStr">
        <is>
          <t>43.48 Km</t>
        </is>
      </c>
      <c r="E1377" s="181" t="n">
        <v>53</v>
      </c>
      <c r="F1377" s="182" t="n">
        <v>81</v>
      </c>
      <c r="G1377" s="172" t="inlineStr">
        <is>
          <t>No</t>
        </is>
      </c>
      <c r="H1377" s="170">
        <f>IF(A1377="","",IF(OR(NOT(ISNUMBER(C1377)),C1377=""),"No",IF(AND(HOUR(C1377)&gt;=0,HOUR(C1377)&lt;5),"Yes","No")))</f>
        <v/>
      </c>
      <c r="I1377" s="183">
        <f>IF(OR(B1377="",NOT(ISNUMBER(B1377))),"",INT(B1377))</f>
        <v/>
      </c>
    </row>
    <row r="1378" ht="15" customHeight="1" s="122">
      <c r="A1378" s="179" t="inlineStr">
        <is>
          <t>KBB 105Q</t>
        </is>
      </c>
      <c r="B1378" s="172" t="inlineStr">
        <is>
          <t>19-02-2026 12:48:12</t>
        </is>
      </c>
      <c r="C1378" s="172" t="inlineStr">
        <is>
          <t>19-02-2026 12:49:10</t>
        </is>
      </c>
      <c r="D1378" s="173" t="inlineStr">
        <is>
          <t>0.18 Km</t>
        </is>
      </c>
      <c r="E1378" s="181" t="n">
        <v>12</v>
      </c>
      <c r="F1378" s="182" t="n">
        <v>20</v>
      </c>
      <c r="G1378" s="172" t="inlineStr">
        <is>
          <t>No</t>
        </is>
      </c>
      <c r="H1378" s="170">
        <f>IF(A1378="","",IF(OR(NOT(ISNUMBER(C1378)),C1378=""),"No",IF(AND(HOUR(C1378)&gt;=0,HOUR(C1378)&lt;5),"Yes","No")))</f>
        <v/>
      </c>
      <c r="I1378" s="183">
        <f>IF(OR(B1378="",NOT(ISNUMBER(B1378))),"",INT(B1378))</f>
        <v/>
      </c>
    </row>
    <row r="1379" ht="15" customHeight="1" s="122">
      <c r="A1379" s="179" t="inlineStr">
        <is>
          <t>KBB 105Q</t>
        </is>
      </c>
      <c r="B1379" s="172" t="inlineStr">
        <is>
          <t>19-02-2026 12:53:37</t>
        </is>
      </c>
      <c r="C1379" s="172" t="inlineStr">
        <is>
          <t>19-02-2026 12:56:50</t>
        </is>
      </c>
      <c r="D1379" s="173" t="inlineStr">
        <is>
          <t>0.93 Km</t>
        </is>
      </c>
      <c r="E1379" s="181" t="n">
        <v>14</v>
      </c>
      <c r="F1379" s="182" t="n">
        <v>28</v>
      </c>
      <c r="G1379" s="172" t="inlineStr">
        <is>
          <t>No</t>
        </is>
      </c>
      <c r="H1379" s="170">
        <f>IF(A1379="","",IF(OR(NOT(ISNUMBER(C1379)),C1379=""),"No",IF(AND(HOUR(C1379)&gt;=0,HOUR(C1379)&lt;5),"Yes","No")))</f>
        <v/>
      </c>
      <c r="I1379" s="183">
        <f>IF(OR(B1379="",NOT(ISNUMBER(B1379))),"",INT(B1379))</f>
        <v/>
      </c>
    </row>
    <row r="1380" ht="15" customHeight="1" s="122">
      <c r="A1380" s="179" t="inlineStr">
        <is>
          <t>KBB 105Q</t>
        </is>
      </c>
      <c r="B1380" s="172" t="inlineStr">
        <is>
          <t>19-02-2026 13:04:33</t>
        </is>
      </c>
      <c r="C1380" s="172" t="inlineStr">
        <is>
          <t>19-02-2026 13:25:51</t>
        </is>
      </c>
      <c r="D1380" s="173" t="inlineStr">
        <is>
          <t>16.5 Km</t>
        </is>
      </c>
      <c r="E1380" s="181" t="n">
        <v>46</v>
      </c>
      <c r="F1380" s="182" t="n">
        <v>72</v>
      </c>
      <c r="G1380" s="172" t="inlineStr">
        <is>
          <t>No</t>
        </is>
      </c>
      <c r="H1380" s="170">
        <f>IF(A1380="","",IF(OR(NOT(ISNUMBER(C1380)),C1380=""),"No",IF(AND(HOUR(C1380)&gt;=0,HOUR(C1380)&lt;5),"Yes","No")))</f>
        <v/>
      </c>
      <c r="I1380" s="183">
        <f>IF(OR(B1380="",NOT(ISNUMBER(B1380))),"",INT(B1380))</f>
        <v/>
      </c>
    </row>
    <row r="1381" ht="15" customHeight="1" s="122">
      <c r="A1381" s="179" t="inlineStr">
        <is>
          <t>KBB 105Q</t>
        </is>
      </c>
      <c r="B1381" s="172" t="inlineStr">
        <is>
          <t>19-02-2026 13:28:44</t>
        </is>
      </c>
      <c r="C1381" s="172" t="inlineStr">
        <is>
          <t>19-02-2026 13:35:20</t>
        </is>
      </c>
      <c r="D1381" s="173" t="inlineStr">
        <is>
          <t>5.42 Km</t>
        </is>
      </c>
      <c r="E1381" s="181" t="n">
        <v>50</v>
      </c>
      <c r="F1381" s="182" t="n">
        <v>72</v>
      </c>
      <c r="G1381" s="172" t="inlineStr">
        <is>
          <t>No</t>
        </is>
      </c>
      <c r="H1381" s="170">
        <f>IF(A1381="","",IF(OR(NOT(ISNUMBER(C1381)),C1381=""),"No",IF(AND(HOUR(C1381)&gt;=0,HOUR(C1381)&lt;5),"Yes","No")))</f>
        <v/>
      </c>
      <c r="I1381" s="183">
        <f>IF(OR(B1381="",NOT(ISNUMBER(B1381))),"",INT(B1381))</f>
        <v/>
      </c>
    </row>
    <row r="1382" ht="15" customHeight="1" s="122">
      <c r="A1382" s="179" t="inlineStr">
        <is>
          <t>KBB 105Q</t>
        </is>
      </c>
      <c r="B1382" s="172" t="inlineStr">
        <is>
          <t>19-02-2026 13:40:44</t>
        </is>
      </c>
      <c r="C1382" s="172" t="inlineStr">
        <is>
          <t>19-02-2026 14:12:15</t>
        </is>
      </c>
      <c r="D1382" s="173" t="inlineStr">
        <is>
          <t>22.43 Km</t>
        </is>
      </c>
      <c r="E1382" s="181" t="n">
        <v>48</v>
      </c>
      <c r="F1382" s="182" t="n">
        <v>77</v>
      </c>
      <c r="G1382" s="172" t="inlineStr">
        <is>
          <t>No</t>
        </is>
      </c>
      <c r="H1382" s="170">
        <f>IF(A1382="","",IF(OR(NOT(ISNUMBER(C1382)),C1382=""),"No",IF(AND(HOUR(C1382)&gt;=0,HOUR(C1382)&lt;5),"Yes","No")))</f>
        <v/>
      </c>
      <c r="I1382" s="183">
        <f>IF(OR(B1382="",NOT(ISNUMBER(B1382))),"",INT(B1382))</f>
        <v/>
      </c>
    </row>
    <row r="1383" ht="15" customHeight="1" s="122">
      <c r="A1383" s="179" t="inlineStr">
        <is>
          <t>KBB 105Q</t>
        </is>
      </c>
      <c r="B1383" s="172" t="inlineStr">
        <is>
          <t>19-02-2026 14:14:19</t>
        </is>
      </c>
      <c r="C1383" s="172" t="inlineStr">
        <is>
          <t>19-02-2026 14:15:50</t>
        </is>
      </c>
      <c r="D1383" s="173" t="inlineStr">
        <is>
          <t>0.24 Km</t>
        </is>
      </c>
      <c r="E1383" s="181" t="n">
        <v>10</v>
      </c>
      <c r="F1383" s="182" t="n">
        <v>16</v>
      </c>
      <c r="G1383" s="172" t="inlineStr">
        <is>
          <t>No</t>
        </is>
      </c>
      <c r="H1383" s="170">
        <f>IF(A1383="","",IF(OR(NOT(ISNUMBER(C1383)),C1383=""),"No",IF(AND(HOUR(C1383)&gt;=0,HOUR(C1383)&lt;5),"Yes","No")))</f>
        <v/>
      </c>
      <c r="I1383" s="183">
        <f>IF(OR(B1383="",NOT(ISNUMBER(B1383))),"",INT(B1383))</f>
        <v/>
      </c>
    </row>
    <row r="1384" ht="15" customHeight="1" s="122">
      <c r="A1384" s="179" t="inlineStr">
        <is>
          <t>KBB 105Q</t>
        </is>
      </c>
      <c r="B1384" s="172" t="inlineStr">
        <is>
          <t>19-02-2026 14:21:27</t>
        </is>
      </c>
      <c r="C1384" s="172" t="inlineStr">
        <is>
          <t>19-02-2026 14:34:46</t>
        </is>
      </c>
      <c r="D1384" s="173" t="inlineStr">
        <is>
          <t>5.25 Km</t>
        </is>
      </c>
      <c r="E1384" s="181" t="n">
        <v>22</v>
      </c>
      <c r="F1384" s="182" t="n">
        <v>41</v>
      </c>
      <c r="G1384" s="172" t="inlineStr">
        <is>
          <t>No</t>
        </is>
      </c>
      <c r="H1384" s="170">
        <f>IF(A1384="","",IF(OR(NOT(ISNUMBER(C1384)),C1384=""),"No",IF(AND(HOUR(C1384)&gt;=0,HOUR(C1384)&lt;5),"Yes","No")))</f>
        <v/>
      </c>
      <c r="I1384" s="183">
        <f>IF(OR(B1384="",NOT(ISNUMBER(B1384))),"",INT(B1384))</f>
        <v/>
      </c>
    </row>
    <row r="1385" ht="15" customHeight="1" s="122">
      <c r="A1385" s="179" t="inlineStr">
        <is>
          <t>KBB 105Q</t>
        </is>
      </c>
      <c r="B1385" s="172" t="inlineStr">
        <is>
          <t>19-02-2026 15:41:56</t>
        </is>
      </c>
      <c r="C1385" s="172" t="inlineStr">
        <is>
          <t>19-02-2026 15:46:49</t>
        </is>
      </c>
      <c r="D1385" s="173" t="inlineStr">
        <is>
          <t>0.4 Km</t>
        </is>
      </c>
      <c r="E1385" s="181" t="n">
        <v>9</v>
      </c>
      <c r="F1385" s="182" t="n">
        <v>14</v>
      </c>
      <c r="G1385" s="172" t="inlineStr">
        <is>
          <t>No</t>
        </is>
      </c>
      <c r="H1385" s="170">
        <f>IF(A1385="","",IF(OR(NOT(ISNUMBER(C1385)),C1385=""),"No",IF(AND(HOUR(C1385)&gt;=0,HOUR(C1385)&lt;5),"Yes","No")))</f>
        <v/>
      </c>
      <c r="I1385" s="183">
        <f>IF(OR(B1385="",NOT(ISNUMBER(B1385))),"",INT(B1385))</f>
        <v/>
      </c>
    </row>
    <row r="1386" ht="15" customHeight="1" s="122">
      <c r="A1386" s="179" t="inlineStr">
        <is>
          <t>KBB 105Q</t>
        </is>
      </c>
      <c r="B1386" s="172" t="inlineStr">
        <is>
          <t>20-02-2026 10:12:43</t>
        </is>
      </c>
      <c r="C1386" s="172" t="inlineStr">
        <is>
          <t>20-02-2026 10:13:47</t>
        </is>
      </c>
      <c r="D1386" s="173" t="inlineStr">
        <is>
          <t>0.01 Km</t>
        </is>
      </c>
      <c r="E1386" s="181" t="n">
        <v>8</v>
      </c>
      <c r="F1386" s="182" t="n">
        <v>10</v>
      </c>
      <c r="G1386" s="172" t="inlineStr">
        <is>
          <t>No</t>
        </is>
      </c>
      <c r="H1386" s="170">
        <f>IF(A1386="","",IF(OR(NOT(ISNUMBER(C1386)),C1386=""),"No",IF(AND(HOUR(C1386)&gt;=0,HOUR(C1386)&lt;5),"Yes","No")))</f>
        <v/>
      </c>
      <c r="I1386" s="183">
        <f>IF(OR(B1386="",NOT(ISNUMBER(B1386))),"",INT(B1386))</f>
        <v/>
      </c>
    </row>
    <row r="1387" ht="15" customHeight="1" s="122">
      <c r="A1387" s="179" t="inlineStr">
        <is>
          <t>KBB 105Q</t>
        </is>
      </c>
      <c r="B1387" s="172" t="inlineStr">
        <is>
          <t>20-02-2026 10:20:54</t>
        </is>
      </c>
      <c r="C1387" s="172" t="inlineStr">
        <is>
          <t>20-02-2026 10:27:07</t>
        </is>
      </c>
      <c r="D1387" s="173" t="inlineStr">
        <is>
          <t>2.54 Km</t>
        </is>
      </c>
      <c r="E1387" s="181" t="n">
        <v>21</v>
      </c>
      <c r="F1387" s="182" t="n">
        <v>52</v>
      </c>
      <c r="G1387" s="172" t="inlineStr">
        <is>
          <t>No</t>
        </is>
      </c>
      <c r="H1387" s="170">
        <f>IF(A1387="","",IF(OR(NOT(ISNUMBER(C1387)),C1387=""),"No",IF(AND(HOUR(C1387)&gt;=0,HOUR(C1387)&lt;5),"Yes","No")))</f>
        <v/>
      </c>
      <c r="I1387" s="183">
        <f>IF(OR(B1387="",NOT(ISNUMBER(B1387))),"",INT(B1387))</f>
        <v/>
      </c>
    </row>
    <row r="1388" ht="15" customHeight="1" s="122">
      <c r="A1388" s="179" t="inlineStr">
        <is>
          <t>KBB 105Q</t>
        </is>
      </c>
      <c r="B1388" s="172" t="inlineStr">
        <is>
          <t>20-02-2026 10:29:51</t>
        </is>
      </c>
      <c r="C1388" s="172" t="inlineStr">
        <is>
          <t>20-02-2026 11:19:19</t>
        </is>
      </c>
      <c r="D1388" s="173" t="inlineStr">
        <is>
          <t>39.19 Km</t>
        </is>
      </c>
      <c r="E1388" s="181" t="n">
        <v>47</v>
      </c>
      <c r="F1388" s="182" t="n">
        <v>69</v>
      </c>
      <c r="G1388" s="172" t="inlineStr">
        <is>
          <t>No</t>
        </is>
      </c>
      <c r="H1388" s="170">
        <f>IF(A1388="","",IF(OR(NOT(ISNUMBER(C1388)),C1388=""),"No",IF(AND(HOUR(C1388)&gt;=0,HOUR(C1388)&lt;5),"Yes","No")))</f>
        <v/>
      </c>
      <c r="I1388" s="183">
        <f>IF(OR(B1388="",NOT(ISNUMBER(B1388))),"",INT(B1388))</f>
        <v/>
      </c>
    </row>
    <row r="1389" ht="15" customHeight="1" s="122">
      <c r="A1389" s="179" t="inlineStr">
        <is>
          <t>KBB 105Q</t>
        </is>
      </c>
      <c r="B1389" s="172" t="inlineStr">
        <is>
          <t>20-02-2026 11:53:12</t>
        </is>
      </c>
      <c r="C1389" s="172" t="inlineStr">
        <is>
          <t>20-02-2026 11:53:59</t>
        </is>
      </c>
      <c r="D1389" s="173" t="inlineStr">
        <is>
          <t>0.3 Km</t>
        </is>
      </c>
      <c r="E1389" s="181" t="n">
        <v>20</v>
      </c>
      <c r="F1389" s="182" t="n">
        <v>38</v>
      </c>
      <c r="G1389" s="172" t="inlineStr">
        <is>
          <t>No</t>
        </is>
      </c>
      <c r="H1389" s="170">
        <f>IF(A1389="","",IF(OR(NOT(ISNUMBER(C1389)),C1389=""),"No",IF(AND(HOUR(C1389)&gt;=0,HOUR(C1389)&lt;5),"Yes","No")))</f>
        <v/>
      </c>
      <c r="I1389" s="183">
        <f>IF(OR(B1389="",NOT(ISNUMBER(B1389))),"",INT(B1389))</f>
        <v/>
      </c>
    </row>
    <row r="1390" ht="15" customHeight="1" s="122">
      <c r="A1390" s="179" t="inlineStr">
        <is>
          <t>KBB 105Q</t>
        </is>
      </c>
      <c r="B1390" s="172" t="inlineStr">
        <is>
          <t>20-02-2026 12:14:50</t>
        </is>
      </c>
      <c r="C1390" s="172" t="inlineStr">
        <is>
          <t>20-02-2026 12:30:35</t>
        </is>
      </c>
      <c r="D1390" s="173" t="inlineStr">
        <is>
          <t>13.42 Km</t>
        </is>
      </c>
      <c r="E1390" s="181" t="n">
        <v>51</v>
      </c>
      <c r="F1390" s="182" t="n">
        <v>75</v>
      </c>
      <c r="G1390" s="172" t="inlineStr">
        <is>
          <t>No</t>
        </is>
      </c>
      <c r="H1390" s="170">
        <f>IF(A1390="","",IF(OR(NOT(ISNUMBER(C1390)),C1390=""),"No",IF(AND(HOUR(C1390)&gt;=0,HOUR(C1390)&lt;5),"Yes","No")))</f>
        <v/>
      </c>
      <c r="I1390" s="183">
        <f>IF(OR(B1390="",NOT(ISNUMBER(B1390))),"",INT(B1390))</f>
        <v/>
      </c>
    </row>
    <row r="1391" ht="15" customHeight="1" s="122">
      <c r="A1391" s="179" t="inlineStr">
        <is>
          <t>KBB 105Q</t>
        </is>
      </c>
      <c r="B1391" s="172" t="inlineStr">
        <is>
          <t>20-02-2026 13:24:09</t>
        </is>
      </c>
      <c r="C1391" s="172" t="inlineStr">
        <is>
          <t>20-02-2026 13:49:02</t>
        </is>
      </c>
      <c r="D1391" s="173" t="inlineStr">
        <is>
          <t>17.59 Km</t>
        </is>
      </c>
      <c r="E1391" s="181" t="n">
        <v>43</v>
      </c>
      <c r="F1391" s="182" t="n">
        <v>71</v>
      </c>
      <c r="G1391" s="172" t="inlineStr">
        <is>
          <t>No</t>
        </is>
      </c>
      <c r="H1391" s="170">
        <f>IF(A1391="","",IF(OR(NOT(ISNUMBER(C1391)),C1391=""),"No",IF(AND(HOUR(C1391)&gt;=0,HOUR(C1391)&lt;5),"Yes","No")))</f>
        <v/>
      </c>
      <c r="I1391" s="183">
        <f>IF(OR(B1391="",NOT(ISNUMBER(B1391))),"",INT(B1391))</f>
        <v/>
      </c>
    </row>
    <row r="1392" ht="15" customHeight="1" s="122">
      <c r="A1392" s="179" t="inlineStr">
        <is>
          <t>KBB 105Q</t>
        </is>
      </c>
      <c r="B1392" s="172" t="inlineStr">
        <is>
          <t>20-02-2026 13:52:23</t>
        </is>
      </c>
      <c r="C1392" s="172" t="inlineStr">
        <is>
          <t>20-02-2026 13:54:54</t>
        </is>
      </c>
      <c r="D1392" s="173" t="inlineStr">
        <is>
          <t>0.92 Km</t>
        </is>
      </c>
      <c r="E1392" s="181" t="n">
        <v>16</v>
      </c>
      <c r="F1392" s="182" t="n">
        <v>47</v>
      </c>
      <c r="G1392" s="172" t="inlineStr">
        <is>
          <t>No</t>
        </is>
      </c>
      <c r="H1392" s="170">
        <f>IF(A1392="","",IF(OR(NOT(ISNUMBER(C1392)),C1392=""),"No",IF(AND(HOUR(C1392)&gt;=0,HOUR(C1392)&lt;5),"Yes","No")))</f>
        <v/>
      </c>
      <c r="I1392" s="183">
        <f>IF(OR(B1392="",NOT(ISNUMBER(B1392))),"",INT(B1392))</f>
        <v/>
      </c>
    </row>
    <row r="1393" ht="15" customHeight="1" s="122">
      <c r="A1393" s="179" t="inlineStr">
        <is>
          <t>KBB 105Q</t>
        </is>
      </c>
      <c r="B1393" s="172" t="inlineStr">
        <is>
          <t>20-02-2026 13:59:14</t>
        </is>
      </c>
      <c r="C1393" s="172" t="inlineStr">
        <is>
          <t>20-02-2026 14:31:30</t>
        </is>
      </c>
      <c r="D1393" s="173" t="inlineStr">
        <is>
          <t>23.58 Km</t>
        </is>
      </c>
      <c r="E1393" s="181" t="n">
        <v>46</v>
      </c>
      <c r="F1393" s="182" t="n">
        <v>75</v>
      </c>
      <c r="G1393" s="172" t="inlineStr">
        <is>
          <t>No</t>
        </is>
      </c>
      <c r="H1393" s="170">
        <f>IF(A1393="","",IF(OR(NOT(ISNUMBER(C1393)),C1393=""),"No",IF(AND(HOUR(C1393)&gt;=0,HOUR(C1393)&lt;5),"Yes","No")))</f>
        <v/>
      </c>
      <c r="I1393" s="183">
        <f>IF(OR(B1393="",NOT(ISNUMBER(B1393))),"",INT(B1393))</f>
        <v/>
      </c>
    </row>
    <row r="1394" ht="15" customHeight="1" s="122">
      <c r="A1394" s="179" t="inlineStr">
        <is>
          <t>KBB 105Q</t>
        </is>
      </c>
      <c r="B1394" s="172" t="inlineStr">
        <is>
          <t>20-02-2026 15:38:10</t>
        </is>
      </c>
      <c r="C1394" s="172" t="inlineStr">
        <is>
          <t>20-02-2026 15:38:11</t>
        </is>
      </c>
      <c r="D1394" s="173" t="inlineStr">
        <is>
          <t>0.01 Km</t>
        </is>
      </c>
      <c r="E1394" s="181" t="n">
        <v>6</v>
      </c>
      <c r="F1394" s="182" t="n">
        <v>6</v>
      </c>
      <c r="G1394" s="172" t="inlineStr">
        <is>
          <t>No</t>
        </is>
      </c>
      <c r="H1394" s="170">
        <f>IF(A1394="","",IF(OR(NOT(ISNUMBER(C1394)),C1394=""),"No",IF(AND(HOUR(C1394)&gt;=0,HOUR(C1394)&lt;5),"Yes","No")))</f>
        <v/>
      </c>
      <c r="I1394" s="183">
        <f>IF(OR(B1394="",NOT(ISNUMBER(B1394))),"",INT(B1394))</f>
        <v/>
      </c>
    </row>
    <row r="1395" ht="15" customHeight="1" s="122">
      <c r="A1395" s="179" t="inlineStr">
        <is>
          <t>KBB 105Q</t>
        </is>
      </c>
      <c r="B1395" s="172" t="inlineStr">
        <is>
          <t>20-02-2026 16:21:37</t>
        </is>
      </c>
      <c r="C1395" s="172" t="inlineStr">
        <is>
          <t>20-02-2026 16:22:36</t>
        </is>
      </c>
      <c r="D1395" s="173" t="inlineStr">
        <is>
          <t>0.01 Km</t>
        </is>
      </c>
      <c r="E1395" s="181" t="n">
        <v>6</v>
      </c>
      <c r="F1395" s="182" t="n">
        <v>6</v>
      </c>
      <c r="G1395" s="172" t="inlineStr">
        <is>
          <t>No</t>
        </is>
      </c>
      <c r="H1395" s="170">
        <f>IF(A1395="","",IF(OR(NOT(ISNUMBER(C1395)),C1395=""),"No",IF(AND(HOUR(C1395)&gt;=0,HOUR(C1395)&lt;5),"Yes","No")))</f>
        <v/>
      </c>
      <c r="I1395" s="183">
        <f>IF(OR(B1395="",NOT(ISNUMBER(B1395))),"",INT(B1395))</f>
        <v/>
      </c>
    </row>
    <row r="1396" ht="15" customHeight="1" s="122">
      <c r="A1396" s="179" t="inlineStr">
        <is>
          <t>KBB 105Q</t>
        </is>
      </c>
      <c r="B1396" s="172" t="inlineStr">
        <is>
          <t>20-02-2026 17:36:32</t>
        </is>
      </c>
      <c r="C1396" s="172" t="inlineStr">
        <is>
          <t>20-02-2026 17:39:02</t>
        </is>
      </c>
      <c r="D1396" s="173" t="inlineStr">
        <is>
          <t>0.48 Km</t>
        </is>
      </c>
      <c r="E1396" s="181" t="n">
        <v>11</v>
      </c>
      <c r="F1396" s="182" t="n">
        <v>23</v>
      </c>
      <c r="G1396" s="172" t="inlineStr">
        <is>
          <t>No</t>
        </is>
      </c>
      <c r="H1396" s="170">
        <f>IF(A1396="","",IF(OR(NOT(ISNUMBER(C1396)),C1396=""),"No",IF(AND(HOUR(C1396)&gt;=0,HOUR(C1396)&lt;5),"Yes","No")))</f>
        <v/>
      </c>
      <c r="I1396" s="183">
        <f>IF(OR(B1396="",NOT(ISNUMBER(B1396))),"",INT(B1396))</f>
        <v/>
      </c>
    </row>
    <row r="1397" ht="15" customHeight="1" s="122">
      <c r="A1397" s="179" t="inlineStr">
        <is>
          <t>KBB 105Q</t>
        </is>
      </c>
      <c r="B1397" s="172" t="inlineStr">
        <is>
          <t>20-02-2026 17:55:27</t>
        </is>
      </c>
      <c r="C1397" s="172" t="inlineStr">
        <is>
          <t>20-02-2026 18:01:26</t>
        </is>
      </c>
      <c r="D1397" s="173" t="inlineStr">
        <is>
          <t>1.99 Km</t>
        </is>
      </c>
      <c r="E1397" s="181" t="n">
        <v>24</v>
      </c>
      <c r="F1397" s="182" t="n">
        <v>48</v>
      </c>
      <c r="G1397" s="172" t="inlineStr">
        <is>
          <t>No</t>
        </is>
      </c>
      <c r="H1397" s="170">
        <f>IF(A1397="","",IF(OR(NOT(ISNUMBER(C1397)),C1397=""),"No",IF(AND(HOUR(C1397)&gt;=0,HOUR(C1397)&lt;5),"Yes","No")))</f>
        <v/>
      </c>
      <c r="I1397" s="183">
        <f>IF(OR(B1397="",NOT(ISNUMBER(B1397))),"",INT(B1397))</f>
        <v/>
      </c>
    </row>
    <row r="1398" ht="15" customHeight="1" s="122">
      <c r="A1398" s="179" t="inlineStr">
        <is>
          <t>KBB 105Q</t>
        </is>
      </c>
      <c r="B1398" s="172" t="inlineStr">
        <is>
          <t>20-02-2026 18:02:36</t>
        </is>
      </c>
      <c r="C1398" s="172" t="inlineStr">
        <is>
          <t>20-02-2026 18:28:22</t>
        </is>
      </c>
      <c r="D1398" s="173" t="inlineStr">
        <is>
          <t>21.64 Km</t>
        </is>
      </c>
      <c r="E1398" s="181" t="n">
        <v>56</v>
      </c>
      <c r="F1398" s="182" t="n">
        <v>89</v>
      </c>
      <c r="G1398" s="172" t="inlineStr">
        <is>
          <t>No</t>
        </is>
      </c>
      <c r="H1398" s="170">
        <f>IF(A1398="","",IF(OR(NOT(ISNUMBER(C1398)),C1398=""),"No",IF(AND(HOUR(C1398)&gt;=0,HOUR(C1398)&lt;5),"Yes","No")))</f>
        <v/>
      </c>
      <c r="I1398" s="183">
        <f>IF(OR(B1398="",NOT(ISNUMBER(B1398))),"",INT(B1398))</f>
        <v/>
      </c>
    </row>
    <row r="1399" ht="15" customHeight="1" s="122">
      <c r="A1399" s="179" t="inlineStr">
        <is>
          <t>KBB 105Q</t>
        </is>
      </c>
      <c r="B1399" s="172" t="inlineStr">
        <is>
          <t>20-02-2026 18:29:45</t>
        </is>
      </c>
      <c r="C1399" s="172" t="inlineStr">
        <is>
          <t>20-02-2026 18:31:54</t>
        </is>
      </c>
      <c r="D1399" s="173" t="inlineStr">
        <is>
          <t>0.3 Km</t>
        </is>
      </c>
      <c r="E1399" s="181" t="n">
        <v>12</v>
      </c>
      <c r="F1399" s="182" t="n">
        <v>25</v>
      </c>
      <c r="G1399" s="172" t="inlineStr">
        <is>
          <t>No</t>
        </is>
      </c>
      <c r="H1399" s="170">
        <f>IF(A1399="","",IF(OR(NOT(ISNUMBER(C1399)),C1399=""),"No",IF(AND(HOUR(C1399)&gt;=0,HOUR(C1399)&lt;5),"Yes","No")))</f>
        <v/>
      </c>
      <c r="I1399" s="183">
        <f>IF(OR(B1399="",NOT(ISNUMBER(B1399))),"",INT(B1399))</f>
        <v/>
      </c>
    </row>
    <row r="1400" ht="15" customHeight="1" s="122">
      <c r="A1400" s="179" t="inlineStr">
        <is>
          <t>KBB 105Q</t>
        </is>
      </c>
      <c r="B1400" s="172" t="inlineStr">
        <is>
          <t>20-02-2026 18:34:16</t>
        </is>
      </c>
      <c r="C1400" s="172" t="inlineStr">
        <is>
          <t>20-02-2026 19:56:29</t>
        </is>
      </c>
      <c r="D1400" s="173" t="inlineStr">
        <is>
          <t>69.92 Km</t>
        </is>
      </c>
      <c r="E1400" s="181" t="n">
        <v>53</v>
      </c>
      <c r="F1400" s="182" t="n">
        <v>80</v>
      </c>
      <c r="G1400" s="172" t="inlineStr">
        <is>
          <t>No</t>
        </is>
      </c>
      <c r="H1400" s="170">
        <f>IF(A1400="","",IF(OR(NOT(ISNUMBER(C1400)),C1400=""),"No",IF(AND(HOUR(C1400)&gt;=0,HOUR(C1400)&lt;5),"Yes","No")))</f>
        <v/>
      </c>
      <c r="I1400" s="183">
        <f>IF(OR(B1400="",NOT(ISNUMBER(B1400))),"",INT(B1400))</f>
        <v/>
      </c>
    </row>
    <row r="1401" ht="15" customHeight="1" s="122">
      <c r="A1401" s="179" t="inlineStr">
        <is>
          <t>KBB 105Q</t>
        </is>
      </c>
      <c r="B1401" s="172" t="inlineStr">
        <is>
          <t>20-02-2026 20:13:22</t>
        </is>
      </c>
      <c r="C1401" s="172" t="inlineStr">
        <is>
          <t>20-02-2026 20:30:08</t>
        </is>
      </c>
      <c r="D1401" s="173" t="inlineStr">
        <is>
          <t>6.22 Km</t>
        </is>
      </c>
      <c r="E1401" s="181" t="n">
        <v>27</v>
      </c>
      <c r="F1401" s="182" t="n">
        <v>47</v>
      </c>
      <c r="G1401" s="172" t="inlineStr">
        <is>
          <t>No</t>
        </is>
      </c>
      <c r="H1401" s="170">
        <f>IF(A1401="","",IF(OR(NOT(ISNUMBER(C1401)),C1401=""),"No",IF(AND(HOUR(C1401)&gt;=0,HOUR(C1401)&lt;5),"Yes","No")))</f>
        <v/>
      </c>
      <c r="I1401" s="183">
        <f>IF(OR(B1401="",NOT(ISNUMBER(B1401))),"",INT(B1401))</f>
        <v/>
      </c>
    </row>
    <row r="1402" ht="15" customHeight="1" s="122">
      <c r="A1402" s="179" t="inlineStr">
        <is>
          <t>KBB 105Q</t>
        </is>
      </c>
      <c r="B1402" s="172" t="inlineStr">
        <is>
          <t>20-02-2026 21:04:59</t>
        </is>
      </c>
      <c r="C1402" s="172" t="inlineStr">
        <is>
          <t>20-02-2026 21:10:11</t>
        </is>
      </c>
      <c r="D1402" s="173" t="inlineStr">
        <is>
          <t>0.39 Km</t>
        </is>
      </c>
      <c r="E1402" s="181" t="n">
        <v>7</v>
      </c>
      <c r="F1402" s="182" t="n">
        <v>11</v>
      </c>
      <c r="G1402" s="172" t="inlineStr">
        <is>
          <t>No</t>
        </is>
      </c>
      <c r="H1402" s="170">
        <f>IF(A1402="","",IF(OR(NOT(ISNUMBER(C1402)),C1402=""),"No",IF(AND(HOUR(C1402)&gt;=0,HOUR(C1402)&lt;5),"Yes","No")))</f>
        <v/>
      </c>
      <c r="I1402" s="183">
        <f>IF(OR(B1402="",NOT(ISNUMBER(B1402))),"",INT(B1402))</f>
        <v/>
      </c>
    </row>
    <row r="1403" ht="15" customHeight="1" s="122">
      <c r="A1403" s="179" t="inlineStr">
        <is>
          <t>KBB 105Q</t>
        </is>
      </c>
      <c r="B1403" s="172" t="inlineStr">
        <is>
          <t>21-02-2026 11:40:45</t>
        </is>
      </c>
      <c r="C1403" s="172" t="inlineStr">
        <is>
          <t>21-02-2026 11:44:24</t>
        </is>
      </c>
      <c r="D1403" s="173" t="inlineStr">
        <is>
          <t>0.31 Km</t>
        </is>
      </c>
      <c r="E1403" s="181" t="n">
        <v>9</v>
      </c>
      <c r="F1403" s="182" t="n">
        <v>13</v>
      </c>
      <c r="G1403" s="172" t="inlineStr">
        <is>
          <t>No</t>
        </is>
      </c>
      <c r="H1403" s="170">
        <f>IF(A1403="","",IF(OR(NOT(ISNUMBER(C1403)),C1403=""),"No",IF(AND(HOUR(C1403)&gt;=0,HOUR(C1403)&lt;5),"Yes","No")))</f>
        <v/>
      </c>
      <c r="I1403" s="183">
        <f>IF(OR(B1403="",NOT(ISNUMBER(B1403))),"",INT(B1403))</f>
        <v/>
      </c>
    </row>
    <row r="1404" ht="15" customHeight="1" s="122">
      <c r="A1404" s="179" t="inlineStr">
        <is>
          <t>KBB 105Q</t>
        </is>
      </c>
      <c r="B1404" s="172" t="inlineStr">
        <is>
          <t>21-02-2026 12:01:09</t>
        </is>
      </c>
      <c r="C1404" s="172" t="inlineStr">
        <is>
          <t>21-02-2026 12:17:11</t>
        </is>
      </c>
      <c r="D1404" s="173" t="inlineStr">
        <is>
          <t>6.07 Km</t>
        </is>
      </c>
      <c r="E1404" s="181" t="n">
        <v>23</v>
      </c>
      <c r="F1404" s="182" t="n">
        <v>44</v>
      </c>
      <c r="G1404" s="172" t="inlineStr">
        <is>
          <t>No</t>
        </is>
      </c>
      <c r="H1404" s="170">
        <f>IF(A1404="","",IF(OR(NOT(ISNUMBER(C1404)),C1404=""),"No",IF(AND(HOUR(C1404)&gt;=0,HOUR(C1404)&lt;5),"Yes","No")))</f>
        <v/>
      </c>
      <c r="I1404" s="183">
        <f>IF(OR(B1404="",NOT(ISNUMBER(B1404))),"",INT(B1404))</f>
        <v/>
      </c>
    </row>
    <row r="1405" ht="15" customHeight="1" s="122">
      <c r="A1405" s="179" t="inlineStr">
        <is>
          <t>KBB 105Q</t>
        </is>
      </c>
      <c r="B1405" s="172" t="inlineStr">
        <is>
          <t>21-02-2026 12:18:29</t>
        </is>
      </c>
      <c r="C1405" s="172" t="inlineStr">
        <is>
          <t>21-02-2026 12:23:03</t>
        </is>
      </c>
      <c r="D1405" s="173" t="inlineStr">
        <is>
          <t>1.49 Km</t>
        </is>
      </c>
      <c r="E1405" s="181" t="n">
        <v>17</v>
      </c>
      <c r="F1405" s="182" t="n">
        <v>36</v>
      </c>
      <c r="G1405" s="172" t="inlineStr">
        <is>
          <t>No</t>
        </is>
      </c>
      <c r="H1405" s="170">
        <f>IF(A1405="","",IF(OR(NOT(ISNUMBER(C1405)),C1405=""),"No",IF(AND(HOUR(C1405)&gt;=0,HOUR(C1405)&lt;5),"Yes","No")))</f>
        <v/>
      </c>
      <c r="I1405" s="183">
        <f>IF(OR(B1405="",NOT(ISNUMBER(B1405))),"",INT(B1405))</f>
        <v/>
      </c>
    </row>
    <row r="1406" ht="15" customHeight="1" s="122">
      <c r="A1406" s="179" t="inlineStr">
        <is>
          <t>KBB 105Q</t>
        </is>
      </c>
      <c r="B1406" s="172" t="inlineStr">
        <is>
          <t>21-02-2026 12:31:29</t>
        </is>
      </c>
      <c r="C1406" s="172" t="inlineStr">
        <is>
          <t>21-02-2026 12:36:08</t>
        </is>
      </c>
      <c r="D1406" s="173" t="inlineStr">
        <is>
          <t>2.66 Km</t>
        </is>
      </c>
      <c r="E1406" s="181" t="n">
        <v>33</v>
      </c>
      <c r="F1406" s="182" t="n">
        <v>52</v>
      </c>
      <c r="G1406" s="172" t="inlineStr">
        <is>
          <t>No</t>
        </is>
      </c>
      <c r="H1406" s="170">
        <f>IF(A1406="","",IF(OR(NOT(ISNUMBER(C1406)),C1406=""),"No",IF(AND(HOUR(C1406)&gt;=0,HOUR(C1406)&lt;5),"Yes","No")))</f>
        <v/>
      </c>
      <c r="I1406" s="183">
        <f>IF(OR(B1406="",NOT(ISNUMBER(B1406))),"",INT(B1406))</f>
        <v/>
      </c>
    </row>
    <row r="1407" ht="15" customHeight="1" s="122">
      <c r="A1407" s="179" t="inlineStr">
        <is>
          <t>KBB 105Q</t>
        </is>
      </c>
      <c r="B1407" s="172" t="inlineStr">
        <is>
          <t>21-02-2026 12:37:21</t>
        </is>
      </c>
      <c r="C1407" s="172" t="inlineStr">
        <is>
          <t>21-02-2026 12:37:33</t>
        </is>
      </c>
      <c r="D1407" s="173" t="inlineStr">
        <is>
          <t>0.06 Km</t>
        </is>
      </c>
      <c r="E1407" s="181" t="n">
        <v>13</v>
      </c>
      <c r="F1407" s="182" t="n">
        <v>21</v>
      </c>
      <c r="G1407" s="172" t="inlineStr">
        <is>
          <t>No</t>
        </is>
      </c>
      <c r="H1407" s="170">
        <f>IF(A1407="","",IF(OR(NOT(ISNUMBER(C1407)),C1407=""),"No",IF(AND(HOUR(C1407)&gt;=0,HOUR(C1407)&lt;5),"Yes","No")))</f>
        <v/>
      </c>
      <c r="I1407" s="183">
        <f>IF(OR(B1407="",NOT(ISNUMBER(B1407))),"",INT(B1407))</f>
        <v/>
      </c>
    </row>
    <row r="1408" ht="15" customHeight="1" s="122">
      <c r="A1408" s="179" t="inlineStr">
        <is>
          <t>KBB 105Q</t>
        </is>
      </c>
      <c r="B1408" s="172" t="inlineStr">
        <is>
          <t>21-02-2026 12:39:56</t>
        </is>
      </c>
      <c r="C1408" s="172" t="inlineStr">
        <is>
          <t>21-02-2026 12:44:56</t>
        </is>
      </c>
      <c r="D1408" s="173" t="inlineStr">
        <is>
          <t>3.46 Km</t>
        </is>
      </c>
      <c r="E1408" s="181" t="n">
        <v>39</v>
      </c>
      <c r="F1408" s="182" t="n">
        <v>58</v>
      </c>
      <c r="G1408" s="172" t="inlineStr">
        <is>
          <t>No</t>
        </is>
      </c>
      <c r="H1408" s="170">
        <f>IF(A1408="","",IF(OR(NOT(ISNUMBER(C1408)),C1408=""),"No",IF(AND(HOUR(C1408)&gt;=0,HOUR(C1408)&lt;5),"Yes","No")))</f>
        <v/>
      </c>
      <c r="I1408" s="183">
        <f>IF(OR(B1408="",NOT(ISNUMBER(B1408))),"",INT(B1408))</f>
        <v/>
      </c>
    </row>
    <row r="1409" ht="15" customHeight="1" s="122">
      <c r="A1409" s="179" t="inlineStr">
        <is>
          <t>KBB 105Q</t>
        </is>
      </c>
      <c r="B1409" s="172" t="inlineStr">
        <is>
          <t>21-02-2026 13:03:53</t>
        </is>
      </c>
      <c r="C1409" s="172" t="inlineStr">
        <is>
          <t>21-02-2026 13:09:11</t>
        </is>
      </c>
      <c r="D1409" s="173" t="inlineStr">
        <is>
          <t>1.7 Km</t>
        </is>
      </c>
      <c r="E1409" s="181" t="n">
        <v>16</v>
      </c>
      <c r="F1409" s="182" t="n">
        <v>32</v>
      </c>
      <c r="G1409" s="172" t="inlineStr">
        <is>
          <t>No</t>
        </is>
      </c>
      <c r="H1409" s="170">
        <f>IF(A1409="","",IF(OR(NOT(ISNUMBER(C1409)),C1409=""),"No",IF(AND(HOUR(C1409)&gt;=0,HOUR(C1409)&lt;5),"Yes","No")))</f>
        <v/>
      </c>
      <c r="I1409" s="183">
        <f>IF(OR(B1409="",NOT(ISNUMBER(B1409))),"",INT(B1409))</f>
        <v/>
      </c>
    </row>
    <row r="1410" ht="15" customHeight="1" s="122">
      <c r="A1410" s="179" t="inlineStr">
        <is>
          <t>KBB 105Q</t>
        </is>
      </c>
      <c r="B1410" s="172" t="inlineStr">
        <is>
          <t>21-02-2026 14:02:36</t>
        </is>
      </c>
      <c r="C1410" s="172" t="inlineStr">
        <is>
          <t>21-02-2026 14:03:44</t>
        </is>
      </c>
      <c r="D1410" s="173" t="inlineStr">
        <is>
          <t>0.14 Km</t>
        </is>
      </c>
      <c r="E1410" s="181" t="n">
        <v>8</v>
      </c>
      <c r="F1410" s="182" t="n">
        <v>14</v>
      </c>
      <c r="G1410" s="172" t="inlineStr">
        <is>
          <t>No</t>
        </is>
      </c>
      <c r="H1410" s="170">
        <f>IF(A1410="","",IF(OR(NOT(ISNUMBER(C1410)),C1410=""),"No",IF(AND(HOUR(C1410)&gt;=0,HOUR(C1410)&lt;5),"Yes","No")))</f>
        <v/>
      </c>
      <c r="I1410" s="183">
        <f>IF(OR(B1410="",NOT(ISNUMBER(B1410))),"",INT(B1410))</f>
        <v/>
      </c>
    </row>
    <row r="1411" ht="15" customHeight="1" s="122">
      <c r="A1411" s="179" t="inlineStr">
        <is>
          <t>KBB 105Q</t>
        </is>
      </c>
      <c r="B1411" s="172" t="inlineStr">
        <is>
          <t>21-02-2026 14:10:27</t>
        </is>
      </c>
      <c r="C1411" s="172" t="inlineStr">
        <is>
          <t>21-02-2026 14:11:13</t>
        </is>
      </c>
      <c r="D1411" s="173" t="inlineStr">
        <is>
          <t>0.09 Km</t>
        </is>
      </c>
      <c r="E1411" s="181" t="n">
        <v>10</v>
      </c>
      <c r="F1411" s="182" t="n">
        <v>16</v>
      </c>
      <c r="G1411" s="172" t="inlineStr">
        <is>
          <t>No</t>
        </is>
      </c>
      <c r="H1411" s="170">
        <f>IF(A1411="","",IF(OR(NOT(ISNUMBER(C1411)),C1411=""),"No",IF(AND(HOUR(C1411)&gt;=0,HOUR(C1411)&lt;5),"Yes","No")))</f>
        <v/>
      </c>
      <c r="I1411" s="183">
        <f>IF(OR(B1411="",NOT(ISNUMBER(B1411))),"",INT(B1411))</f>
        <v/>
      </c>
    </row>
    <row r="1412" ht="15" customHeight="1" s="122">
      <c r="A1412" s="179" t="inlineStr">
        <is>
          <t>KBB 105Q</t>
        </is>
      </c>
      <c r="B1412" s="172" t="inlineStr">
        <is>
          <t>21-02-2026 14:13:48</t>
        </is>
      </c>
      <c r="C1412" s="172" t="inlineStr">
        <is>
          <t>21-02-2026 14:19:38</t>
        </is>
      </c>
      <c r="D1412" s="173" t="inlineStr">
        <is>
          <t>0.77 Km</t>
        </is>
      </c>
      <c r="E1412" s="181" t="n">
        <v>8</v>
      </c>
      <c r="F1412" s="182" t="n">
        <v>16</v>
      </c>
      <c r="G1412" s="172" t="inlineStr">
        <is>
          <t>No</t>
        </is>
      </c>
      <c r="H1412" s="170">
        <f>IF(A1412="","",IF(OR(NOT(ISNUMBER(C1412)),C1412=""),"No",IF(AND(HOUR(C1412)&gt;=0,HOUR(C1412)&lt;5),"Yes","No")))</f>
        <v/>
      </c>
      <c r="I1412" s="183">
        <f>IF(OR(B1412="",NOT(ISNUMBER(B1412))),"",INT(B1412))</f>
        <v/>
      </c>
    </row>
    <row r="1413" ht="15" customHeight="1" s="122">
      <c r="A1413" s="179" t="inlineStr">
        <is>
          <t>KBB 105Q</t>
        </is>
      </c>
      <c r="B1413" s="172" t="inlineStr">
        <is>
          <t>21-02-2026 14:33:35</t>
        </is>
      </c>
      <c r="C1413" s="172" t="inlineStr">
        <is>
          <t>21-02-2026 14:41:44</t>
        </is>
      </c>
      <c r="D1413" s="173" t="inlineStr">
        <is>
          <t>1.19 Km</t>
        </is>
      </c>
      <c r="E1413" s="181" t="n">
        <v>10</v>
      </c>
      <c r="F1413" s="182" t="n">
        <v>33</v>
      </c>
      <c r="G1413" s="172" t="inlineStr">
        <is>
          <t>No</t>
        </is>
      </c>
      <c r="H1413" s="170">
        <f>IF(A1413="","",IF(OR(NOT(ISNUMBER(C1413)),C1413=""),"No",IF(AND(HOUR(C1413)&gt;=0,HOUR(C1413)&lt;5),"Yes","No")))</f>
        <v/>
      </c>
      <c r="I1413" s="183">
        <f>IF(OR(B1413="",NOT(ISNUMBER(B1413))),"",INT(B1413))</f>
        <v/>
      </c>
    </row>
    <row r="1414" ht="15" customHeight="1" s="122">
      <c r="A1414" s="179" t="inlineStr">
        <is>
          <t>KBB 105Q</t>
        </is>
      </c>
      <c r="B1414" s="172" t="inlineStr">
        <is>
          <t>21-02-2026 14:57:52</t>
        </is>
      </c>
      <c r="C1414" s="172" t="inlineStr">
        <is>
          <t>21-02-2026 15:04:13</t>
        </is>
      </c>
      <c r="D1414" s="173" t="inlineStr">
        <is>
          <t>1.5 Km</t>
        </is>
      </c>
      <c r="E1414" s="181" t="n">
        <v>16</v>
      </c>
      <c r="F1414" s="182" t="n">
        <v>52</v>
      </c>
      <c r="G1414" s="172" t="inlineStr">
        <is>
          <t>No</t>
        </is>
      </c>
      <c r="H1414" s="170">
        <f>IF(A1414="","",IF(OR(NOT(ISNUMBER(C1414)),C1414=""),"No",IF(AND(HOUR(C1414)&gt;=0,HOUR(C1414)&lt;5),"Yes","No")))</f>
        <v/>
      </c>
      <c r="I1414" s="183">
        <f>IF(OR(B1414="",NOT(ISNUMBER(B1414))),"",INT(B1414))</f>
        <v/>
      </c>
    </row>
    <row r="1415" ht="15" customHeight="1" s="122">
      <c r="A1415" s="179" t="inlineStr">
        <is>
          <t>KBB 105Q</t>
        </is>
      </c>
      <c r="B1415" s="172" t="inlineStr">
        <is>
          <t>21-02-2026 15:07:30</t>
        </is>
      </c>
      <c r="C1415" s="172" t="inlineStr">
        <is>
          <t>21-02-2026 15:27:20</t>
        </is>
      </c>
      <c r="D1415" s="173" t="inlineStr">
        <is>
          <t>7.98 Km</t>
        </is>
      </c>
      <c r="E1415" s="181" t="n">
        <v>23</v>
      </c>
      <c r="F1415" s="182" t="n">
        <v>55</v>
      </c>
      <c r="G1415" s="172" t="inlineStr">
        <is>
          <t>No</t>
        </is>
      </c>
      <c r="H1415" s="170">
        <f>IF(A1415="","",IF(OR(NOT(ISNUMBER(C1415)),C1415=""),"No",IF(AND(HOUR(C1415)&gt;=0,HOUR(C1415)&lt;5),"Yes","No")))</f>
        <v/>
      </c>
      <c r="I1415" s="183">
        <f>IF(OR(B1415="",NOT(ISNUMBER(B1415))),"",INT(B1415))</f>
        <v/>
      </c>
    </row>
    <row r="1416" ht="15" customHeight="1" s="122">
      <c r="A1416" s="179" t="inlineStr">
        <is>
          <t>KBB 105Q</t>
        </is>
      </c>
      <c r="B1416" s="172" t="inlineStr">
        <is>
          <t>23-02-2026 06:07:52</t>
        </is>
      </c>
      <c r="C1416" s="172" t="inlineStr">
        <is>
          <t>23-02-2026 06:08:58</t>
        </is>
      </c>
      <c r="D1416" s="173" t="inlineStr">
        <is>
          <t>0.03 Km</t>
        </is>
      </c>
      <c r="E1416" s="181" t="n">
        <v>6</v>
      </c>
      <c r="F1416" s="182" t="n">
        <v>7</v>
      </c>
      <c r="G1416" s="172" t="inlineStr">
        <is>
          <t>No</t>
        </is>
      </c>
      <c r="H1416" s="170">
        <f>IF(A1416="","",IF(OR(NOT(ISNUMBER(C1416)),C1416=""),"No",IF(AND(HOUR(C1416)&gt;=0,HOUR(C1416)&lt;5),"Yes","No")))</f>
        <v/>
      </c>
      <c r="I1416" s="183">
        <f>IF(OR(B1416="",NOT(ISNUMBER(B1416))),"",INT(B1416))</f>
        <v/>
      </c>
    </row>
    <row r="1417" ht="15" customHeight="1" s="122">
      <c r="A1417" s="179" t="inlineStr">
        <is>
          <t>KBB 105Q</t>
        </is>
      </c>
      <c r="B1417" s="172" t="inlineStr">
        <is>
          <t>23-02-2026 06:12:26</t>
        </is>
      </c>
      <c r="C1417" s="172" t="inlineStr">
        <is>
          <t>23-02-2026 07:34:03</t>
        </is>
      </c>
      <c r="D1417" s="173" t="inlineStr">
        <is>
          <t>75.94 Km</t>
        </is>
      </c>
      <c r="E1417" s="181" t="n">
        <v>55</v>
      </c>
      <c r="F1417" s="182" t="n">
        <v>86</v>
      </c>
      <c r="G1417" s="172" t="inlineStr">
        <is>
          <t>No</t>
        </is>
      </c>
      <c r="H1417" s="170">
        <f>IF(A1417="","",IF(OR(NOT(ISNUMBER(C1417)),C1417=""),"No",IF(AND(HOUR(C1417)&gt;=0,HOUR(C1417)&lt;5),"Yes","No")))</f>
        <v/>
      </c>
      <c r="I1417" s="183">
        <f>IF(OR(B1417="",NOT(ISNUMBER(B1417))),"",INT(B1417))</f>
        <v/>
      </c>
    </row>
    <row r="1418" ht="15" customHeight="1" s="122">
      <c r="A1418" s="179" t="inlineStr">
        <is>
          <t>KBB 105Q</t>
        </is>
      </c>
      <c r="B1418" s="172" t="inlineStr">
        <is>
          <t>23-02-2026 07:38:11</t>
        </is>
      </c>
      <c r="C1418" s="172" t="inlineStr">
        <is>
          <t>23-02-2026 07:41:57</t>
        </is>
      </c>
      <c r="D1418" s="173" t="inlineStr">
        <is>
          <t>1.21 Km</t>
        </is>
      </c>
      <c r="E1418" s="181" t="n">
        <v>22</v>
      </c>
      <c r="F1418" s="182" t="n">
        <v>47</v>
      </c>
      <c r="G1418" s="172" t="inlineStr">
        <is>
          <t>No</t>
        </is>
      </c>
      <c r="H1418" s="170">
        <f>IF(A1418="","",IF(OR(NOT(ISNUMBER(C1418)),C1418=""),"No",IF(AND(HOUR(C1418)&gt;=0,HOUR(C1418)&lt;5),"Yes","No")))</f>
        <v/>
      </c>
      <c r="I1418" s="183">
        <f>IF(OR(B1418="",NOT(ISNUMBER(B1418))),"",INT(B1418))</f>
        <v/>
      </c>
    </row>
    <row r="1419" ht="15" customHeight="1" s="122">
      <c r="A1419" s="179" t="inlineStr">
        <is>
          <t>KBB 105Q</t>
        </is>
      </c>
      <c r="B1419" s="172" t="inlineStr">
        <is>
          <t>23-02-2026 07:47:37</t>
        </is>
      </c>
      <c r="C1419" s="172" t="inlineStr">
        <is>
          <t>23-02-2026 08:19:15</t>
        </is>
      </c>
      <c r="D1419" s="173" t="inlineStr">
        <is>
          <t>24.84 Km</t>
        </is>
      </c>
      <c r="E1419" s="181" t="n">
        <v>47</v>
      </c>
      <c r="F1419" s="182" t="n">
        <v>82</v>
      </c>
      <c r="G1419" s="172" t="inlineStr">
        <is>
          <t>No</t>
        </is>
      </c>
      <c r="H1419" s="170">
        <f>IF(A1419="","",IF(OR(NOT(ISNUMBER(C1419)),C1419=""),"No",IF(AND(HOUR(C1419)&gt;=0,HOUR(C1419)&lt;5),"Yes","No")))</f>
        <v/>
      </c>
      <c r="I1419" s="183">
        <f>IF(OR(B1419="",NOT(ISNUMBER(B1419))),"",INT(B1419))</f>
        <v/>
      </c>
    </row>
    <row r="1420" ht="15" customHeight="1" s="122">
      <c r="A1420" s="179" t="inlineStr">
        <is>
          <t>KBB 105Q</t>
        </is>
      </c>
      <c r="B1420" s="172" t="inlineStr">
        <is>
          <t>23-02-2026 08:23:28</t>
        </is>
      </c>
      <c r="C1420" s="172" t="inlineStr">
        <is>
          <t>23-02-2026 08:29:18</t>
        </is>
      </c>
      <c r="D1420" s="173" t="inlineStr">
        <is>
          <t>1.11 Km</t>
        </is>
      </c>
      <c r="E1420" s="181" t="n">
        <v>11</v>
      </c>
      <c r="F1420" s="182" t="n">
        <v>21</v>
      </c>
      <c r="G1420" s="172" t="inlineStr">
        <is>
          <t>No</t>
        </is>
      </c>
      <c r="H1420" s="170">
        <f>IF(A1420="","",IF(OR(NOT(ISNUMBER(C1420)),C1420=""),"No",IF(AND(HOUR(C1420)&gt;=0,HOUR(C1420)&lt;5),"Yes","No")))</f>
        <v/>
      </c>
      <c r="I1420" s="183">
        <f>IF(OR(B1420="",NOT(ISNUMBER(B1420))),"",INT(B1420))</f>
        <v/>
      </c>
    </row>
    <row r="1421" ht="15" customHeight="1" s="122">
      <c r="A1421" s="179" t="inlineStr">
        <is>
          <t>KBB 105Q</t>
        </is>
      </c>
      <c r="B1421" s="172" t="inlineStr">
        <is>
          <t>23-02-2026 09:47:41</t>
        </is>
      </c>
      <c r="C1421" s="172" t="inlineStr">
        <is>
          <t>23-02-2026 09:50:12</t>
        </is>
      </c>
      <c r="D1421" s="173" t="inlineStr">
        <is>
          <t>0.54 Km</t>
        </is>
      </c>
      <c r="E1421" s="181" t="n">
        <v>13</v>
      </c>
      <c r="F1421" s="182" t="n">
        <v>22</v>
      </c>
      <c r="G1421" s="172" t="inlineStr">
        <is>
          <t>No</t>
        </is>
      </c>
      <c r="H1421" s="170">
        <f>IF(A1421="","",IF(OR(NOT(ISNUMBER(C1421)),C1421=""),"No",IF(AND(HOUR(C1421)&gt;=0,HOUR(C1421)&lt;5),"Yes","No")))</f>
        <v/>
      </c>
      <c r="I1421" s="183">
        <f>IF(OR(B1421="",NOT(ISNUMBER(B1421))),"",INT(B1421))</f>
        <v/>
      </c>
    </row>
    <row r="1422" ht="15" customHeight="1" s="122">
      <c r="A1422" s="179" t="inlineStr">
        <is>
          <t>KBB 105Q</t>
        </is>
      </c>
      <c r="B1422" s="172" t="inlineStr">
        <is>
          <t>23-02-2026 12:46:30</t>
        </is>
      </c>
      <c r="C1422" s="172" t="inlineStr">
        <is>
          <t>23-02-2026 13:14:17</t>
        </is>
      </c>
      <c r="D1422" s="173" t="inlineStr">
        <is>
          <t>18.33 Km</t>
        </is>
      </c>
      <c r="E1422" s="181" t="n">
        <v>40</v>
      </c>
      <c r="F1422" s="182" t="n">
        <v>62</v>
      </c>
      <c r="G1422" s="172" t="inlineStr">
        <is>
          <t>No</t>
        </is>
      </c>
      <c r="H1422" s="170">
        <f>IF(A1422="","",IF(OR(NOT(ISNUMBER(C1422)),C1422=""),"No",IF(AND(HOUR(C1422)&gt;=0,HOUR(C1422)&lt;5),"Yes","No")))</f>
        <v/>
      </c>
      <c r="I1422" s="183">
        <f>IF(OR(B1422="",NOT(ISNUMBER(B1422))),"",INT(B1422))</f>
        <v/>
      </c>
    </row>
    <row r="1423" ht="15" customHeight="1" s="122">
      <c r="A1423" s="179" t="inlineStr">
        <is>
          <t>KBB 105Q</t>
        </is>
      </c>
      <c r="B1423" s="172" t="inlineStr">
        <is>
          <t>23-02-2026 13:31:40</t>
        </is>
      </c>
      <c r="C1423" s="172" t="inlineStr">
        <is>
          <t>23-02-2026 14:02:47</t>
        </is>
      </c>
      <c r="D1423" s="173" t="inlineStr">
        <is>
          <t>20.08 Km</t>
        </is>
      </c>
      <c r="E1423" s="181" t="n">
        <v>39</v>
      </c>
      <c r="F1423" s="182" t="n">
        <v>65</v>
      </c>
      <c r="G1423" s="172" t="inlineStr">
        <is>
          <t>No</t>
        </is>
      </c>
      <c r="H1423" s="170">
        <f>IF(A1423="","",IF(OR(NOT(ISNUMBER(C1423)),C1423=""),"No",IF(AND(HOUR(C1423)&gt;=0,HOUR(C1423)&lt;5),"Yes","No")))</f>
        <v/>
      </c>
      <c r="I1423" s="183">
        <f>IF(OR(B1423="",NOT(ISNUMBER(B1423))),"",INT(B1423))</f>
        <v/>
      </c>
    </row>
    <row r="1424" ht="15" customHeight="1" s="122">
      <c r="A1424" s="179" t="inlineStr">
        <is>
          <t>KBB 105Q</t>
        </is>
      </c>
      <c r="B1424" s="172" t="inlineStr">
        <is>
          <t>23-02-2026 14:17:07</t>
        </is>
      </c>
      <c r="C1424" s="172" t="inlineStr">
        <is>
          <t>23-02-2026 14:17:36</t>
        </is>
      </c>
      <c r="D1424" s="173" t="inlineStr">
        <is>
          <t>0.09 Km</t>
        </is>
      </c>
      <c r="E1424" s="181" t="n">
        <v>13</v>
      </c>
      <c r="F1424" s="182" t="n">
        <v>20</v>
      </c>
      <c r="G1424" s="172" t="inlineStr">
        <is>
          <t>No</t>
        </is>
      </c>
      <c r="H1424" s="170">
        <f>IF(A1424="","",IF(OR(NOT(ISNUMBER(C1424)),C1424=""),"No",IF(AND(HOUR(C1424)&gt;=0,HOUR(C1424)&lt;5),"Yes","No")))</f>
        <v/>
      </c>
      <c r="I1424" s="183">
        <f>IF(OR(B1424="",NOT(ISNUMBER(B1424))),"",INT(B1424))</f>
        <v/>
      </c>
    </row>
    <row r="1425" ht="15" customHeight="1" s="122">
      <c r="A1425" s="179" t="inlineStr">
        <is>
          <t>KBB 105Q</t>
        </is>
      </c>
      <c r="B1425" s="172" t="inlineStr">
        <is>
          <t>23-02-2026 15:00:22</t>
        </is>
      </c>
      <c r="C1425" s="172" t="inlineStr">
        <is>
          <t>23-02-2026 15:01:27</t>
        </is>
      </c>
      <c r="D1425" s="173" t="inlineStr">
        <is>
          <t>0.18 Km</t>
        </is>
      </c>
      <c r="E1425" s="181" t="n">
        <v>9</v>
      </c>
      <c r="F1425" s="182" t="n">
        <v>15</v>
      </c>
      <c r="G1425" s="172" t="inlineStr">
        <is>
          <t>No</t>
        </is>
      </c>
      <c r="H1425" s="170">
        <f>IF(A1425="","",IF(OR(NOT(ISNUMBER(C1425)),C1425=""),"No",IF(AND(HOUR(C1425)&gt;=0,HOUR(C1425)&lt;5),"Yes","No")))</f>
        <v/>
      </c>
      <c r="I1425" s="183">
        <f>IF(OR(B1425="",NOT(ISNUMBER(B1425))),"",INT(B1425))</f>
        <v/>
      </c>
    </row>
    <row r="1426" ht="15" customHeight="1" s="122">
      <c r="A1426" s="179" t="inlineStr">
        <is>
          <t>KBB 105Q</t>
        </is>
      </c>
      <c r="B1426" s="172" t="inlineStr">
        <is>
          <t>23-02-2026 15:08:06</t>
        </is>
      </c>
      <c r="C1426" s="172" t="inlineStr">
        <is>
          <t>23-02-2026 15:09:24</t>
        </is>
      </c>
      <c r="D1426" s="173" t="inlineStr">
        <is>
          <t>0.12 Km</t>
        </is>
      </c>
      <c r="E1426" s="181" t="n">
        <v>10</v>
      </c>
      <c r="F1426" s="182" t="n">
        <v>12</v>
      </c>
      <c r="G1426" s="172" t="inlineStr">
        <is>
          <t>No</t>
        </is>
      </c>
      <c r="H1426" s="170">
        <f>IF(A1426="","",IF(OR(NOT(ISNUMBER(C1426)),C1426=""),"No",IF(AND(HOUR(C1426)&gt;=0,HOUR(C1426)&lt;5),"Yes","No")))</f>
        <v/>
      </c>
      <c r="I1426" s="183">
        <f>IF(OR(B1426="",NOT(ISNUMBER(B1426))),"",INT(B1426))</f>
        <v/>
      </c>
    </row>
    <row r="1427" ht="15" customHeight="1" s="122">
      <c r="A1427" s="179" t="inlineStr">
        <is>
          <t>KBB 105Q</t>
        </is>
      </c>
      <c r="B1427" s="172" t="inlineStr">
        <is>
          <t>23-02-2026 16:42:53</t>
        </is>
      </c>
      <c r="C1427" s="172" t="inlineStr">
        <is>
          <t>23-02-2026 16:45:46</t>
        </is>
      </c>
      <c r="D1427" s="173" t="inlineStr">
        <is>
          <t>0.23 Km</t>
        </is>
      </c>
      <c r="E1427" s="181" t="n">
        <v>9</v>
      </c>
      <c r="F1427" s="182" t="n">
        <v>19</v>
      </c>
      <c r="G1427" s="172" t="inlineStr">
        <is>
          <t>No</t>
        </is>
      </c>
      <c r="H1427" s="170">
        <f>IF(A1427="","",IF(OR(NOT(ISNUMBER(C1427)),C1427=""),"No",IF(AND(HOUR(C1427)&gt;=0,HOUR(C1427)&lt;5),"Yes","No")))</f>
        <v/>
      </c>
      <c r="I1427" s="183">
        <f>IF(OR(B1427="",NOT(ISNUMBER(B1427))),"",INT(B1427))</f>
        <v/>
      </c>
    </row>
    <row r="1428" ht="15" customHeight="1" s="122">
      <c r="A1428" s="179" t="inlineStr">
        <is>
          <t>KBB 105Q</t>
        </is>
      </c>
      <c r="B1428" s="172" t="inlineStr">
        <is>
          <t>23-02-2026 16:49:26</t>
        </is>
      </c>
      <c r="C1428" s="172" t="inlineStr">
        <is>
          <t>23-02-2026 17:51:19</t>
        </is>
      </c>
      <c r="D1428" s="173" t="inlineStr">
        <is>
          <t>48.58 Km</t>
        </is>
      </c>
      <c r="E1428" s="181" t="n">
        <v>47</v>
      </c>
      <c r="F1428" s="182" t="n">
        <v>73</v>
      </c>
      <c r="G1428" s="172" t="inlineStr">
        <is>
          <t>No</t>
        </is>
      </c>
      <c r="H1428" s="170">
        <f>IF(A1428="","",IF(OR(NOT(ISNUMBER(C1428)),C1428=""),"No",IF(AND(HOUR(C1428)&gt;=0,HOUR(C1428)&lt;5),"Yes","No")))</f>
        <v/>
      </c>
      <c r="I1428" s="183">
        <f>IF(OR(B1428="",NOT(ISNUMBER(B1428))),"",INT(B1428))</f>
        <v/>
      </c>
    </row>
    <row r="1429" ht="15" customHeight="1" s="122">
      <c r="A1429" s="179" t="inlineStr">
        <is>
          <t>KBB 105Q</t>
        </is>
      </c>
      <c r="B1429" s="172" t="inlineStr">
        <is>
          <t>23-02-2026 18:10:35</t>
        </is>
      </c>
      <c r="C1429" s="172" t="inlineStr">
        <is>
          <t>23-02-2026 18:17:44</t>
        </is>
      </c>
      <c r="D1429" s="173" t="inlineStr">
        <is>
          <t>3.46 Km</t>
        </is>
      </c>
      <c r="E1429" s="181" t="n">
        <v>25</v>
      </c>
      <c r="F1429" s="182" t="n">
        <v>42</v>
      </c>
      <c r="G1429" s="172" t="inlineStr">
        <is>
          <t>No</t>
        </is>
      </c>
      <c r="H1429" s="170">
        <f>IF(A1429="","",IF(OR(NOT(ISNUMBER(C1429)),C1429=""),"No",IF(AND(HOUR(C1429)&gt;=0,HOUR(C1429)&lt;5),"Yes","No")))</f>
        <v/>
      </c>
      <c r="I1429" s="183">
        <f>IF(OR(B1429="",NOT(ISNUMBER(B1429))),"",INT(B1429))</f>
        <v/>
      </c>
    </row>
    <row r="1430" ht="15" customHeight="1" s="122">
      <c r="A1430" s="179" t="inlineStr">
        <is>
          <t>KBB 105Q</t>
        </is>
      </c>
      <c r="B1430" s="172" t="inlineStr">
        <is>
          <t>23-02-2026 18:20:37</t>
        </is>
      </c>
      <c r="C1430" s="172" t="inlineStr">
        <is>
          <t>23-02-2026 18:35:04</t>
        </is>
      </c>
      <c r="D1430" s="173" t="inlineStr">
        <is>
          <t>5.64 Km</t>
        </is>
      </c>
      <c r="E1430" s="181" t="n">
        <v>22</v>
      </c>
      <c r="F1430" s="182" t="n">
        <v>51</v>
      </c>
      <c r="G1430" s="172" t="inlineStr">
        <is>
          <t>No</t>
        </is>
      </c>
      <c r="H1430" s="170">
        <f>IF(A1430="","",IF(OR(NOT(ISNUMBER(C1430)),C1430=""),"No",IF(AND(HOUR(C1430)&gt;=0,HOUR(C1430)&lt;5),"Yes","No")))</f>
        <v/>
      </c>
      <c r="I1430" s="183">
        <f>IF(OR(B1430="",NOT(ISNUMBER(B1430))),"",INT(B1430))</f>
        <v/>
      </c>
    </row>
    <row r="1431" ht="15" customHeight="1" s="122">
      <c r="A1431" s="179" t="inlineStr">
        <is>
          <t>KBB 105Q</t>
        </is>
      </c>
      <c r="B1431" s="172" t="inlineStr">
        <is>
          <t>23-02-2026 18:36:29</t>
        </is>
      </c>
      <c r="C1431" s="172" t="inlineStr">
        <is>
          <t>23-02-2026 18:37:01</t>
        </is>
      </c>
      <c r="D1431" s="173" t="inlineStr">
        <is>
          <t>0.04 Km</t>
        </is>
      </c>
      <c r="E1431" s="181" t="n">
        <v>7</v>
      </c>
      <c r="F1431" s="182" t="n">
        <v>8</v>
      </c>
      <c r="G1431" s="172" t="inlineStr">
        <is>
          <t>No</t>
        </is>
      </c>
      <c r="H1431" s="170">
        <f>IF(A1431="","",IF(OR(NOT(ISNUMBER(C1431)),C1431=""),"No",IF(AND(HOUR(C1431)&gt;=0,HOUR(C1431)&lt;5),"Yes","No")))</f>
        <v/>
      </c>
      <c r="I1431" s="183">
        <f>IF(OR(B1431="",NOT(ISNUMBER(B1431))),"",INT(B1431))</f>
        <v/>
      </c>
    </row>
    <row r="1432" ht="15" customHeight="1" s="122">
      <c r="A1432" s="179" t="inlineStr">
        <is>
          <t>KBB 105Q</t>
        </is>
      </c>
      <c r="B1432" s="172" t="inlineStr">
        <is>
          <t>24-02-2026 09:36:17</t>
        </is>
      </c>
      <c r="C1432" s="172" t="inlineStr">
        <is>
          <t>24-02-2026 09:53:29</t>
        </is>
      </c>
      <c r="D1432" s="173" t="inlineStr">
        <is>
          <t>5.68 Km</t>
        </is>
      </c>
      <c r="E1432" s="181" t="n">
        <v>22</v>
      </c>
      <c r="F1432" s="182" t="n">
        <v>44</v>
      </c>
      <c r="G1432" s="172" t="inlineStr">
        <is>
          <t>No</t>
        </is>
      </c>
      <c r="H1432" s="170">
        <f>IF(A1432="","",IF(OR(NOT(ISNUMBER(C1432)),C1432=""),"No",IF(AND(HOUR(C1432)&gt;=0,HOUR(C1432)&lt;5),"Yes","No")))</f>
        <v/>
      </c>
      <c r="I1432" s="183">
        <f>IF(OR(B1432="",NOT(ISNUMBER(B1432))),"",INT(B1432))</f>
        <v/>
      </c>
    </row>
    <row r="1433" ht="15" customHeight="1" s="122">
      <c r="A1433" s="179" t="inlineStr">
        <is>
          <t>KBB 105Q</t>
        </is>
      </c>
      <c r="B1433" s="172" t="inlineStr">
        <is>
          <t>24-02-2026 10:02:49</t>
        </is>
      </c>
      <c r="C1433" s="172" t="inlineStr">
        <is>
          <t>24-02-2026 10:10:01</t>
        </is>
      </c>
      <c r="D1433" s="173" t="inlineStr">
        <is>
          <t>4.54 Km</t>
        </is>
      </c>
      <c r="E1433" s="181" t="n">
        <v>42</v>
      </c>
      <c r="F1433" s="182" t="n">
        <v>63</v>
      </c>
      <c r="G1433" s="172" t="inlineStr">
        <is>
          <t>No</t>
        </is>
      </c>
      <c r="H1433" s="170">
        <f>IF(A1433="","",IF(OR(NOT(ISNUMBER(C1433)),C1433=""),"No",IF(AND(HOUR(C1433)&gt;=0,HOUR(C1433)&lt;5),"Yes","No")))</f>
        <v/>
      </c>
      <c r="I1433" s="183">
        <f>IF(OR(B1433="",NOT(ISNUMBER(B1433))),"",INT(B1433))</f>
        <v/>
      </c>
    </row>
    <row r="1434" ht="15" customHeight="1" s="122">
      <c r="A1434" s="179" t="inlineStr">
        <is>
          <t>KBB 105Q</t>
        </is>
      </c>
      <c r="B1434" s="172" t="inlineStr">
        <is>
          <t>24-02-2026 10:13:30</t>
        </is>
      </c>
      <c r="C1434" s="172" t="inlineStr">
        <is>
          <t>24-02-2026 10:39:59</t>
        </is>
      </c>
      <c r="D1434" s="173" t="inlineStr">
        <is>
          <t>23.91 Km</t>
        </is>
      </c>
      <c r="E1434" s="181" t="n">
        <v>53</v>
      </c>
      <c r="F1434" s="182" t="n">
        <v>75</v>
      </c>
      <c r="G1434" s="172" t="inlineStr">
        <is>
          <t>No</t>
        </is>
      </c>
      <c r="H1434" s="170">
        <f>IF(A1434="","",IF(OR(NOT(ISNUMBER(C1434)),C1434=""),"No",IF(AND(HOUR(C1434)&gt;=0,HOUR(C1434)&lt;5),"Yes","No")))</f>
        <v/>
      </c>
      <c r="I1434" s="183">
        <f>IF(OR(B1434="",NOT(ISNUMBER(B1434))),"",INT(B1434))</f>
        <v/>
      </c>
    </row>
    <row r="1435" ht="15" customHeight="1" s="122">
      <c r="A1435" s="179" t="inlineStr">
        <is>
          <t>KBB 105Q</t>
        </is>
      </c>
      <c r="B1435" s="172" t="inlineStr">
        <is>
          <t>24-02-2026 11:48:28</t>
        </is>
      </c>
      <c r="C1435" s="172" t="inlineStr">
        <is>
          <t>24-02-2026 12:19:08</t>
        </is>
      </c>
      <c r="D1435" s="173" t="inlineStr">
        <is>
          <t>21.3 Km</t>
        </is>
      </c>
      <c r="E1435" s="181" t="n">
        <v>41</v>
      </c>
      <c r="F1435" s="182" t="n">
        <v>70</v>
      </c>
      <c r="G1435" s="172" t="inlineStr">
        <is>
          <t>No</t>
        </is>
      </c>
      <c r="H1435" s="170">
        <f>IF(A1435="","",IF(OR(NOT(ISNUMBER(C1435)),C1435=""),"No",IF(AND(HOUR(C1435)&gt;=0,HOUR(C1435)&lt;5),"Yes","No")))</f>
        <v/>
      </c>
      <c r="I1435" s="183">
        <f>IF(OR(B1435="",NOT(ISNUMBER(B1435))),"",INT(B1435))</f>
        <v/>
      </c>
    </row>
    <row r="1436" ht="15" customHeight="1" s="122">
      <c r="A1436" s="179" t="inlineStr">
        <is>
          <t>KBB 105Q</t>
        </is>
      </c>
      <c r="B1436" s="172" t="inlineStr">
        <is>
          <t>24-02-2026 12:41:27</t>
        </is>
      </c>
      <c r="C1436" s="172" t="inlineStr">
        <is>
          <t>24-02-2026 12:59:12</t>
        </is>
      </c>
      <c r="D1436" s="173" t="inlineStr">
        <is>
          <t>11.88 Km</t>
        </is>
      </c>
      <c r="E1436" s="181" t="n">
        <v>39</v>
      </c>
      <c r="F1436" s="182" t="n">
        <v>65</v>
      </c>
      <c r="G1436" s="172" t="inlineStr">
        <is>
          <t>No</t>
        </is>
      </c>
      <c r="H1436" s="170">
        <f>IF(A1436="","",IF(OR(NOT(ISNUMBER(C1436)),C1436=""),"No",IF(AND(HOUR(C1436)&gt;=0,HOUR(C1436)&lt;5),"Yes","No")))</f>
        <v/>
      </c>
      <c r="I1436" s="183">
        <f>IF(OR(B1436="",NOT(ISNUMBER(B1436))),"",INT(B1436))</f>
        <v/>
      </c>
    </row>
    <row r="1437" ht="15" customHeight="1" s="122">
      <c r="A1437" s="179" t="inlineStr">
        <is>
          <t>KBB 105Q</t>
        </is>
      </c>
      <c r="B1437" s="172" t="inlineStr">
        <is>
          <t>24-02-2026 13:01:40</t>
        </is>
      </c>
      <c r="C1437" s="172" t="inlineStr">
        <is>
          <t>24-02-2026 13:05:28</t>
        </is>
      </c>
      <c r="D1437" s="173" t="inlineStr">
        <is>
          <t>1.17 Km</t>
        </is>
      </c>
      <c r="E1437" s="181" t="n">
        <v>23</v>
      </c>
      <c r="F1437" s="182" t="n">
        <v>40</v>
      </c>
      <c r="G1437" s="172" t="inlineStr">
        <is>
          <t>No</t>
        </is>
      </c>
      <c r="H1437" s="170">
        <f>IF(A1437="","",IF(OR(NOT(ISNUMBER(C1437)),C1437=""),"No",IF(AND(HOUR(C1437)&gt;=0,HOUR(C1437)&lt;5),"Yes","No")))</f>
        <v/>
      </c>
      <c r="I1437" s="183">
        <f>IF(OR(B1437="",NOT(ISNUMBER(B1437))),"",INT(B1437))</f>
        <v/>
      </c>
    </row>
    <row r="1438" ht="15" customHeight="1" s="122">
      <c r="A1438" s="179" t="inlineStr">
        <is>
          <t>KBB 105Q</t>
        </is>
      </c>
      <c r="B1438" s="172" t="inlineStr">
        <is>
          <t>24-02-2026 13:11:03</t>
        </is>
      </c>
      <c r="C1438" s="172" t="inlineStr">
        <is>
          <t>24-02-2026 13:12:48</t>
        </is>
      </c>
      <c r="D1438" s="173" t="inlineStr">
        <is>
          <t>0.2 Km</t>
        </is>
      </c>
      <c r="E1438" s="181" t="n">
        <v>12</v>
      </c>
      <c r="F1438" s="182" t="n">
        <v>21</v>
      </c>
      <c r="G1438" s="172" t="inlineStr">
        <is>
          <t>No</t>
        </is>
      </c>
      <c r="H1438" s="170">
        <f>IF(A1438="","",IF(OR(NOT(ISNUMBER(C1438)),C1438=""),"No",IF(AND(HOUR(C1438)&gt;=0,HOUR(C1438)&lt;5),"Yes","No")))</f>
        <v/>
      </c>
      <c r="I1438" s="183">
        <f>IF(OR(B1438="",NOT(ISNUMBER(B1438))),"",INT(B1438))</f>
        <v/>
      </c>
    </row>
    <row r="1439" ht="15" customHeight="1" s="122">
      <c r="A1439" s="179" t="inlineStr">
        <is>
          <t>KBB 105Q</t>
        </is>
      </c>
      <c r="B1439" s="172" t="inlineStr">
        <is>
          <t>24-02-2026 13:17:02</t>
        </is>
      </c>
      <c r="C1439" s="172" t="inlineStr">
        <is>
          <t>24-02-2026 13:43:10</t>
        </is>
      </c>
      <c r="D1439" s="173" t="inlineStr">
        <is>
          <t>15.14 Km</t>
        </is>
      </c>
      <c r="E1439" s="181" t="n">
        <v>33</v>
      </c>
      <c r="F1439" s="182" t="n">
        <v>53</v>
      </c>
      <c r="G1439" s="172" t="inlineStr">
        <is>
          <t>No</t>
        </is>
      </c>
      <c r="H1439" s="170">
        <f>IF(A1439="","",IF(OR(NOT(ISNUMBER(C1439)),C1439=""),"No",IF(AND(HOUR(C1439)&gt;=0,HOUR(C1439)&lt;5),"Yes","No")))</f>
        <v/>
      </c>
      <c r="I1439" s="183">
        <f>IF(OR(B1439="",NOT(ISNUMBER(B1439))),"",INT(B1439))</f>
        <v/>
      </c>
    </row>
    <row r="1440" ht="15" customHeight="1" s="122">
      <c r="A1440" s="179" t="inlineStr">
        <is>
          <t>KBB 105Q</t>
        </is>
      </c>
      <c r="B1440" s="172" t="inlineStr">
        <is>
          <t>24-02-2026 13:45:19</t>
        </is>
      </c>
      <c r="C1440" s="172" t="inlineStr">
        <is>
          <t>24-02-2026 13:45:31</t>
        </is>
      </c>
      <c r="D1440" s="173" t="inlineStr">
        <is>
          <t>0.03 Km</t>
        </is>
      </c>
      <c r="E1440" s="181" t="n">
        <v>7</v>
      </c>
      <c r="F1440" s="182" t="n">
        <v>8</v>
      </c>
      <c r="G1440" s="172" t="inlineStr">
        <is>
          <t>No</t>
        </is>
      </c>
      <c r="H1440" s="170">
        <f>IF(A1440="","",IF(OR(NOT(ISNUMBER(C1440)),C1440=""),"No",IF(AND(HOUR(C1440)&gt;=0,HOUR(C1440)&lt;5),"Yes","No")))</f>
        <v/>
      </c>
      <c r="I1440" s="183">
        <f>IF(OR(B1440="",NOT(ISNUMBER(B1440))),"",INT(B1440))</f>
        <v/>
      </c>
    </row>
    <row r="1441" ht="15" customHeight="1" s="122">
      <c r="A1441" s="179" t="inlineStr">
        <is>
          <t>KBB 105Q</t>
        </is>
      </c>
      <c r="B1441" s="172" t="inlineStr">
        <is>
          <t>24-02-2026 14:10:53</t>
        </is>
      </c>
      <c r="C1441" s="172" t="inlineStr">
        <is>
          <t>24-02-2026 14:21:30</t>
        </is>
      </c>
      <c r="D1441" s="173" t="inlineStr">
        <is>
          <t>5 Km</t>
        </is>
      </c>
      <c r="E1441" s="181" t="n">
        <v>28</v>
      </c>
      <c r="F1441" s="182" t="n">
        <v>54</v>
      </c>
      <c r="G1441" s="172" t="inlineStr">
        <is>
          <t>No</t>
        </is>
      </c>
      <c r="H1441" s="170">
        <f>IF(A1441="","",IF(OR(NOT(ISNUMBER(C1441)),C1441=""),"No",IF(AND(HOUR(C1441)&gt;=0,HOUR(C1441)&lt;5),"Yes","No")))</f>
        <v/>
      </c>
      <c r="I1441" s="183">
        <f>IF(OR(B1441="",NOT(ISNUMBER(B1441))),"",INT(B1441))</f>
        <v/>
      </c>
    </row>
    <row r="1442" ht="15" customHeight="1" s="122">
      <c r="A1442" s="179" t="inlineStr">
        <is>
          <t>KBB 105Q</t>
        </is>
      </c>
      <c r="B1442" s="172" t="inlineStr">
        <is>
          <t>24-02-2026 14:26:54</t>
        </is>
      </c>
      <c r="C1442" s="172" t="inlineStr">
        <is>
          <t>24-02-2026 14:54:51</t>
        </is>
      </c>
      <c r="D1442" s="173" t="inlineStr">
        <is>
          <t>19.51 Km</t>
        </is>
      </c>
      <c r="E1442" s="181" t="n">
        <v>40</v>
      </c>
      <c r="F1442" s="182" t="n">
        <v>57</v>
      </c>
      <c r="G1442" s="172" t="inlineStr">
        <is>
          <t>No</t>
        </is>
      </c>
      <c r="H1442" s="170">
        <f>IF(A1442="","",IF(OR(NOT(ISNUMBER(C1442)),C1442=""),"No",IF(AND(HOUR(C1442)&gt;=0,HOUR(C1442)&lt;5),"Yes","No")))</f>
        <v/>
      </c>
      <c r="I1442" s="183">
        <f>IF(OR(B1442="",NOT(ISNUMBER(B1442))),"",INT(B1442))</f>
        <v/>
      </c>
    </row>
    <row r="1443" ht="15" customHeight="1" s="122">
      <c r="A1443" s="179" t="inlineStr">
        <is>
          <t>KBB 105Q</t>
        </is>
      </c>
      <c r="B1443" s="172" t="inlineStr">
        <is>
          <t>24-02-2026 15:06:13</t>
        </is>
      </c>
      <c r="C1443" s="172" t="inlineStr">
        <is>
          <t>24-02-2026 15:25:02</t>
        </is>
      </c>
      <c r="D1443" s="173" t="inlineStr">
        <is>
          <t>11.72 Km</t>
        </is>
      </c>
      <c r="E1443" s="181" t="n">
        <v>39</v>
      </c>
      <c r="F1443" s="182" t="n">
        <v>67</v>
      </c>
      <c r="G1443" s="172" t="inlineStr">
        <is>
          <t>No</t>
        </is>
      </c>
      <c r="H1443" s="170">
        <f>IF(A1443="","",IF(OR(NOT(ISNUMBER(C1443)),C1443=""),"No",IF(AND(HOUR(C1443)&gt;=0,HOUR(C1443)&lt;5),"Yes","No")))</f>
        <v/>
      </c>
      <c r="I1443" s="183">
        <f>IF(OR(B1443="",NOT(ISNUMBER(B1443))),"",INT(B1443))</f>
        <v/>
      </c>
    </row>
    <row r="1444" ht="15" customHeight="1" s="122">
      <c r="A1444" s="179" t="inlineStr">
        <is>
          <t>KBB 105Q</t>
        </is>
      </c>
      <c r="B1444" s="172" t="inlineStr">
        <is>
          <t>24-02-2026 15:33:18</t>
        </is>
      </c>
      <c r="C1444" s="172" t="inlineStr">
        <is>
          <t>24-02-2026 16:20:30</t>
        </is>
      </c>
      <c r="D1444" s="173" t="inlineStr">
        <is>
          <t>39.12 Km</t>
        </is>
      </c>
      <c r="E1444" s="181" t="n">
        <v>51</v>
      </c>
      <c r="F1444" s="182" t="n">
        <v>76</v>
      </c>
      <c r="G1444" s="172" t="inlineStr">
        <is>
          <t>No</t>
        </is>
      </c>
      <c r="H1444" s="170">
        <f>IF(A1444="","",IF(OR(NOT(ISNUMBER(C1444)),C1444=""),"No",IF(AND(HOUR(C1444)&gt;=0,HOUR(C1444)&lt;5),"Yes","No")))</f>
        <v/>
      </c>
      <c r="I1444" s="183">
        <f>IF(OR(B1444="",NOT(ISNUMBER(B1444))),"",INT(B1444))</f>
        <v/>
      </c>
    </row>
    <row r="1445" ht="15" customHeight="1" s="122">
      <c r="A1445" s="179" t="inlineStr">
        <is>
          <t>KBB 105Q</t>
        </is>
      </c>
      <c r="B1445" s="172" t="inlineStr">
        <is>
          <t>24-02-2026 16:41:33</t>
        </is>
      </c>
      <c r="C1445" s="172" t="inlineStr">
        <is>
          <t>24-02-2026 16:52:06</t>
        </is>
      </c>
      <c r="D1445" s="173" t="inlineStr">
        <is>
          <t>3.09 Km</t>
        </is>
      </c>
      <c r="E1445" s="181" t="n">
        <v>17</v>
      </c>
      <c r="F1445" s="182" t="n">
        <v>45</v>
      </c>
      <c r="G1445" s="172" t="inlineStr">
        <is>
          <t>No</t>
        </is>
      </c>
      <c r="H1445" s="170">
        <f>IF(A1445="","",IF(OR(NOT(ISNUMBER(C1445)),C1445=""),"No",IF(AND(HOUR(C1445)&gt;=0,HOUR(C1445)&lt;5),"Yes","No")))</f>
        <v/>
      </c>
      <c r="I1445" s="183">
        <f>IF(OR(B1445="",NOT(ISNUMBER(B1445))),"",INT(B1445))</f>
        <v/>
      </c>
    </row>
    <row r="1446" ht="15" customHeight="1" s="122">
      <c r="A1446" s="179" t="inlineStr">
        <is>
          <t>KBB 105Q</t>
        </is>
      </c>
      <c r="B1446" s="172" t="inlineStr">
        <is>
          <t>24-02-2026 18:41:35</t>
        </is>
      </c>
      <c r="C1446" s="172" t="inlineStr">
        <is>
          <t>24-02-2026 18:53:13</t>
        </is>
      </c>
      <c r="D1446" s="173" t="inlineStr">
        <is>
          <t>3.05 Km</t>
        </is>
      </c>
      <c r="E1446" s="181" t="n">
        <v>17</v>
      </c>
      <c r="F1446" s="182" t="n">
        <v>37</v>
      </c>
      <c r="G1446" s="172" t="inlineStr">
        <is>
          <t>No</t>
        </is>
      </c>
      <c r="H1446" s="170">
        <f>IF(A1446="","",IF(OR(NOT(ISNUMBER(C1446)),C1446=""),"No",IF(AND(HOUR(C1446)&gt;=0,HOUR(C1446)&lt;5),"Yes","No")))</f>
        <v/>
      </c>
      <c r="I1446" s="183">
        <f>IF(OR(B1446="",NOT(ISNUMBER(B1446))),"",INT(B1446))</f>
        <v/>
      </c>
    </row>
    <row r="1447" ht="15" customHeight="1" s="122">
      <c r="A1447" s="179" t="inlineStr">
        <is>
          <t>KBB 105Q</t>
        </is>
      </c>
      <c r="B1447" s="172" t="inlineStr">
        <is>
          <t>24-02-2026 20:49:55</t>
        </is>
      </c>
      <c r="C1447" s="172" t="inlineStr">
        <is>
          <t>24-02-2026 21:00:35</t>
        </is>
      </c>
      <c r="D1447" s="173" t="inlineStr">
        <is>
          <t>3.03 Km</t>
        </is>
      </c>
      <c r="E1447" s="181" t="n">
        <v>17</v>
      </c>
      <c r="F1447" s="182" t="n">
        <v>40</v>
      </c>
      <c r="G1447" s="172" t="inlineStr">
        <is>
          <t>No</t>
        </is>
      </c>
      <c r="H1447" s="170">
        <f>IF(A1447="","",IF(OR(NOT(ISNUMBER(C1447)),C1447=""),"No",IF(AND(HOUR(C1447)&gt;=0,HOUR(C1447)&lt;5),"Yes","No")))</f>
        <v/>
      </c>
      <c r="I1447" s="183">
        <f>IF(OR(B1447="",NOT(ISNUMBER(B1447))),"",INT(B1447))</f>
        <v/>
      </c>
    </row>
    <row r="1448" ht="15" customHeight="1" s="122">
      <c r="A1448" s="179" t="inlineStr">
        <is>
          <t>KBB 105Q</t>
        </is>
      </c>
      <c r="B1448" s="172" t="inlineStr">
        <is>
          <t>25-02-2026 08:55:28</t>
        </is>
      </c>
      <c r="C1448" s="172" t="inlineStr">
        <is>
          <t>25-02-2026 09:09:47</t>
        </is>
      </c>
      <c r="D1448" s="173" t="inlineStr">
        <is>
          <t>3.08 Km</t>
        </is>
      </c>
      <c r="E1448" s="181" t="n">
        <v>18</v>
      </c>
      <c r="F1448" s="182" t="n">
        <v>42</v>
      </c>
      <c r="G1448" s="172" t="inlineStr">
        <is>
          <t>No</t>
        </is>
      </c>
      <c r="H1448" s="170">
        <f>IF(A1448="","",IF(OR(NOT(ISNUMBER(C1448)),C1448=""),"No",IF(AND(HOUR(C1448)&gt;=0,HOUR(C1448)&lt;5),"Yes","No")))</f>
        <v/>
      </c>
      <c r="I1448" s="183">
        <f>IF(OR(B1448="",NOT(ISNUMBER(B1448))),"",INT(B1448))</f>
        <v/>
      </c>
    </row>
    <row r="1449" ht="15" customHeight="1" s="122">
      <c r="A1449" s="179" t="inlineStr">
        <is>
          <t>KBB 105Q</t>
        </is>
      </c>
      <c r="B1449" s="172" t="inlineStr">
        <is>
          <t>25-02-2026 09:11:55</t>
        </is>
      </c>
      <c r="C1449" s="172" t="inlineStr">
        <is>
          <t>25-02-2026 09:46:35</t>
        </is>
      </c>
      <c r="D1449" s="173" t="inlineStr">
        <is>
          <t>28.72 Km</t>
        </is>
      </c>
      <c r="E1449" s="181" t="n">
        <v>52</v>
      </c>
      <c r="F1449" s="182" t="n">
        <v>80</v>
      </c>
      <c r="G1449" s="172" t="inlineStr">
        <is>
          <t>No</t>
        </is>
      </c>
      <c r="H1449" s="170">
        <f>IF(A1449="","",IF(OR(NOT(ISNUMBER(C1449)),C1449=""),"No",IF(AND(HOUR(C1449)&gt;=0,HOUR(C1449)&lt;5),"Yes","No")))</f>
        <v/>
      </c>
      <c r="I1449" s="183">
        <f>IF(OR(B1449="",NOT(ISNUMBER(B1449))),"",INT(B1449))</f>
        <v/>
      </c>
    </row>
    <row r="1450" ht="15" customHeight="1" s="122">
      <c r="A1450" s="179" t="inlineStr">
        <is>
          <t>KBB 105Q</t>
        </is>
      </c>
      <c r="B1450" s="172" t="inlineStr">
        <is>
          <t>25-02-2026 09:55:23</t>
        </is>
      </c>
      <c r="C1450" s="172" t="inlineStr">
        <is>
          <t>25-02-2026 10:12:33</t>
        </is>
      </c>
      <c r="D1450" s="173" t="inlineStr">
        <is>
          <t>12.79 Km</t>
        </is>
      </c>
      <c r="E1450" s="181" t="n">
        <v>48</v>
      </c>
      <c r="F1450" s="182" t="n">
        <v>72</v>
      </c>
      <c r="G1450" s="172" t="inlineStr">
        <is>
          <t>No</t>
        </is>
      </c>
      <c r="H1450" s="170">
        <f>IF(A1450="","",IF(OR(NOT(ISNUMBER(C1450)),C1450=""),"No",IF(AND(HOUR(C1450)&gt;=0,HOUR(C1450)&lt;5),"Yes","No")))</f>
        <v/>
      </c>
      <c r="I1450" s="183">
        <f>IF(OR(B1450="",NOT(ISNUMBER(B1450))),"",INT(B1450))</f>
        <v/>
      </c>
    </row>
    <row r="1451" ht="15" customHeight="1" s="122">
      <c r="A1451" s="179" t="inlineStr">
        <is>
          <t>KBB 105Q</t>
        </is>
      </c>
      <c r="B1451" s="172" t="inlineStr">
        <is>
          <t>25-02-2026 10:14:57</t>
        </is>
      </c>
      <c r="C1451" s="172" t="inlineStr">
        <is>
          <t>25-02-2026 11:12:50</t>
        </is>
      </c>
      <c r="D1451" s="173" t="inlineStr">
        <is>
          <t>55.69 Km</t>
        </is>
      </c>
      <c r="E1451" s="181" t="n">
        <v>56</v>
      </c>
      <c r="F1451" s="182" t="n">
        <v>87</v>
      </c>
      <c r="G1451" s="172" t="inlineStr">
        <is>
          <t>No</t>
        </is>
      </c>
      <c r="H1451" s="170">
        <f>IF(A1451="","",IF(OR(NOT(ISNUMBER(C1451)),C1451=""),"No",IF(AND(HOUR(C1451)&gt;=0,HOUR(C1451)&lt;5),"Yes","No")))</f>
        <v/>
      </c>
      <c r="I1451" s="183">
        <f>IF(OR(B1451="",NOT(ISNUMBER(B1451))),"",INT(B1451))</f>
        <v/>
      </c>
    </row>
    <row r="1452" ht="15" customHeight="1" s="122">
      <c r="A1452" s="179" t="inlineStr">
        <is>
          <t>KBB 105Q</t>
        </is>
      </c>
      <c r="B1452" s="172" t="inlineStr">
        <is>
          <t>25-02-2026 11:58:15</t>
        </is>
      </c>
      <c r="C1452" s="172" t="inlineStr">
        <is>
          <t>25-02-2026 12:13:54</t>
        </is>
      </c>
      <c r="D1452" s="173" t="inlineStr">
        <is>
          <t>9.46 Km</t>
        </is>
      </c>
      <c r="E1452" s="181" t="n">
        <v>36</v>
      </c>
      <c r="F1452" s="182" t="n">
        <v>57</v>
      </c>
      <c r="G1452" s="172" t="inlineStr">
        <is>
          <t>No</t>
        </is>
      </c>
      <c r="H1452" s="170">
        <f>IF(A1452="","",IF(OR(NOT(ISNUMBER(C1452)),C1452=""),"No",IF(AND(HOUR(C1452)&gt;=0,HOUR(C1452)&lt;5),"Yes","No")))</f>
        <v/>
      </c>
      <c r="I1452" s="183">
        <f>IF(OR(B1452="",NOT(ISNUMBER(B1452))),"",INT(B1452))</f>
        <v/>
      </c>
    </row>
    <row r="1453" ht="15" customHeight="1" s="122">
      <c r="A1453" s="179" t="inlineStr">
        <is>
          <t>KBB 105Q</t>
        </is>
      </c>
      <c r="B1453" s="172" t="inlineStr">
        <is>
          <t>25-02-2026 12:45:21</t>
        </is>
      </c>
      <c r="C1453" s="172" t="inlineStr">
        <is>
          <t>25-02-2026 12:46:29</t>
        </is>
      </c>
      <c r="D1453" s="173" t="inlineStr">
        <is>
          <t>0.26 Km</t>
        </is>
      </c>
      <c r="E1453" s="181" t="n">
        <v>12</v>
      </c>
      <c r="F1453" s="182" t="n">
        <v>26</v>
      </c>
      <c r="G1453" s="172" t="inlineStr">
        <is>
          <t>No</t>
        </is>
      </c>
      <c r="H1453" s="170">
        <f>IF(A1453="","",IF(OR(NOT(ISNUMBER(C1453)),C1453=""),"No",IF(AND(HOUR(C1453)&gt;=0,HOUR(C1453)&lt;5),"Yes","No")))</f>
        <v/>
      </c>
      <c r="I1453" s="183">
        <f>IF(OR(B1453="",NOT(ISNUMBER(B1453))),"",INT(B1453))</f>
        <v/>
      </c>
    </row>
    <row r="1454" ht="15" customHeight="1" s="122">
      <c r="A1454" s="179" t="inlineStr">
        <is>
          <t>KBB 105Q</t>
        </is>
      </c>
      <c r="B1454" s="172" t="inlineStr">
        <is>
          <t>25-02-2026 14:11:30</t>
        </is>
      </c>
      <c r="C1454" s="172" t="inlineStr">
        <is>
          <t>25-02-2026 14:13:27</t>
        </is>
      </c>
      <c r="D1454" s="173" t="inlineStr">
        <is>
          <t>0.25 Km</t>
        </is>
      </c>
      <c r="E1454" s="181" t="n">
        <v>8</v>
      </c>
      <c r="F1454" s="182" t="n">
        <v>12</v>
      </c>
      <c r="G1454" s="172" t="inlineStr">
        <is>
          <t>No</t>
        </is>
      </c>
      <c r="H1454" s="170">
        <f>IF(A1454="","",IF(OR(NOT(ISNUMBER(C1454)),C1454=""),"No",IF(AND(HOUR(C1454)&gt;=0,HOUR(C1454)&lt;5),"Yes","No")))</f>
        <v/>
      </c>
      <c r="I1454" s="183">
        <f>IF(OR(B1454="",NOT(ISNUMBER(B1454))),"",INT(B1454))</f>
        <v/>
      </c>
    </row>
    <row r="1455" ht="15" customHeight="1" s="122">
      <c r="A1455" s="179" t="inlineStr">
        <is>
          <t>KBB 105Q</t>
        </is>
      </c>
      <c r="B1455" s="172" t="inlineStr">
        <is>
          <t>25-02-2026 18:11:14</t>
        </is>
      </c>
      <c r="C1455" s="172" t="inlineStr">
        <is>
          <t>25-02-2026 18:25:06</t>
        </is>
      </c>
      <c r="D1455" s="173" t="inlineStr">
        <is>
          <t>9.48 Km</t>
        </is>
      </c>
      <c r="E1455" s="181" t="n">
        <v>42</v>
      </c>
      <c r="F1455" s="182" t="n">
        <v>70</v>
      </c>
      <c r="G1455" s="172" t="inlineStr">
        <is>
          <t>No</t>
        </is>
      </c>
      <c r="H1455" s="170">
        <f>IF(A1455="","",IF(OR(NOT(ISNUMBER(C1455)),C1455=""),"No",IF(AND(HOUR(C1455)&gt;=0,HOUR(C1455)&lt;5),"Yes","No")))</f>
        <v/>
      </c>
      <c r="I1455" s="183">
        <f>IF(OR(B1455="",NOT(ISNUMBER(B1455))),"",INT(B1455))</f>
        <v/>
      </c>
    </row>
    <row r="1456" ht="15" customHeight="1" s="122">
      <c r="A1456" s="179" t="inlineStr">
        <is>
          <t>KBB 105Q</t>
        </is>
      </c>
      <c r="B1456" s="172" t="inlineStr">
        <is>
          <t>25-02-2026 18:36:02</t>
        </is>
      </c>
      <c r="C1456" s="172" t="inlineStr">
        <is>
          <t>25-02-2026 18:42:04</t>
        </is>
      </c>
      <c r="D1456" s="173" t="inlineStr">
        <is>
          <t>3.18 Km</t>
        </is>
      </c>
      <c r="E1456" s="181" t="n">
        <v>32</v>
      </c>
      <c r="F1456" s="182" t="n">
        <v>52</v>
      </c>
      <c r="G1456" s="172" t="inlineStr">
        <is>
          <t>No</t>
        </is>
      </c>
      <c r="H1456" s="170">
        <f>IF(A1456="","",IF(OR(NOT(ISNUMBER(C1456)),C1456=""),"No",IF(AND(HOUR(C1456)&gt;=0,HOUR(C1456)&lt;5),"Yes","No")))</f>
        <v/>
      </c>
      <c r="I1456" s="183">
        <f>IF(OR(B1456="",NOT(ISNUMBER(B1456))),"",INT(B1456))</f>
        <v/>
      </c>
    </row>
    <row r="1457" ht="15" customHeight="1" s="122">
      <c r="A1457" s="179" t="inlineStr">
        <is>
          <t>KBB 105Q</t>
        </is>
      </c>
      <c r="B1457" s="172" t="inlineStr">
        <is>
          <t>25-02-2026 18:57:24</t>
        </is>
      </c>
      <c r="C1457" s="172" t="inlineStr">
        <is>
          <t>25-02-2026 19:16:30</t>
        </is>
      </c>
      <c r="D1457" s="173" t="inlineStr">
        <is>
          <t>17.08 Km</t>
        </is>
      </c>
      <c r="E1457" s="181" t="n">
        <v>52</v>
      </c>
      <c r="F1457" s="182" t="n">
        <v>78</v>
      </c>
      <c r="G1457" s="172" t="inlineStr">
        <is>
          <t>No</t>
        </is>
      </c>
      <c r="H1457" s="170">
        <f>IF(A1457="","",IF(OR(NOT(ISNUMBER(C1457)),C1457=""),"No",IF(AND(HOUR(C1457)&gt;=0,HOUR(C1457)&lt;5),"Yes","No")))</f>
        <v/>
      </c>
      <c r="I1457" s="183">
        <f>IF(OR(B1457="",NOT(ISNUMBER(B1457))),"",INT(B1457))</f>
        <v/>
      </c>
    </row>
    <row r="1458" ht="15" customHeight="1" s="122">
      <c r="A1458" s="179" t="inlineStr">
        <is>
          <t>KBB 105Q</t>
        </is>
      </c>
      <c r="B1458" s="172" t="inlineStr">
        <is>
          <t>25-02-2026 19:33:40</t>
        </is>
      </c>
      <c r="C1458" s="172" t="inlineStr">
        <is>
          <t>25-02-2026 19:47:45</t>
        </is>
      </c>
      <c r="D1458" s="173" t="inlineStr">
        <is>
          <t>11.1 Km</t>
        </is>
      </c>
      <c r="E1458" s="181" t="n">
        <v>46</v>
      </c>
      <c r="F1458" s="182" t="n">
        <v>74</v>
      </c>
      <c r="G1458" s="172" t="inlineStr">
        <is>
          <t>No</t>
        </is>
      </c>
      <c r="H1458" s="170">
        <f>IF(A1458="","",IF(OR(NOT(ISNUMBER(C1458)),C1458=""),"No",IF(AND(HOUR(C1458)&gt;=0,HOUR(C1458)&lt;5),"Yes","No")))</f>
        <v/>
      </c>
      <c r="I1458" s="183">
        <f>IF(OR(B1458="",NOT(ISNUMBER(B1458))),"",INT(B1458))</f>
        <v/>
      </c>
    </row>
    <row r="1459" ht="15" customHeight="1" s="122">
      <c r="A1459" s="179" t="inlineStr">
        <is>
          <t>KBB 105Q</t>
        </is>
      </c>
      <c r="B1459" s="172" t="inlineStr">
        <is>
          <t>25-02-2026 19:53:31</t>
        </is>
      </c>
      <c r="C1459" s="172" t="inlineStr">
        <is>
          <t>25-02-2026 20:52:08</t>
        </is>
      </c>
      <c r="D1459" s="173" t="inlineStr">
        <is>
          <t>43.45 Km</t>
        </is>
      </c>
      <c r="E1459" s="181" t="n">
        <v>49</v>
      </c>
      <c r="F1459" s="182" t="n">
        <v>74</v>
      </c>
      <c r="G1459" s="172" t="inlineStr">
        <is>
          <t>No</t>
        </is>
      </c>
      <c r="H1459" s="170">
        <f>IF(A1459="","",IF(OR(NOT(ISNUMBER(C1459)),C1459=""),"No",IF(AND(HOUR(C1459)&gt;=0,HOUR(C1459)&lt;5),"Yes","No")))</f>
        <v/>
      </c>
      <c r="I1459" s="183">
        <f>IF(OR(B1459="",NOT(ISNUMBER(B1459))),"",INT(B1459))</f>
        <v/>
      </c>
    </row>
    <row r="1460" ht="15" customHeight="1" s="122">
      <c r="A1460" s="179" t="inlineStr">
        <is>
          <t>KBB 105Q</t>
        </is>
      </c>
      <c r="B1460" s="172" t="inlineStr">
        <is>
          <t>25-02-2026 20:55:42</t>
        </is>
      </c>
      <c r="C1460" s="172" t="inlineStr">
        <is>
          <t>25-02-2026 21:00:31</t>
        </is>
      </c>
      <c r="D1460" s="173" t="inlineStr">
        <is>
          <t>1.36 Km</t>
        </is>
      </c>
      <c r="E1460" s="181" t="n">
        <v>18</v>
      </c>
      <c r="F1460" s="182" t="n">
        <v>32</v>
      </c>
      <c r="G1460" s="172" t="inlineStr">
        <is>
          <t>No</t>
        </is>
      </c>
      <c r="H1460" s="170">
        <f>IF(A1460="","",IF(OR(NOT(ISNUMBER(C1460)),C1460=""),"No",IF(AND(HOUR(C1460)&gt;=0,HOUR(C1460)&lt;5),"Yes","No")))</f>
        <v/>
      </c>
      <c r="I1460" s="183">
        <f>IF(OR(B1460="",NOT(ISNUMBER(B1460))),"",INT(B1460))</f>
        <v/>
      </c>
    </row>
    <row r="1461" ht="15" customHeight="1" s="122">
      <c r="A1461" s="179" t="inlineStr">
        <is>
          <t>KBB 105Q</t>
        </is>
      </c>
      <c r="B1461" s="172" t="inlineStr">
        <is>
          <t>25-02-2026 21:02:06</t>
        </is>
      </c>
      <c r="C1461" s="172" t="inlineStr">
        <is>
          <t>25-02-2026 21:17:20</t>
        </is>
      </c>
      <c r="D1461" s="173" t="inlineStr">
        <is>
          <t>4.93 Km</t>
        </is>
      </c>
      <c r="E1461" s="181" t="n">
        <v>19</v>
      </c>
      <c r="F1461" s="182" t="n">
        <v>35</v>
      </c>
      <c r="G1461" s="172" t="inlineStr">
        <is>
          <t>No</t>
        </is>
      </c>
      <c r="H1461" s="170">
        <f>IF(A1461="","",IF(OR(NOT(ISNUMBER(C1461)),C1461=""),"No",IF(AND(HOUR(C1461)&gt;=0,HOUR(C1461)&lt;5),"Yes","No")))</f>
        <v/>
      </c>
      <c r="I1461" s="183">
        <f>IF(OR(B1461="",NOT(ISNUMBER(B1461))),"",INT(B1461))</f>
        <v/>
      </c>
    </row>
    <row r="1462" ht="15" customHeight="1" s="122">
      <c r="A1462" s="179" t="inlineStr">
        <is>
          <t>KBB 105Q</t>
        </is>
      </c>
      <c r="B1462" s="172" t="inlineStr">
        <is>
          <t>25-02-2026 21:18:28</t>
        </is>
      </c>
      <c r="C1462" s="172" t="inlineStr">
        <is>
          <t>25-02-2026 21:20:00</t>
        </is>
      </c>
      <c r="D1462" s="173" t="inlineStr">
        <is>
          <t>0.16 Km</t>
        </is>
      </c>
      <c r="E1462" s="181" t="n">
        <v>9</v>
      </c>
      <c r="F1462" s="182" t="n">
        <v>14</v>
      </c>
      <c r="G1462" s="172" t="inlineStr">
        <is>
          <t>No</t>
        </is>
      </c>
      <c r="H1462" s="170">
        <f>IF(A1462="","",IF(OR(NOT(ISNUMBER(C1462)),C1462=""),"No",IF(AND(HOUR(C1462)&gt;=0,HOUR(C1462)&lt;5),"Yes","No")))</f>
        <v/>
      </c>
      <c r="I1462" s="183">
        <f>IF(OR(B1462="",NOT(ISNUMBER(B1462))),"",INT(B1462))</f>
        <v/>
      </c>
    </row>
    <row r="1463" ht="15" customHeight="1" s="122">
      <c r="A1463" s="179" t="inlineStr">
        <is>
          <t>KBB 105Q</t>
        </is>
      </c>
      <c r="B1463" s="172" t="inlineStr">
        <is>
          <t>25-02-2026 21:22:13</t>
        </is>
      </c>
      <c r="C1463" s="172" t="inlineStr">
        <is>
          <t>25-02-2026 21:22:47</t>
        </is>
      </c>
      <c r="D1463" s="173" t="inlineStr">
        <is>
          <t>0.05 Km</t>
        </is>
      </c>
      <c r="E1463" s="181" t="n">
        <v>7</v>
      </c>
      <c r="F1463" s="182" t="n">
        <v>10</v>
      </c>
      <c r="G1463" s="172" t="inlineStr">
        <is>
          <t>No</t>
        </is>
      </c>
      <c r="H1463" s="170">
        <f>IF(A1463="","",IF(OR(NOT(ISNUMBER(C1463)),C1463=""),"No",IF(AND(HOUR(C1463)&gt;=0,HOUR(C1463)&lt;5),"Yes","No")))</f>
        <v/>
      </c>
      <c r="I1463" s="183">
        <f>IF(OR(B1463="",NOT(ISNUMBER(B1463))),"",INT(B1463))</f>
        <v/>
      </c>
    </row>
    <row r="1464" ht="15" customHeight="1" s="122">
      <c r="A1464" s="179" t="inlineStr">
        <is>
          <t>KBB 105Q</t>
        </is>
      </c>
      <c r="B1464" s="172" t="inlineStr">
        <is>
          <t>26-02-2026 14:22:51</t>
        </is>
      </c>
      <c r="C1464" s="172" t="inlineStr">
        <is>
          <t>26-02-2026 14:41:51</t>
        </is>
      </c>
      <c r="D1464" s="173" t="inlineStr">
        <is>
          <t>5.67 Km</t>
        </is>
      </c>
      <c r="E1464" s="181" t="n">
        <v>17</v>
      </c>
      <c r="F1464" s="182" t="n">
        <v>33</v>
      </c>
      <c r="G1464" s="172" t="inlineStr">
        <is>
          <t>No</t>
        </is>
      </c>
      <c r="H1464" s="170">
        <f>IF(A1464="","",IF(OR(NOT(ISNUMBER(C1464)),C1464=""),"No",IF(AND(HOUR(C1464)&gt;=0,HOUR(C1464)&lt;5),"Yes","No")))</f>
        <v/>
      </c>
      <c r="I1464" s="183">
        <f>IF(OR(B1464="",NOT(ISNUMBER(B1464))),"",INT(B1464))</f>
        <v/>
      </c>
    </row>
    <row r="1465" ht="15" customHeight="1" s="122">
      <c r="A1465" s="179" t="inlineStr">
        <is>
          <t>KBB 105Q</t>
        </is>
      </c>
      <c r="B1465" s="172" t="inlineStr">
        <is>
          <t>26-02-2026 15:08:53</t>
        </is>
      </c>
      <c r="C1465" s="172" t="inlineStr">
        <is>
          <t>26-02-2026 15:12:51</t>
        </is>
      </c>
      <c r="D1465" s="173" t="inlineStr">
        <is>
          <t>1.41 Km</t>
        </is>
      </c>
      <c r="E1465" s="181" t="n">
        <v>18</v>
      </c>
      <c r="F1465" s="182" t="n">
        <v>40</v>
      </c>
      <c r="G1465" s="172" t="inlineStr">
        <is>
          <t>No</t>
        </is>
      </c>
      <c r="H1465" s="170">
        <f>IF(A1465="","",IF(OR(NOT(ISNUMBER(C1465)),C1465=""),"No",IF(AND(HOUR(C1465)&gt;=0,HOUR(C1465)&lt;5),"Yes","No")))</f>
        <v/>
      </c>
      <c r="I1465" s="183">
        <f>IF(OR(B1465="",NOT(ISNUMBER(B1465))),"",INT(B1465))</f>
        <v/>
      </c>
    </row>
    <row r="1466" ht="15" customHeight="1" s="122">
      <c r="A1466" s="179" t="inlineStr">
        <is>
          <t>KBB 105Q</t>
        </is>
      </c>
      <c r="B1466" s="172" t="inlineStr">
        <is>
          <t>26-02-2026 15:44:26</t>
        </is>
      </c>
      <c r="C1466" s="172" t="inlineStr">
        <is>
          <t>26-02-2026 15:48:29</t>
        </is>
      </c>
      <c r="D1466" s="173" t="inlineStr">
        <is>
          <t>1.23 Km</t>
        </is>
      </c>
      <c r="E1466" s="181" t="n">
        <v>22</v>
      </c>
      <c r="F1466" s="182" t="n">
        <v>37</v>
      </c>
      <c r="G1466" s="172" t="inlineStr">
        <is>
          <t>No</t>
        </is>
      </c>
      <c r="H1466" s="170">
        <f>IF(A1466="","",IF(OR(NOT(ISNUMBER(C1466)),C1466=""),"No",IF(AND(HOUR(C1466)&gt;=0,HOUR(C1466)&lt;5),"Yes","No")))</f>
        <v/>
      </c>
      <c r="I1466" s="183">
        <f>IF(OR(B1466="",NOT(ISNUMBER(B1466))),"",INT(B1466))</f>
        <v/>
      </c>
    </row>
    <row r="1467" ht="15" customHeight="1" s="122">
      <c r="A1467" s="179" t="inlineStr">
        <is>
          <t>KBB 105Q</t>
        </is>
      </c>
      <c r="B1467" s="172" t="inlineStr">
        <is>
          <t>26-02-2026 15:52:01</t>
        </is>
      </c>
      <c r="C1467" s="172" t="inlineStr">
        <is>
          <t>26-02-2026 15:55:28</t>
        </is>
      </c>
      <c r="D1467" s="173" t="inlineStr">
        <is>
          <t>1.29 Km</t>
        </is>
      </c>
      <c r="E1467" s="181" t="n">
        <v>21</v>
      </c>
      <c r="F1467" s="182" t="n">
        <v>39</v>
      </c>
      <c r="G1467" s="172" t="inlineStr">
        <is>
          <t>No</t>
        </is>
      </c>
      <c r="H1467" s="170">
        <f>IF(A1467="","",IF(OR(NOT(ISNUMBER(C1467)),C1467=""),"No",IF(AND(HOUR(C1467)&gt;=0,HOUR(C1467)&lt;5),"Yes","No")))</f>
        <v/>
      </c>
      <c r="I1467" s="183">
        <f>IF(OR(B1467="",NOT(ISNUMBER(B1467))),"",INT(B1467))</f>
        <v/>
      </c>
    </row>
    <row r="1468" ht="15" customHeight="1" s="122">
      <c r="A1468" s="179" t="inlineStr">
        <is>
          <t>KBB 105Q</t>
        </is>
      </c>
      <c r="B1468" s="172" t="inlineStr">
        <is>
          <t>26-02-2026 16:32:32</t>
        </is>
      </c>
      <c r="C1468" s="172" t="inlineStr">
        <is>
          <t>26-02-2026 16:37:21</t>
        </is>
      </c>
      <c r="D1468" s="173" t="inlineStr">
        <is>
          <t>1.86 Km</t>
        </is>
      </c>
      <c r="E1468" s="181" t="n">
        <v>21</v>
      </c>
      <c r="F1468" s="182" t="n">
        <v>36</v>
      </c>
      <c r="G1468" s="172" t="inlineStr">
        <is>
          <t>No</t>
        </is>
      </c>
      <c r="H1468" s="170">
        <f>IF(A1468="","",IF(OR(NOT(ISNUMBER(C1468)),C1468=""),"No",IF(AND(HOUR(C1468)&gt;=0,HOUR(C1468)&lt;5),"Yes","No")))</f>
        <v/>
      </c>
      <c r="I1468" s="183">
        <f>IF(OR(B1468="",NOT(ISNUMBER(B1468))),"",INT(B1468))</f>
        <v/>
      </c>
    </row>
    <row r="1469" ht="15" customHeight="1" s="122">
      <c r="A1469" s="179" t="inlineStr">
        <is>
          <t>KBB 105Q</t>
        </is>
      </c>
      <c r="B1469" s="172" t="inlineStr">
        <is>
          <t>26-02-2026 17:21:58</t>
        </is>
      </c>
      <c r="C1469" s="172" t="inlineStr">
        <is>
          <t>26-02-2026 17:23:22</t>
        </is>
      </c>
      <c r="D1469" s="173" t="inlineStr">
        <is>
          <t>0.48 Km</t>
        </is>
      </c>
      <c r="E1469" s="181" t="n">
        <v>15</v>
      </c>
      <c r="F1469" s="182" t="n">
        <v>27</v>
      </c>
      <c r="G1469" s="172" t="inlineStr">
        <is>
          <t>No</t>
        </is>
      </c>
      <c r="H1469" s="170">
        <f>IF(A1469="","",IF(OR(NOT(ISNUMBER(C1469)),C1469=""),"No",IF(AND(HOUR(C1469)&gt;=0,HOUR(C1469)&lt;5),"Yes","No")))</f>
        <v/>
      </c>
      <c r="I1469" s="183">
        <f>IF(OR(B1469="",NOT(ISNUMBER(B1469))),"",INT(B1469))</f>
        <v/>
      </c>
    </row>
    <row r="1470" ht="15" customHeight="1" s="122">
      <c r="A1470" s="179" t="inlineStr">
        <is>
          <t>KBB 105Q</t>
        </is>
      </c>
      <c r="B1470" s="172" t="inlineStr">
        <is>
          <t>26-02-2026 18:55:51</t>
        </is>
      </c>
      <c r="C1470" s="172" t="inlineStr">
        <is>
          <t>26-02-2026 19:11:32</t>
        </is>
      </c>
      <c r="D1470" s="173" t="inlineStr">
        <is>
          <t>5.37 Km</t>
        </is>
      </c>
      <c r="E1470" s="181" t="n">
        <v>19</v>
      </c>
      <c r="F1470" s="182" t="n">
        <v>42</v>
      </c>
      <c r="G1470" s="172" t="inlineStr">
        <is>
          <t>No</t>
        </is>
      </c>
      <c r="H1470" s="170">
        <f>IF(A1470="","",IF(OR(NOT(ISNUMBER(C1470)),C1470=""),"No",IF(AND(HOUR(C1470)&gt;=0,HOUR(C1470)&lt;5),"Yes","No")))</f>
        <v/>
      </c>
      <c r="I1470" s="183">
        <f>IF(OR(B1470="",NOT(ISNUMBER(B1470))),"",INT(B1470))</f>
        <v/>
      </c>
    </row>
    <row r="1471" ht="15" customHeight="1" s="122">
      <c r="A1471" s="179" t="inlineStr">
        <is>
          <t>KBB 105Q</t>
        </is>
      </c>
      <c r="B1471" s="172" t="inlineStr">
        <is>
          <t>26-02-2026 19:15:42</t>
        </is>
      </c>
      <c r="C1471" s="172" t="inlineStr">
        <is>
          <t>26-02-2026 19:19:08</t>
        </is>
      </c>
      <c r="D1471" s="173" t="inlineStr">
        <is>
          <t>0.32 Km</t>
        </is>
      </c>
      <c r="E1471" s="181" t="n">
        <v>8</v>
      </c>
      <c r="F1471" s="182" t="n">
        <v>11</v>
      </c>
      <c r="G1471" s="172" t="inlineStr">
        <is>
          <t>No</t>
        </is>
      </c>
      <c r="H1471" s="170">
        <f>IF(A1471="","",IF(OR(NOT(ISNUMBER(C1471)),C1471=""),"No",IF(AND(HOUR(C1471)&gt;=0,HOUR(C1471)&lt;5),"Yes","No")))</f>
        <v/>
      </c>
      <c r="I1471" s="183">
        <f>IF(OR(B1471="",NOT(ISNUMBER(B1471))),"",INT(B1471))</f>
        <v/>
      </c>
    </row>
    <row r="1472" ht="15" customHeight="1" s="122">
      <c r="A1472" s="179" t="inlineStr">
        <is>
          <t>KBB 105Q</t>
        </is>
      </c>
      <c r="B1472" s="172" t="inlineStr">
        <is>
          <t>27-02-2026 11:11:36</t>
        </is>
      </c>
      <c r="C1472" s="172" t="inlineStr">
        <is>
          <t>27-02-2026 11:12:37</t>
        </is>
      </c>
      <c r="D1472" s="173" t="inlineStr">
        <is>
          <t>0.02 Km</t>
        </is>
      </c>
      <c r="E1472" s="181" t="n">
        <v>6</v>
      </c>
      <c r="F1472" s="182" t="n">
        <v>6</v>
      </c>
      <c r="G1472" s="172" t="inlineStr">
        <is>
          <t>No</t>
        </is>
      </c>
      <c r="H1472" s="170">
        <f>IF(A1472="","",IF(OR(NOT(ISNUMBER(C1472)),C1472=""),"No",IF(AND(HOUR(C1472)&gt;=0,HOUR(C1472)&lt;5),"Yes","No")))</f>
        <v/>
      </c>
      <c r="I1472" s="183">
        <f>IF(OR(B1472="",NOT(ISNUMBER(B1472))),"",INT(B1472))</f>
        <v/>
      </c>
    </row>
    <row r="1473" ht="15" customHeight="1" s="122">
      <c r="A1473" s="179" t="inlineStr">
        <is>
          <t>KBB 105Q</t>
        </is>
      </c>
      <c r="B1473" s="172" t="inlineStr">
        <is>
          <t>27-02-2026 11:14:04</t>
        </is>
      </c>
      <c r="C1473" s="172" t="inlineStr">
        <is>
          <t>27-02-2026 11:16:26</t>
        </is>
      </c>
      <c r="D1473" s="173" t="inlineStr">
        <is>
          <t>0.33 Km</t>
        </is>
      </c>
      <c r="E1473" s="181" t="n">
        <v>9</v>
      </c>
      <c r="F1473" s="182" t="n">
        <v>13</v>
      </c>
      <c r="G1473" s="172" t="inlineStr">
        <is>
          <t>No</t>
        </is>
      </c>
      <c r="H1473" s="170">
        <f>IF(A1473="","",IF(OR(NOT(ISNUMBER(C1473)),C1473=""),"No",IF(AND(HOUR(C1473)&gt;=0,HOUR(C1473)&lt;5),"Yes","No")))</f>
        <v/>
      </c>
      <c r="I1473" s="183">
        <f>IF(OR(B1473="",NOT(ISNUMBER(B1473))),"",INT(B1473))</f>
        <v/>
      </c>
    </row>
    <row r="1474" ht="15" customHeight="1" s="122">
      <c r="A1474" s="179" t="inlineStr">
        <is>
          <t>KBB 105Q</t>
        </is>
      </c>
      <c r="B1474" s="172" t="inlineStr">
        <is>
          <t>27-02-2026 11:28:11</t>
        </is>
      </c>
      <c r="C1474" s="172" t="inlineStr">
        <is>
          <t>27-02-2026 11:41:02</t>
        </is>
      </c>
      <c r="D1474" s="173" t="inlineStr">
        <is>
          <t>5.66 Km</t>
        </is>
      </c>
      <c r="E1474" s="181" t="n">
        <v>23</v>
      </c>
      <c r="F1474" s="182" t="n">
        <v>45</v>
      </c>
      <c r="G1474" s="172" t="inlineStr">
        <is>
          <t>No</t>
        </is>
      </c>
      <c r="H1474" s="170">
        <f>IF(A1474="","",IF(OR(NOT(ISNUMBER(C1474)),C1474=""),"No",IF(AND(HOUR(C1474)&gt;=0,HOUR(C1474)&lt;5),"Yes","No")))</f>
        <v/>
      </c>
      <c r="I1474" s="183">
        <f>IF(OR(B1474="",NOT(ISNUMBER(B1474))),"",INT(B1474))</f>
        <v/>
      </c>
    </row>
    <row r="1475" ht="15" customHeight="1" s="122">
      <c r="A1475" s="179" t="inlineStr">
        <is>
          <t>KBB 105Q</t>
        </is>
      </c>
      <c r="B1475" s="172" t="inlineStr">
        <is>
          <t>27-02-2026 11:42:09</t>
        </is>
      </c>
      <c r="C1475" s="172" t="inlineStr">
        <is>
          <t>27-02-2026 11:45:57</t>
        </is>
      </c>
      <c r="D1475" s="173" t="inlineStr">
        <is>
          <t>1.83 Km</t>
        </is>
      </c>
      <c r="E1475" s="181" t="n">
        <v>27</v>
      </c>
      <c r="F1475" s="182" t="n">
        <v>60</v>
      </c>
      <c r="G1475" s="172" t="inlineStr">
        <is>
          <t>No</t>
        </is>
      </c>
      <c r="H1475" s="170">
        <f>IF(A1475="","",IF(OR(NOT(ISNUMBER(C1475)),C1475=""),"No",IF(AND(HOUR(C1475)&gt;=0,HOUR(C1475)&lt;5),"Yes","No")))</f>
        <v/>
      </c>
      <c r="I1475" s="183">
        <f>IF(OR(B1475="",NOT(ISNUMBER(B1475))),"",INT(B1475))</f>
        <v/>
      </c>
    </row>
    <row r="1476" ht="15" customHeight="1" s="122">
      <c r="A1476" s="179" t="inlineStr">
        <is>
          <t>KBB 105Q</t>
        </is>
      </c>
      <c r="B1476" s="172" t="inlineStr">
        <is>
          <t>27-02-2026 11:52:37</t>
        </is>
      </c>
      <c r="C1476" s="172" t="inlineStr">
        <is>
          <t>27-02-2026 12:22:03</t>
        </is>
      </c>
      <c r="D1476" s="173" t="inlineStr">
        <is>
          <t>26.5 Km</t>
        </is>
      </c>
      <c r="E1476" s="181" t="n">
        <v>56</v>
      </c>
      <c r="F1476" s="182" t="n">
        <v>72</v>
      </c>
      <c r="G1476" s="172" t="inlineStr">
        <is>
          <t>No</t>
        </is>
      </c>
      <c r="H1476" s="170">
        <f>IF(A1476="","",IF(OR(NOT(ISNUMBER(C1476)),C1476=""),"No",IF(AND(HOUR(C1476)&gt;=0,HOUR(C1476)&lt;5),"Yes","No")))</f>
        <v/>
      </c>
      <c r="I1476" s="183">
        <f>IF(OR(B1476="",NOT(ISNUMBER(B1476))),"",INT(B1476))</f>
        <v/>
      </c>
    </row>
    <row r="1477" ht="15" customHeight="1" s="122">
      <c r="A1477" s="179" t="inlineStr">
        <is>
          <t>KBB 105Q</t>
        </is>
      </c>
      <c r="B1477" s="172" t="inlineStr">
        <is>
          <t>27-02-2026 12:22:12</t>
        </is>
      </c>
      <c r="C1477" s="172" t="inlineStr">
        <is>
          <t>27-02-2026 12:43:32</t>
        </is>
      </c>
      <c r="D1477" s="173" t="inlineStr">
        <is>
          <t>16.73 Km</t>
        </is>
      </c>
      <c r="E1477" s="181" t="n">
        <v>43</v>
      </c>
      <c r="F1477" s="182" t="n">
        <v>70</v>
      </c>
      <c r="G1477" s="172" t="inlineStr">
        <is>
          <t>No</t>
        </is>
      </c>
      <c r="H1477" s="170">
        <f>IF(A1477="","",IF(OR(NOT(ISNUMBER(C1477)),C1477=""),"No",IF(AND(HOUR(C1477)&gt;=0,HOUR(C1477)&lt;5),"Yes","No")))</f>
        <v/>
      </c>
      <c r="I1477" s="183">
        <f>IF(OR(B1477="",NOT(ISNUMBER(B1477))),"",INT(B1477))</f>
        <v/>
      </c>
    </row>
    <row r="1478" ht="15" customHeight="1" s="122">
      <c r="A1478" s="179" t="inlineStr">
        <is>
          <t>KBB 105Q</t>
        </is>
      </c>
      <c r="B1478" s="172" t="inlineStr">
        <is>
          <t>27-02-2026 12:44:44</t>
        </is>
      </c>
      <c r="C1478" s="172" t="inlineStr">
        <is>
          <t>27-02-2026 13:02:53</t>
        </is>
      </c>
      <c r="D1478" s="173" t="inlineStr">
        <is>
          <t>12.54 Km</t>
        </is>
      </c>
      <c r="E1478" s="181" t="n">
        <v>42</v>
      </c>
      <c r="F1478" s="182" t="n">
        <v>71</v>
      </c>
      <c r="G1478" s="172" t="inlineStr">
        <is>
          <t>No</t>
        </is>
      </c>
      <c r="H1478" s="170">
        <f>IF(A1478="","",IF(OR(NOT(ISNUMBER(C1478)),C1478=""),"No",IF(AND(HOUR(C1478)&gt;=0,HOUR(C1478)&lt;5),"Yes","No")))</f>
        <v/>
      </c>
      <c r="I1478" s="183">
        <f>IF(OR(B1478="",NOT(ISNUMBER(B1478))),"",INT(B1478))</f>
        <v/>
      </c>
    </row>
    <row r="1479" ht="15" customHeight="1" s="122">
      <c r="A1479" s="179" t="inlineStr">
        <is>
          <t>KBB 105Q</t>
        </is>
      </c>
      <c r="B1479" s="172" t="inlineStr">
        <is>
          <t>27-02-2026 13:06:32</t>
        </is>
      </c>
      <c r="C1479" s="172" t="inlineStr">
        <is>
          <t>27-02-2026 13:10:56</t>
        </is>
      </c>
      <c r="D1479" s="173" t="inlineStr">
        <is>
          <t>0.72 Km</t>
        </is>
      </c>
      <c r="E1479" s="181" t="n">
        <v>14</v>
      </c>
      <c r="F1479" s="182" t="n">
        <v>23</v>
      </c>
      <c r="G1479" s="172" t="inlineStr">
        <is>
          <t>No</t>
        </is>
      </c>
      <c r="H1479" s="170">
        <f>IF(A1479="","",IF(OR(NOT(ISNUMBER(C1479)),C1479=""),"No",IF(AND(HOUR(C1479)&gt;=0,HOUR(C1479)&lt;5),"Yes","No")))</f>
        <v/>
      </c>
      <c r="I1479" s="183">
        <f>IF(OR(B1479="",NOT(ISNUMBER(B1479))),"",INT(B1479))</f>
        <v/>
      </c>
    </row>
    <row r="1480" ht="15" customHeight="1" s="122">
      <c r="A1480" s="179" t="inlineStr">
        <is>
          <t>KBB 105Q</t>
        </is>
      </c>
      <c r="B1480" s="172" t="inlineStr">
        <is>
          <t>27-02-2026 13:13:37</t>
        </is>
      </c>
      <c r="C1480" s="172" t="inlineStr">
        <is>
          <t>27-02-2026 13:18:17</t>
        </is>
      </c>
      <c r="D1480" s="173" t="inlineStr">
        <is>
          <t>0.99 Km</t>
        </is>
      </c>
      <c r="E1480" s="181" t="n">
        <v>14</v>
      </c>
      <c r="F1480" s="182" t="n">
        <v>28</v>
      </c>
      <c r="G1480" s="172" t="inlineStr">
        <is>
          <t>No</t>
        </is>
      </c>
      <c r="H1480" s="170">
        <f>IF(A1480="","",IF(OR(NOT(ISNUMBER(C1480)),C1480=""),"No",IF(AND(HOUR(C1480)&gt;=0,HOUR(C1480)&lt;5),"Yes","No")))</f>
        <v/>
      </c>
      <c r="I1480" s="183">
        <f>IF(OR(B1480="",NOT(ISNUMBER(B1480))),"",INT(B1480))</f>
        <v/>
      </c>
    </row>
    <row r="1481" ht="15" customHeight="1" s="122">
      <c r="A1481" s="179" t="inlineStr">
        <is>
          <t>KBB 105Q</t>
        </is>
      </c>
      <c r="B1481" s="172" t="inlineStr">
        <is>
          <t>27-02-2026 15:45:53</t>
        </is>
      </c>
      <c r="C1481" s="172" t="inlineStr">
        <is>
          <t>27-02-2026 15:46:56</t>
        </is>
      </c>
      <c r="D1481" s="173" t="inlineStr">
        <is>
          <t>0.03 Km</t>
        </is>
      </c>
      <c r="E1481" s="181" t="n">
        <v>6</v>
      </c>
      <c r="F1481" s="182" t="n">
        <v>6</v>
      </c>
      <c r="G1481" s="172" t="inlineStr">
        <is>
          <t>No</t>
        </is>
      </c>
      <c r="H1481" s="170">
        <f>IF(A1481="","",IF(OR(NOT(ISNUMBER(C1481)),C1481=""),"No",IF(AND(HOUR(C1481)&gt;=0,HOUR(C1481)&lt;5),"Yes","No")))</f>
        <v/>
      </c>
      <c r="I1481" s="183">
        <f>IF(OR(B1481="",NOT(ISNUMBER(B1481))),"",INT(B1481))</f>
        <v/>
      </c>
    </row>
    <row r="1482" ht="15" customHeight="1" s="122">
      <c r="A1482" s="179" t="inlineStr">
        <is>
          <t>KBB 105Q</t>
        </is>
      </c>
      <c r="B1482" s="172" t="inlineStr">
        <is>
          <t>27-02-2026 15:47:10</t>
        </is>
      </c>
      <c r="C1482" s="172" t="inlineStr">
        <is>
          <t>27-02-2026 16:27:14</t>
        </is>
      </c>
      <c r="D1482" s="173" t="inlineStr">
        <is>
          <t>21.02 Km</t>
        </is>
      </c>
      <c r="E1482" s="181" t="n">
        <v>34</v>
      </c>
      <c r="F1482" s="182" t="n">
        <v>58</v>
      </c>
      <c r="G1482" s="172" t="inlineStr">
        <is>
          <t>No</t>
        </is>
      </c>
      <c r="H1482" s="170">
        <f>IF(A1482="","",IF(OR(NOT(ISNUMBER(C1482)),C1482=""),"No",IF(AND(HOUR(C1482)&gt;=0,HOUR(C1482)&lt;5),"Yes","No")))</f>
        <v/>
      </c>
      <c r="I1482" s="183">
        <f>IF(OR(B1482="",NOT(ISNUMBER(B1482))),"",INT(B1482))</f>
        <v/>
      </c>
    </row>
    <row r="1483" ht="15" customHeight="1" s="122">
      <c r="A1483" s="179" t="inlineStr">
        <is>
          <t>KBB 105Q</t>
        </is>
      </c>
      <c r="B1483" s="172" t="inlineStr">
        <is>
          <t>27-02-2026 16:39:57</t>
        </is>
      </c>
      <c r="C1483" s="172" t="inlineStr">
        <is>
          <t>27-02-2026 17:31:20</t>
        </is>
      </c>
      <c r="D1483" s="173" t="inlineStr">
        <is>
          <t>40.36 Km</t>
        </is>
      </c>
      <c r="E1483" s="181" t="n">
        <v>48</v>
      </c>
      <c r="F1483" s="182" t="n">
        <v>73</v>
      </c>
      <c r="G1483" s="172" t="inlineStr">
        <is>
          <t>No</t>
        </is>
      </c>
      <c r="H1483" s="170">
        <f>IF(A1483="","",IF(OR(NOT(ISNUMBER(C1483)),C1483=""),"No",IF(AND(HOUR(C1483)&gt;=0,HOUR(C1483)&lt;5),"Yes","No")))</f>
        <v/>
      </c>
      <c r="I1483" s="183">
        <f>IF(OR(B1483="",NOT(ISNUMBER(B1483))),"",INT(B1483))</f>
        <v/>
      </c>
    </row>
    <row r="1484" ht="15" customHeight="1" s="122">
      <c r="A1484" s="179" t="inlineStr">
        <is>
          <t>KBB 105Q</t>
        </is>
      </c>
      <c r="B1484" s="172" t="inlineStr">
        <is>
          <t>27-02-2026 20:04:51</t>
        </is>
      </c>
      <c r="C1484" s="172" t="inlineStr">
        <is>
          <t>27-02-2026 20:18:47</t>
        </is>
      </c>
      <c r="D1484" s="173" t="inlineStr">
        <is>
          <t>3.09 Km</t>
        </is>
      </c>
      <c r="E1484" s="181" t="n">
        <v>17</v>
      </c>
      <c r="F1484" s="182" t="n">
        <v>39</v>
      </c>
      <c r="G1484" s="172" t="inlineStr">
        <is>
          <t>No</t>
        </is>
      </c>
      <c r="H1484" s="170">
        <f>IF(A1484="","",IF(OR(NOT(ISNUMBER(C1484)),C1484=""),"No",IF(AND(HOUR(C1484)&gt;=0,HOUR(C1484)&lt;5),"Yes","No")))</f>
        <v/>
      </c>
      <c r="I1484" s="183">
        <f>IF(OR(B1484="",NOT(ISNUMBER(B1484))),"",INT(B1484))</f>
        <v/>
      </c>
    </row>
    <row r="1485" ht="15" customHeight="1" s="122">
      <c r="A1485" s="179" t="inlineStr">
        <is>
          <t>KBB 106Q</t>
        </is>
      </c>
      <c r="B1485" s="180" t="n">
        <v>46024.39541666667</v>
      </c>
      <c r="C1485" s="180" t="n">
        <v>46024.39751157408</v>
      </c>
      <c r="D1485" s="173" t="inlineStr">
        <is>
          <t>1.59 Km</t>
        </is>
      </c>
      <c r="E1485" s="181" t="n">
        <v>20</v>
      </c>
      <c r="F1485" s="182" t="n">
        <v>30</v>
      </c>
      <c r="G1485" s="172" t="inlineStr">
        <is>
          <t>No</t>
        </is>
      </c>
      <c r="H1485" s="170">
        <f>IF(A1485="","",IF(OR(NOT(ISNUMBER(C1485)),C1485=""),"No",IF(AND(HOUR(C1485)&gt;=0,HOUR(C1485)&lt;5),"Yes","No")))</f>
        <v/>
      </c>
      <c r="I1485" s="183">
        <f>IF(OR(B1485="",NOT(ISNUMBER(B1485))),"",INT(B1485))</f>
        <v/>
      </c>
    </row>
    <row r="1486" ht="15" customHeight="1" s="122">
      <c r="A1486" s="179" t="inlineStr">
        <is>
          <t>KBB 106Q</t>
        </is>
      </c>
      <c r="B1486" s="180" t="n">
        <v>46024.56446759259</v>
      </c>
      <c r="C1486" s="180" t="n">
        <v>46024.5665625</v>
      </c>
      <c r="D1486" s="173" t="inlineStr">
        <is>
          <t>1.4 Km</t>
        </is>
      </c>
      <c r="E1486" s="181" t="n">
        <v>39</v>
      </c>
      <c r="F1486" s="182" t="n">
        <v>48</v>
      </c>
      <c r="G1486" s="172" t="inlineStr">
        <is>
          <t>No</t>
        </is>
      </c>
      <c r="H1486" s="170">
        <f>IF(A1486="","",IF(OR(NOT(ISNUMBER(C1486)),C1486=""),"No",IF(AND(HOUR(C1486)&gt;=0,HOUR(C1486)&lt;5),"Yes","No")))</f>
        <v/>
      </c>
      <c r="I1486" s="183">
        <f>IF(OR(B1486="",NOT(ISNUMBER(B1486))),"",INT(B1486))</f>
        <v/>
      </c>
    </row>
    <row r="1487" ht="15" customHeight="1" s="122">
      <c r="A1487" s="179" t="inlineStr">
        <is>
          <t>KBB 106Q</t>
        </is>
      </c>
      <c r="B1487" s="180" t="n">
        <v>46024.61</v>
      </c>
      <c r="C1487" s="180" t="n">
        <v>46024.653125</v>
      </c>
      <c r="D1487" s="173" t="inlineStr">
        <is>
          <t>42.93 Km</t>
        </is>
      </c>
      <c r="E1487" s="181" t="n">
        <v>45</v>
      </c>
      <c r="F1487" s="182" t="n">
        <v>75</v>
      </c>
      <c r="G1487" s="172" t="inlineStr">
        <is>
          <t>No</t>
        </is>
      </c>
      <c r="H1487" s="170">
        <f>IF(A1487="","",IF(OR(NOT(ISNUMBER(C1487)),C1487=""),"No",IF(AND(HOUR(C1487)&gt;=0,HOUR(C1487)&lt;5),"Yes","No")))</f>
        <v/>
      </c>
      <c r="I1487" s="183">
        <f>IF(OR(B1487="",NOT(ISNUMBER(B1487))),"",INT(B1487))</f>
        <v/>
      </c>
    </row>
    <row r="1488" ht="15" customHeight="1" s="122">
      <c r="A1488" s="179" t="inlineStr">
        <is>
          <t>KBB 106Q</t>
        </is>
      </c>
      <c r="B1488" s="180" t="n">
        <v>46024.65805555556</v>
      </c>
      <c r="C1488" s="180" t="n">
        <v>46024.66292824074</v>
      </c>
      <c r="D1488" s="173" t="inlineStr">
        <is>
          <t>3.4 Km</t>
        </is>
      </c>
      <c r="E1488" s="181" t="n">
        <v>25</v>
      </c>
      <c r="F1488" s="182" t="n">
        <v>38</v>
      </c>
      <c r="G1488" s="172" t="inlineStr">
        <is>
          <t>No</t>
        </is>
      </c>
      <c r="H1488" s="170">
        <f>IF(A1488="","",IF(OR(NOT(ISNUMBER(C1488)),C1488=""),"No",IF(AND(HOUR(C1488)&gt;=0,HOUR(C1488)&lt;5),"Yes","No")))</f>
        <v/>
      </c>
      <c r="I1488" s="183">
        <f>IF(OR(B1488="",NOT(ISNUMBER(B1488))),"",INT(B1488))</f>
        <v/>
      </c>
    </row>
    <row r="1489" ht="15" customHeight="1" s="122">
      <c r="A1489" s="179" t="inlineStr">
        <is>
          <t>KBB 106Q</t>
        </is>
      </c>
      <c r="B1489" s="180" t="n">
        <v>46024.68197916666</v>
      </c>
      <c r="C1489" s="180" t="n">
        <v>46024.70284722222</v>
      </c>
      <c r="D1489" s="173" t="inlineStr">
        <is>
          <t>21.2 Km</t>
        </is>
      </c>
      <c r="E1489" s="181" t="n">
        <v>46</v>
      </c>
      <c r="F1489" s="182" t="n">
        <v>68</v>
      </c>
      <c r="G1489" s="172" t="inlineStr">
        <is>
          <t>No</t>
        </is>
      </c>
      <c r="H1489" s="170">
        <f>IF(A1489="","",IF(OR(NOT(ISNUMBER(C1489)),C1489=""),"No",IF(AND(HOUR(C1489)&gt;=0,HOUR(C1489)&lt;5),"Yes","No")))</f>
        <v/>
      </c>
      <c r="I1489" s="183">
        <f>IF(OR(B1489="",NOT(ISNUMBER(B1489))),"",INT(B1489))</f>
        <v/>
      </c>
    </row>
    <row r="1490" ht="15" customHeight="1" s="122">
      <c r="A1490" s="179" t="inlineStr">
        <is>
          <t>KBB 106Q</t>
        </is>
      </c>
      <c r="B1490" s="180" t="n">
        <v>46024.70959490741</v>
      </c>
      <c r="C1490" s="180" t="n">
        <v>46024.71027777778</v>
      </c>
      <c r="D1490" s="173" t="inlineStr">
        <is>
          <t>0.01 Km</t>
        </is>
      </c>
      <c r="E1490" s="181" t="n">
        <v>9</v>
      </c>
      <c r="F1490" s="182" t="n">
        <v>9</v>
      </c>
      <c r="G1490" s="172" t="inlineStr">
        <is>
          <t>No</t>
        </is>
      </c>
      <c r="H1490" s="170">
        <f>IF(A1490="","",IF(OR(NOT(ISNUMBER(C1490)),C1490=""),"No",IF(AND(HOUR(C1490)&gt;=0,HOUR(C1490)&lt;5),"Yes","No")))</f>
        <v/>
      </c>
      <c r="I1490" s="183">
        <f>IF(OR(B1490="",NOT(ISNUMBER(B1490))),"",INT(B1490))</f>
        <v/>
      </c>
    </row>
    <row r="1491" ht="15" customHeight="1" s="122">
      <c r="A1491" s="179" t="inlineStr">
        <is>
          <t>KBB 106Q</t>
        </is>
      </c>
      <c r="B1491" s="180" t="n">
        <v>46024.71523148148</v>
      </c>
      <c r="C1491" s="180" t="n">
        <v>46024.72358796297</v>
      </c>
      <c r="D1491" s="173" t="inlineStr">
        <is>
          <t>15.31 Km</t>
        </is>
      </c>
      <c r="E1491" s="181" t="n">
        <v>58</v>
      </c>
      <c r="F1491" s="182" t="n">
        <v>73</v>
      </c>
      <c r="G1491" s="172" t="inlineStr">
        <is>
          <t>No</t>
        </is>
      </c>
      <c r="H1491" s="170">
        <f>IF(A1491="","",IF(OR(NOT(ISNUMBER(C1491)),C1491=""),"No",IF(AND(HOUR(C1491)&gt;=0,HOUR(C1491)&lt;5),"Yes","No")))</f>
        <v/>
      </c>
      <c r="I1491" s="183">
        <f>IF(OR(B1491="",NOT(ISNUMBER(B1491))),"",INT(B1491))</f>
        <v/>
      </c>
    </row>
    <row r="1492" ht="15" customHeight="1" s="122">
      <c r="A1492" s="179" t="inlineStr">
        <is>
          <t>KBB 106Q</t>
        </is>
      </c>
      <c r="B1492" s="180" t="n">
        <v>46024.73333333333</v>
      </c>
      <c r="C1492" s="180" t="n">
        <v>46024.73541666667</v>
      </c>
      <c r="D1492" s="173" t="inlineStr">
        <is>
          <t>1.98 Km</t>
        </is>
      </c>
      <c r="E1492" s="181" t="n">
        <v>28</v>
      </c>
      <c r="F1492" s="182" t="n">
        <v>47</v>
      </c>
      <c r="G1492" s="172" t="inlineStr">
        <is>
          <t>No</t>
        </is>
      </c>
      <c r="H1492" s="170">
        <f>IF(A1492="","",IF(OR(NOT(ISNUMBER(C1492)),C1492=""),"No",IF(AND(HOUR(C1492)&gt;=0,HOUR(C1492)&lt;5),"Yes","No")))</f>
        <v/>
      </c>
      <c r="I1492" s="183">
        <f>IF(OR(B1492="",NOT(ISNUMBER(B1492))),"",INT(B1492))</f>
        <v/>
      </c>
    </row>
    <row r="1493" ht="15" customHeight="1" s="122">
      <c r="A1493" s="179" t="inlineStr">
        <is>
          <t>KBB 106Q</t>
        </is>
      </c>
      <c r="B1493" s="180" t="n">
        <v>46055.31232638889</v>
      </c>
      <c r="C1493" s="180" t="n">
        <v>46055.31510416666</v>
      </c>
      <c r="D1493" s="173" t="inlineStr">
        <is>
          <t>1.7 Km</t>
        </is>
      </c>
      <c r="E1493" s="181" t="n">
        <v>27</v>
      </c>
      <c r="F1493" s="182" t="n">
        <v>42</v>
      </c>
      <c r="G1493" s="172" t="inlineStr">
        <is>
          <t>No</t>
        </is>
      </c>
      <c r="H1493" s="170">
        <f>IF(A1493="","",IF(OR(NOT(ISNUMBER(C1493)),C1493=""),"No",IF(AND(HOUR(C1493)&gt;=0,HOUR(C1493)&lt;5),"Yes","No")))</f>
        <v/>
      </c>
      <c r="I1493" s="183">
        <f>IF(OR(B1493="",NOT(ISNUMBER(B1493))),"",INT(B1493))</f>
        <v/>
      </c>
    </row>
    <row r="1494" ht="15" customHeight="1" s="122">
      <c r="A1494" s="179" t="inlineStr">
        <is>
          <t>KBB 106Q</t>
        </is>
      </c>
      <c r="B1494" s="180" t="n">
        <v>46055.31581018519</v>
      </c>
      <c r="C1494" s="180" t="n">
        <v>46055.3171875</v>
      </c>
      <c r="D1494" s="173" t="inlineStr">
        <is>
          <t>0.52 Km</t>
        </is>
      </c>
      <c r="E1494" s="181" t="n">
        <v>34</v>
      </c>
      <c r="F1494" s="182" t="n">
        <v>58</v>
      </c>
      <c r="G1494" s="172" t="inlineStr">
        <is>
          <t>No</t>
        </is>
      </c>
      <c r="H1494" s="170">
        <f>IF(A1494="","",IF(OR(NOT(ISNUMBER(C1494)),C1494=""),"No",IF(AND(HOUR(C1494)&gt;=0,HOUR(C1494)&lt;5),"Yes","No")))</f>
        <v/>
      </c>
      <c r="I1494" s="183">
        <f>IF(OR(B1494="",NOT(ISNUMBER(B1494))),"",INT(B1494))</f>
        <v/>
      </c>
    </row>
    <row r="1495" ht="15" customHeight="1" s="122">
      <c r="A1495" s="179" t="inlineStr">
        <is>
          <t>KBB 106Q</t>
        </is>
      </c>
      <c r="B1495" s="180" t="n">
        <v>46055.79392361111</v>
      </c>
      <c r="C1495" s="180" t="n">
        <v>46055.79601851852</v>
      </c>
      <c r="D1495" s="173" t="inlineStr">
        <is>
          <t>0.66 Km</t>
        </is>
      </c>
      <c r="E1495" s="181" t="n">
        <v>11</v>
      </c>
      <c r="F1495" s="182" t="n">
        <v>24</v>
      </c>
      <c r="G1495" s="172" t="inlineStr">
        <is>
          <t>No</t>
        </is>
      </c>
      <c r="H1495" s="170">
        <f>IF(A1495="","",IF(OR(NOT(ISNUMBER(C1495)),C1495=""),"No",IF(AND(HOUR(C1495)&gt;=0,HOUR(C1495)&lt;5),"Yes","No")))</f>
        <v/>
      </c>
      <c r="I1495" s="183">
        <f>IF(OR(B1495="",NOT(ISNUMBER(B1495))),"",INT(B1495))</f>
        <v/>
      </c>
    </row>
    <row r="1496" ht="15" customHeight="1" s="122">
      <c r="A1496" s="179" t="inlineStr">
        <is>
          <t>KBB 106Q</t>
        </is>
      </c>
      <c r="B1496" s="180" t="n">
        <v>46083.26232638889</v>
      </c>
      <c r="C1496" s="180" t="n">
        <v>46083.28946759259</v>
      </c>
      <c r="D1496" s="173" t="inlineStr">
        <is>
          <t>33.41 Km</t>
        </is>
      </c>
      <c r="E1496" s="181" t="n">
        <v>55</v>
      </c>
      <c r="F1496" s="182" t="n">
        <v>77</v>
      </c>
      <c r="G1496" s="172" t="inlineStr">
        <is>
          <t>No</t>
        </is>
      </c>
      <c r="H1496" s="170">
        <f>IF(A1496="","",IF(OR(NOT(ISNUMBER(C1496)),C1496=""),"No",IF(AND(HOUR(C1496)&gt;=0,HOUR(C1496)&lt;5),"Yes","No")))</f>
        <v/>
      </c>
      <c r="I1496" s="183">
        <f>IF(OR(B1496="",NOT(ISNUMBER(B1496))),"",INT(B1496))</f>
        <v/>
      </c>
    </row>
    <row r="1497" ht="15" customHeight="1" s="122">
      <c r="A1497" s="179" t="inlineStr">
        <is>
          <t>KBB 106Q</t>
        </is>
      </c>
      <c r="B1497" s="180" t="n">
        <v>46083.29435185185</v>
      </c>
      <c r="C1497" s="180" t="n">
        <v>46083.32148148148</v>
      </c>
      <c r="D1497" s="173" t="inlineStr">
        <is>
          <t>36.34 Km</t>
        </is>
      </c>
      <c r="E1497" s="181" t="n">
        <v>49</v>
      </c>
      <c r="F1497" s="182" t="n">
        <v>76</v>
      </c>
      <c r="G1497" s="172" t="inlineStr">
        <is>
          <t>No</t>
        </is>
      </c>
      <c r="H1497" s="170">
        <f>IF(A1497="","",IF(OR(NOT(ISNUMBER(C1497)),C1497=""),"No",IF(AND(HOUR(C1497)&gt;=0,HOUR(C1497)&lt;5),"Yes","No")))</f>
        <v/>
      </c>
      <c r="I1497" s="183">
        <f>IF(OR(B1497="",NOT(ISNUMBER(B1497))),"",INT(B1497))</f>
        <v/>
      </c>
    </row>
    <row r="1498" ht="15" customHeight="1" s="122">
      <c r="A1498" s="179" t="inlineStr">
        <is>
          <t>KBB 106Q</t>
        </is>
      </c>
      <c r="B1498" s="180" t="n">
        <v>46083.32696759259</v>
      </c>
      <c r="C1498" s="180" t="n">
        <v>46083.3353125</v>
      </c>
      <c r="D1498" s="173" t="inlineStr">
        <is>
          <t>13.25 Km</t>
        </is>
      </c>
      <c r="E1498" s="181" t="n">
        <v>63</v>
      </c>
      <c r="F1498" s="182" t="n">
        <v>78</v>
      </c>
      <c r="G1498" s="172" t="inlineStr">
        <is>
          <t>No</t>
        </is>
      </c>
      <c r="H1498" s="170">
        <f>IF(A1498="","",IF(OR(NOT(ISNUMBER(C1498)),C1498=""),"No",IF(AND(HOUR(C1498)&gt;=0,HOUR(C1498)&lt;5),"Yes","No")))</f>
        <v/>
      </c>
      <c r="I1498" s="183">
        <f>IF(OR(B1498="",NOT(ISNUMBER(B1498))),"",INT(B1498))</f>
        <v/>
      </c>
    </row>
    <row r="1499" ht="15" customHeight="1" s="122">
      <c r="A1499" s="179" t="inlineStr">
        <is>
          <t>KBB 106Q</t>
        </is>
      </c>
      <c r="B1499" s="180" t="n">
        <v>46083.34033564815</v>
      </c>
      <c r="C1499" s="180" t="n">
        <v>46083.34241898148</v>
      </c>
      <c r="D1499" s="173" t="inlineStr">
        <is>
          <t>5.86 Km</t>
        </is>
      </c>
      <c r="E1499" s="181" t="n">
        <v>71</v>
      </c>
      <c r="F1499" s="182" t="n">
        <v>74</v>
      </c>
      <c r="G1499" s="172" t="inlineStr">
        <is>
          <t>No</t>
        </is>
      </c>
      <c r="H1499" s="170">
        <f>IF(A1499="","",IF(OR(NOT(ISNUMBER(C1499)),C1499=""),"No",IF(AND(HOUR(C1499)&gt;=0,HOUR(C1499)&lt;5),"Yes","No")))</f>
        <v/>
      </c>
      <c r="I1499" s="183">
        <f>IF(OR(B1499="",NOT(ISNUMBER(B1499))),"",INT(B1499))</f>
        <v/>
      </c>
    </row>
    <row r="1500" ht="15" customHeight="1" s="122">
      <c r="A1500" s="179" t="inlineStr">
        <is>
          <t>KBB 106Q</t>
        </is>
      </c>
      <c r="B1500" s="180" t="n">
        <v>46083.34381944445</v>
      </c>
      <c r="C1500" s="180" t="n">
        <v>46083.35354166666</v>
      </c>
      <c r="D1500" s="173" t="inlineStr">
        <is>
          <t>8.89 Km</t>
        </is>
      </c>
      <c r="E1500" s="181" t="n">
        <v>42</v>
      </c>
      <c r="F1500" s="182" t="n">
        <v>73</v>
      </c>
      <c r="G1500" s="172" t="inlineStr">
        <is>
          <t>No</t>
        </is>
      </c>
      <c r="H1500" s="170">
        <f>IF(A1500="","",IF(OR(NOT(ISNUMBER(C1500)),C1500=""),"No",IF(AND(HOUR(C1500)&gt;=0,HOUR(C1500)&lt;5),"Yes","No")))</f>
        <v/>
      </c>
      <c r="I1500" s="183">
        <f>IF(OR(B1500="",NOT(ISNUMBER(B1500))),"",INT(B1500))</f>
        <v/>
      </c>
    </row>
    <row r="1501" ht="15" customHeight="1" s="122">
      <c r="A1501" s="179" t="inlineStr">
        <is>
          <t>KBB 106Q</t>
        </is>
      </c>
      <c r="B1501" s="180" t="n">
        <v>46083.71144675926</v>
      </c>
      <c r="C1501" s="180" t="n">
        <v>46083.71700231481</v>
      </c>
      <c r="D1501" s="173" t="inlineStr">
        <is>
          <t>3.8 Km</t>
        </is>
      </c>
      <c r="E1501" s="181" t="n">
        <v>27</v>
      </c>
      <c r="F1501" s="182" t="n">
        <v>50</v>
      </c>
      <c r="G1501" s="172" t="inlineStr">
        <is>
          <t>No</t>
        </is>
      </c>
      <c r="H1501" s="170">
        <f>IF(A1501="","",IF(OR(NOT(ISNUMBER(C1501)),C1501=""),"No",IF(AND(HOUR(C1501)&gt;=0,HOUR(C1501)&lt;5),"Yes","No")))</f>
        <v/>
      </c>
      <c r="I1501" s="183">
        <f>IF(OR(B1501="",NOT(ISNUMBER(B1501))),"",INT(B1501))</f>
        <v/>
      </c>
    </row>
    <row r="1502" ht="15" customHeight="1" s="122">
      <c r="A1502" s="179" t="inlineStr">
        <is>
          <t>KBB 106Q</t>
        </is>
      </c>
      <c r="B1502" s="180" t="n">
        <v>46083.7293287037</v>
      </c>
      <c r="C1502" s="180" t="n">
        <v>46083.73489583333</v>
      </c>
      <c r="D1502" s="173" t="inlineStr">
        <is>
          <t>4.64 Km</t>
        </is>
      </c>
      <c r="E1502" s="181" t="n">
        <v>38</v>
      </c>
      <c r="F1502" s="182" t="n">
        <v>68</v>
      </c>
      <c r="G1502" s="172" t="inlineStr">
        <is>
          <t>No</t>
        </is>
      </c>
      <c r="H1502" s="170">
        <f>IF(A1502="","",IF(OR(NOT(ISNUMBER(C1502)),C1502=""),"No",IF(AND(HOUR(C1502)&gt;=0,HOUR(C1502)&lt;5),"Yes","No")))</f>
        <v/>
      </c>
      <c r="I1502" s="183">
        <f>IF(OR(B1502="",NOT(ISNUMBER(B1502))),"",INT(B1502))</f>
        <v/>
      </c>
    </row>
    <row r="1503" ht="15" customHeight="1" s="122">
      <c r="A1503" s="179" t="inlineStr">
        <is>
          <t>KBB 106Q</t>
        </is>
      </c>
      <c r="B1503" s="180" t="n">
        <v>46083.74637731481</v>
      </c>
      <c r="C1503" s="180" t="n">
        <v>46083.75195601852</v>
      </c>
      <c r="D1503" s="173" t="inlineStr">
        <is>
          <t>3.76 Km</t>
        </is>
      </c>
      <c r="E1503" s="181" t="n">
        <v>28</v>
      </c>
      <c r="F1503" s="182" t="n">
        <v>47</v>
      </c>
      <c r="G1503" s="172" t="inlineStr">
        <is>
          <t>No</t>
        </is>
      </c>
      <c r="H1503" s="170">
        <f>IF(A1503="","",IF(OR(NOT(ISNUMBER(C1503)),C1503=""),"No",IF(AND(HOUR(C1503)&gt;=0,HOUR(C1503)&lt;5),"Yes","No")))</f>
        <v/>
      </c>
      <c r="I1503" s="183">
        <f>IF(OR(B1503="",NOT(ISNUMBER(B1503))),"",INT(B1503))</f>
        <v/>
      </c>
    </row>
  </sheetData>
  <autoFilter ref="A3:I3"/>
  <mergeCells count="2">
    <mergeCell ref="A1:I1"/>
    <mergeCell ref="A2:I2"/>
  </mergeCells>
  <conditionalFormatting sqref="F4:F500">
    <cfRule type="cellIs" rank="0" priority="2" equalAverage="0" operator="greaterThan" aboveAverage="0" dxfId="7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121" min="1" max="1"/>
    <col width="22" customWidth="1" style="121" min="2" max="2"/>
    <col width="16" customWidth="1" style="121" min="3" max="3"/>
    <col width="13" customWidth="1" style="121" min="4" max="4"/>
    <col width="20" customWidth="1" style="121" min="5" max="5"/>
    <col width="14" customWidth="1" style="121" min="6" max="6"/>
    <col width="12" customWidth="1" style="121" min="7" max="7"/>
    <col width="10" customWidth="1" style="121" min="8" max="9"/>
    <col width="13" customWidth="1" style="121" min="10" max="10"/>
    <col width="16" customWidth="1" style="121" min="11" max="11"/>
    <col width="12" customWidth="1" style="121" min="12" max="12"/>
    <col width="14" customWidth="1" style="121" min="13" max="14"/>
    <col width="16" customWidth="1" style="121" min="15" max="15"/>
    <col width="18" customWidth="1" style="121" min="16" max="18"/>
  </cols>
  <sheetData>
    <row r="1" ht="27.75" customHeight="1" s="122">
      <c r="A1" s="160" t="inlineStr">
        <is>
          <t>⚡  MONTHLY ANALYSIS — AUTO-POPULATED VIA XLOOKUP</t>
        </is>
      </c>
    </row>
    <row r="2" ht="15.75" customHeight="1" s="122">
      <c r="A2" s="184" t="inlineStr">
        <is>
          <t>This tab auto-fills from the RAW tabs.  Paste new data in Tabs 2–4 and all metrics update automatically.  Do NOT manually edit columns B–R.</t>
        </is>
      </c>
    </row>
    <row r="3" ht="21.75" customHeight="1" s="122">
      <c r="A3" s="162" t="inlineStr">
        <is>
          <t>Reg No</t>
        </is>
      </c>
      <c r="B3" s="162" t="inlineStr">
        <is>
          <t>Driver Name</t>
        </is>
      </c>
      <c r="C3" s="162" t="inlineStr">
        <is>
          <t>Designation</t>
        </is>
      </c>
      <c r="D3" s="162" t="inlineStr">
        <is>
          <t>Region</t>
        </is>
      </c>
      <c r="E3" s="162" t="inlineStr">
        <is>
          <t>Territory</t>
        </is>
      </c>
      <c r="F3" s="162" t="inlineStr">
        <is>
          <t>Vehicle Type</t>
        </is>
      </c>
      <c r="G3" s="162" t="inlineStr">
        <is>
          <t>Tracker KM</t>
        </is>
      </c>
      <c r="H3" s="162" t="inlineStr">
        <is>
          <t>Fuel (L)</t>
        </is>
      </c>
      <c r="I3" s="162" t="inlineStr">
        <is>
          <t>KM/L</t>
        </is>
      </c>
      <c r="J3" s="162" t="inlineStr">
        <is>
          <t>KM/L Threshold</t>
        </is>
      </c>
      <c r="K3" s="162" t="inlineStr">
        <is>
          <t>Fuel Compliance</t>
        </is>
      </c>
      <c r="L3" s="162" t="inlineStr">
        <is>
          <t>Days Past 10pm</t>
        </is>
      </c>
      <c r="M3" s="162" t="inlineStr">
        <is>
          <t>Days Past Midnight</t>
        </is>
      </c>
      <c r="N3" s="162" t="inlineStr">
        <is>
          <t>Max Speed (km/h)</t>
        </is>
      </c>
      <c r="O3" s="162" t="inlineStr">
        <is>
          <t>Speed Compliance</t>
        </is>
      </c>
      <c r="P3" s="185" t="inlineStr">
        <is>
          <t>⚑ Speed Flag</t>
        </is>
      </c>
      <c r="Q3" s="185" t="inlineStr">
        <is>
          <t>⚑ Late Hours Flag</t>
        </is>
      </c>
      <c r="R3" s="185" t="inlineStr">
        <is>
          <t>⚑ Fuel Flag</t>
        </is>
      </c>
    </row>
    <row r="4" ht="15" customHeight="1" s="122">
      <c r="A4" s="186" t="inlineStr">
        <is>
          <t>KAA 754A</t>
        </is>
      </c>
      <c r="B4" s="170">
        <f>IFERROR(xlookup(A4,'FLEET REGISTER'!$B:$B,'FLEET REGISTER'!$D:$D),"—")</f>
        <v/>
      </c>
      <c r="C4" s="170">
        <f>IFERROR(xlookup(A4,'FLEET REGISTER'!$B:$B,'FLEET REGISTER'!$E:$E),"—")</f>
        <v/>
      </c>
      <c r="D4" s="170">
        <f>IFERROR(xlookup(A4,'FLEET REGISTER'!$B:$B,'FLEET REGISTER'!$F:$F),"—")</f>
        <v/>
      </c>
      <c r="E4" s="170">
        <f>IFERROR(xlookup(A4,'FLEET REGISTER'!$B:$B,'FLEET REGISTER'!$G:$G),"—")</f>
        <v/>
      </c>
      <c r="F4" s="170">
        <f>IFERROR(xlookup(A4,'FLEET REGISTER'!$B:$B,'FLEET REGISTER'!$H:$H),"—")</f>
        <v/>
      </c>
      <c r="G4" s="187">
        <f>IFERROR(xlookup(A4,'RAW ODOMETER'!$A:$A,'RAW ODOMETER'!$M:$M,0),0)</f>
        <v/>
      </c>
      <c r="H4" s="187">
        <f>IFERROR(xlookup(A4,'RAW FUEL DATA'!$A:$A,'RAW FUEL DATA'!$K:$K,0),0)</f>
        <v/>
      </c>
      <c r="I4" s="187">
        <f>IFERROR(xlookup(A4,'RAW FUEL DATA'!$A:$A,'RAW FUEL DATA'!$L:$L,0),0)</f>
        <v/>
      </c>
      <c r="J4" s="188">
        <f>IF(F4="Honda",40.5,12.6)</f>
        <v/>
      </c>
      <c r="K4" s="170">
        <f>IF(I4=0,"No Data",IF(I4&gt;=J4,"✔ Complied","✘ Not Complied"))</f>
        <v/>
      </c>
      <c r="L4" s="170">
        <f>IFERROR(COUNTIFS('RAW TRIPS'!$A:$A,A4,'RAW TRIPS'!$G:$G,"Yes"),0)</f>
        <v/>
      </c>
      <c r="M4" s="170">
        <f>IFERROR(COUNTIFS('RAW TRIPS'!$A:$A,A4,'RAW TRIPS'!$H:$H,"Yes"),0)</f>
        <v/>
      </c>
      <c r="N4" s="189">
        <f>IFERROR(maxifs('RAW TRIPS'!$F:$F,'RAW TRIPS'!$A:$A,A4),0)</f>
        <v/>
      </c>
      <c r="O4" s="170">
        <f>IF(N4=0,"No Data",IF(N4&lt;=90,"✔ Complied","✘ SPEEDING"))</f>
        <v/>
      </c>
      <c r="P4" s="190">
        <f>IF(N4&gt;90,"⚑ SPEED VIOLATION","")</f>
        <v/>
      </c>
      <c r="Q4" s="191">
        <f>IF(M4&gt;0,"⚑ PAST MIDNIGHT",IF(L4&gt;0,"⚑ PAST 10PM",""))</f>
        <v/>
      </c>
      <c r="R4" s="192">
        <f>IF(K4="✘ Not Complied","⚑ FUEL NON-COMPLIANT","")</f>
        <v/>
      </c>
    </row>
    <row r="5" ht="15" customHeight="1" s="122">
      <c r="A5" s="186" t="inlineStr">
        <is>
          <t>KAA 214B</t>
        </is>
      </c>
      <c r="B5" s="170">
        <f>IFERROR(xlookup(A5,'FLEET REGISTER'!$B:$B,'FLEET REGISTER'!$D:$D),"—")</f>
        <v/>
      </c>
      <c r="C5" s="170">
        <f>IFERROR(xlookup(A5,'FLEET REGISTER'!$B:$B,'FLEET REGISTER'!$E:$E),"—")</f>
        <v/>
      </c>
      <c r="D5" s="170">
        <f>IFERROR(xlookup(A5,'FLEET REGISTER'!$B:$B,'FLEET REGISTER'!$F:$F),"—")</f>
        <v/>
      </c>
      <c r="E5" s="170">
        <f>IFERROR(xlookup(A5,'FLEET REGISTER'!$B:$B,'FLEET REGISTER'!$G:$G),"—")</f>
        <v/>
      </c>
      <c r="F5" s="170">
        <f>IFERROR(xlookup(A5,'FLEET REGISTER'!$B:$B,'FLEET REGISTER'!$H:$H),"—")</f>
        <v/>
      </c>
      <c r="G5" s="187">
        <f>IFERROR(xlookup(A5,'RAW ODOMETER'!$A:$A,'RAW ODOMETER'!$M:$M,0),0)</f>
        <v/>
      </c>
      <c r="H5" s="187">
        <f>IFERROR(xlookup(A5,'RAW FUEL DATA'!$A:$A,'RAW FUEL DATA'!$K:$K,0),0)</f>
        <v/>
      </c>
      <c r="I5" s="187">
        <f>IFERROR(xlookup(A5,'RAW FUEL DATA'!$A:$A,'RAW FUEL DATA'!$L:$L,0),0)</f>
        <v/>
      </c>
      <c r="J5" s="188">
        <f>IF(F5="Honda",40.5,12.6)</f>
        <v/>
      </c>
      <c r="K5" s="170">
        <f>IF(I5=0,"No Data",IF(I5&gt;=J5,"✔ Complied","✘ Not Complied"))</f>
        <v/>
      </c>
      <c r="L5" s="170">
        <f>IFERROR(COUNTIFS('RAW TRIPS'!$A:$A,A5,'RAW TRIPS'!$G:$G,"Yes"),0)</f>
        <v/>
      </c>
      <c r="M5" s="170">
        <f>IFERROR(COUNTIFS('RAW TRIPS'!$A:$A,A5,'RAW TRIPS'!$H:$H,"Yes"),0)</f>
        <v/>
      </c>
      <c r="N5" s="189">
        <f>IFERROR(maxifs('RAW TRIPS'!$F:$F,'RAW TRIPS'!$A:$A,A5),0)</f>
        <v/>
      </c>
      <c r="O5" s="170">
        <f>IF(N5=0,"No Data",IF(N5&lt;=90,"✔ Complied","✘ SPEEDING"))</f>
        <v/>
      </c>
      <c r="P5" s="190">
        <f>IF(N5&gt;90,"⚑ SPEED VIOLATION","")</f>
        <v/>
      </c>
      <c r="Q5" s="191">
        <f>IF(M5&gt;0,"⚑ PAST MIDNIGHT",IF(L5&gt;0,"⚑ PAST 10PM",""))</f>
        <v/>
      </c>
      <c r="R5" s="192">
        <f>IF(K5="✘ Not Complied","⚑ FUEL NON-COMPLIANT","")</f>
        <v/>
      </c>
    </row>
    <row r="6" ht="15" customHeight="1" s="122">
      <c r="A6" s="186" t="inlineStr">
        <is>
          <t>KBB 102Q</t>
        </is>
      </c>
      <c r="B6" s="170">
        <f>IFERROR(xlookup(A6,'FLEET REGISTER'!$B:$B,'FLEET REGISTER'!$D:$D),"—")</f>
        <v/>
      </c>
      <c r="C6" s="170">
        <f>IFERROR(xlookup(A6,'FLEET REGISTER'!$B:$B,'FLEET REGISTER'!$E:$E),"—")</f>
        <v/>
      </c>
      <c r="D6" s="170">
        <f>IFERROR(xlookup(A6,'FLEET REGISTER'!$B:$B,'FLEET REGISTER'!$F:$F),"—")</f>
        <v/>
      </c>
      <c r="E6" s="170">
        <f>IFERROR(xlookup(A6,'FLEET REGISTER'!$B:$B,'FLEET REGISTER'!$G:$G),"—")</f>
        <v/>
      </c>
      <c r="F6" s="170">
        <f>IFERROR(xlookup(A6,'FLEET REGISTER'!$B:$B,'FLEET REGISTER'!$H:$H),"—")</f>
        <v/>
      </c>
      <c r="G6" s="187">
        <f>IFERROR(xlookup(A6,'RAW ODOMETER'!$A:$A,'RAW ODOMETER'!$M:$M,0),0)</f>
        <v/>
      </c>
      <c r="H6" s="187">
        <f>IFERROR(xlookup(A6,'RAW FUEL DATA'!$A:$A,'RAW FUEL DATA'!$K:$K,0),0)</f>
        <v/>
      </c>
      <c r="I6" s="187">
        <f>IFERROR(xlookup(A6,'RAW FUEL DATA'!$A:$A,'RAW FUEL DATA'!$L:$L,0),0)</f>
        <v/>
      </c>
      <c r="J6" s="188">
        <f>IF(F6="Honda",40.5,12.6)</f>
        <v/>
      </c>
      <c r="K6" s="170">
        <f>IF(I6=0,"No Data",IF(I6&gt;=J6,"✔ Complied","✘ Not Complied"))</f>
        <v/>
      </c>
      <c r="L6" s="170">
        <f>IFERROR(COUNTIFS('RAW TRIPS'!$A:$A,A6,'RAW TRIPS'!$G:$G,"Yes"),0)</f>
        <v/>
      </c>
      <c r="M6" s="170">
        <f>IFERROR(COUNTIFS('RAW TRIPS'!$A:$A,A6,'RAW TRIPS'!$H:$H,"Yes"),0)</f>
        <v/>
      </c>
      <c r="N6" s="189">
        <f>IFERROR(maxifs('RAW TRIPS'!$F:$F,'RAW TRIPS'!$A:$A,A6),0)</f>
        <v/>
      </c>
      <c r="O6" s="170">
        <f>IF(N6=0,"No Data",IF(N6&lt;=90,"✔ Complied","✘ SPEEDING"))</f>
        <v/>
      </c>
      <c r="P6" s="190">
        <f>IF(N6&gt;90,"⚑ SPEED VIOLATION","")</f>
        <v/>
      </c>
      <c r="Q6" s="191">
        <f>IF(M6&gt;0,"⚑ PAST MIDNIGHT",IF(L6&gt;0,"⚑ PAST 10PM",""))</f>
        <v/>
      </c>
      <c r="R6" s="192">
        <f>IF(K6="✘ Not Complied","⚑ FUEL NON-COMPLIANT","")</f>
        <v/>
      </c>
    </row>
    <row r="7" ht="15" customHeight="1" s="122">
      <c r="A7" s="186" t="inlineStr">
        <is>
          <t>KBB 103Q</t>
        </is>
      </c>
      <c r="B7" s="170">
        <f>IFERROR(xlookup(A7,'FLEET REGISTER'!$B:$B,'FLEET REGISTER'!$D:$D),"—")</f>
        <v/>
      </c>
      <c r="C7" s="170">
        <f>IFERROR(xlookup(A7,'FLEET REGISTER'!$B:$B,'FLEET REGISTER'!$E:$E),"—")</f>
        <v/>
      </c>
      <c r="D7" s="170">
        <f>IFERROR(xlookup(A7,'FLEET REGISTER'!$B:$B,'FLEET REGISTER'!$F:$F),"—")</f>
        <v/>
      </c>
      <c r="E7" s="170">
        <f>IFERROR(xlookup(A7,'FLEET REGISTER'!$B:$B,'FLEET REGISTER'!$G:$G),"—")</f>
        <v/>
      </c>
      <c r="F7" s="170">
        <f>IFERROR(xlookup(A7,'FLEET REGISTER'!$B:$B,'FLEET REGISTER'!$H:$H),"—")</f>
        <v/>
      </c>
      <c r="G7" s="187">
        <f>IFERROR(xlookup(A7,'RAW ODOMETER'!$A:$A,'RAW ODOMETER'!$M:$M,0),0)</f>
        <v/>
      </c>
      <c r="H7" s="187">
        <f>IFERROR(xlookup(A7,'RAW FUEL DATA'!$A:$A,'RAW FUEL DATA'!$K:$K,0),0)</f>
        <v/>
      </c>
      <c r="I7" s="187">
        <f>IFERROR(xlookup(A7,'RAW FUEL DATA'!$A:$A,'RAW FUEL DATA'!$L:$L,0),0)</f>
        <v/>
      </c>
      <c r="J7" s="188">
        <f>IF(F7="Honda",40.5,12.6)</f>
        <v/>
      </c>
      <c r="K7" s="170">
        <f>IF(I7=0,"No Data",IF(I7&gt;=J7,"✔ Complied","✘ Not Complied"))</f>
        <v/>
      </c>
      <c r="L7" s="170">
        <f>IFERROR(COUNTIFS('RAW TRIPS'!$A:$A,A7,'RAW TRIPS'!$G:$G,"Yes"),0)</f>
        <v/>
      </c>
      <c r="M7" s="170">
        <f>IFERROR(COUNTIFS('RAW TRIPS'!$A:$A,A7,'RAW TRIPS'!$H:$H,"Yes"),0)</f>
        <v/>
      </c>
      <c r="N7" s="189">
        <f>IFERROR(maxifs('RAW TRIPS'!$F:$F,'RAW TRIPS'!$A:$A,A7),0)</f>
        <v/>
      </c>
      <c r="O7" s="170">
        <f>IF(N7=0,"No Data",IF(N7&lt;=90,"✔ Complied","✘ SPEEDING"))</f>
        <v/>
      </c>
      <c r="P7" s="190">
        <f>IF(N7&gt;90,"⚑ SPEED VIOLATION","")</f>
        <v/>
      </c>
      <c r="Q7" s="191">
        <f>IF(M7&gt;0,"⚑ PAST MIDNIGHT",IF(L7&gt;0,"⚑ PAST 10PM",""))</f>
        <v/>
      </c>
      <c r="R7" s="192">
        <f>IF(K7="✘ Not Complied","⚑ FUEL NON-COMPLIANT","")</f>
        <v/>
      </c>
    </row>
    <row r="8" ht="15" customHeight="1" s="122">
      <c r="A8" s="186" t="inlineStr">
        <is>
          <t>KBB 104Q</t>
        </is>
      </c>
      <c r="B8" s="170">
        <f>IFERROR(xlookup(A8,'FLEET REGISTER'!$B:$B,'FLEET REGISTER'!$D:$D),"—")</f>
        <v/>
      </c>
      <c r="C8" s="170">
        <f>IFERROR(xlookup(A8,'FLEET REGISTER'!$B:$B,'FLEET REGISTER'!$E:$E),"—")</f>
        <v/>
      </c>
      <c r="D8" s="170">
        <f>IFERROR(xlookup(A8,'FLEET REGISTER'!$B:$B,'FLEET REGISTER'!$F:$F),"—")</f>
        <v/>
      </c>
      <c r="E8" s="170">
        <f>IFERROR(xlookup(A8,'FLEET REGISTER'!$B:$B,'FLEET REGISTER'!$G:$G),"—")</f>
        <v/>
      </c>
      <c r="F8" s="170">
        <f>IFERROR(xlookup(A8,'FLEET REGISTER'!$B:$B,'FLEET REGISTER'!$H:$H),"—")</f>
        <v/>
      </c>
      <c r="G8" s="187">
        <f>IFERROR(xlookup(A8,'RAW ODOMETER'!$A:$A,'RAW ODOMETER'!$M:$M,0),0)</f>
        <v/>
      </c>
      <c r="H8" s="187">
        <f>IFERROR(xlookup(A8,'RAW FUEL DATA'!$A:$A,'RAW FUEL DATA'!$K:$K,0),0)</f>
        <v/>
      </c>
      <c r="I8" s="187">
        <f>IFERROR(xlookup(A8,'RAW FUEL DATA'!$A:$A,'RAW FUEL DATA'!$L:$L,0),0)</f>
        <v/>
      </c>
      <c r="J8" s="188">
        <f>IF(F8="Honda",40.5,12.6)</f>
        <v/>
      </c>
      <c r="K8" s="170">
        <f>IF(I8=0,"No Data",IF(I8&gt;=J8,"✔ Complied","✘ Not Complied"))</f>
        <v/>
      </c>
      <c r="L8" s="170">
        <f>IFERROR(COUNTIFS('RAW TRIPS'!$A:$A,A8,'RAW TRIPS'!$G:$G,"Yes"),0)</f>
        <v/>
      </c>
      <c r="M8" s="170">
        <f>IFERROR(COUNTIFS('RAW TRIPS'!$A:$A,A8,'RAW TRIPS'!$H:$H,"Yes"),0)</f>
        <v/>
      </c>
      <c r="N8" s="189">
        <f>IFERROR(maxifs('RAW TRIPS'!$F:$F,'RAW TRIPS'!$A:$A,A8),0)</f>
        <v/>
      </c>
      <c r="O8" s="170">
        <f>IF(N8=0,"No Data",IF(N8&lt;=90,"✔ Complied","✘ SPEEDING"))</f>
        <v/>
      </c>
      <c r="P8" s="190">
        <f>IF(N8&gt;90,"⚑ SPEED VIOLATION","")</f>
        <v/>
      </c>
      <c r="Q8" s="191">
        <f>IF(M8&gt;0,"⚑ PAST MIDNIGHT",IF(L8&gt;0,"⚑ PAST 10PM",""))</f>
        <v/>
      </c>
      <c r="R8" s="192">
        <f>IF(K8="✘ Not Complied","⚑ FUEL NON-COMPLIANT","")</f>
        <v/>
      </c>
    </row>
    <row r="9" ht="15" customHeight="1" s="122">
      <c r="A9" s="186" t="inlineStr">
        <is>
          <t>KBB 105Q</t>
        </is>
      </c>
      <c r="B9" s="170">
        <f>IFERROR(xlookup(A9,'FLEET REGISTER'!$B:$B,'FLEET REGISTER'!$D:$D),"—")</f>
        <v/>
      </c>
      <c r="C9" s="170">
        <f>IFERROR(xlookup(A9,'FLEET REGISTER'!$B:$B,'FLEET REGISTER'!$E:$E),"—")</f>
        <v/>
      </c>
      <c r="D9" s="170">
        <f>IFERROR(xlookup(A9,'FLEET REGISTER'!$B:$B,'FLEET REGISTER'!$F:$F),"—")</f>
        <v/>
      </c>
      <c r="E9" s="170">
        <f>IFERROR(xlookup(A9,'FLEET REGISTER'!$B:$B,'FLEET REGISTER'!$G:$G),"—")</f>
        <v/>
      </c>
      <c r="F9" s="170">
        <f>IFERROR(xlookup(A9,'FLEET REGISTER'!$B:$B,'FLEET REGISTER'!$H:$H),"—")</f>
        <v/>
      </c>
      <c r="G9" s="187">
        <f>IFERROR(xlookup(A9,'RAW ODOMETER'!$A:$A,'RAW ODOMETER'!$M:$M,0),0)</f>
        <v/>
      </c>
      <c r="H9" s="187">
        <f>IFERROR(xlookup(A9,'RAW FUEL DATA'!$A:$A,'RAW FUEL DATA'!$K:$K,0),0)</f>
        <v/>
      </c>
      <c r="I9" s="187">
        <f>IFERROR(xlookup(A9,'RAW FUEL DATA'!$A:$A,'RAW FUEL DATA'!$L:$L,0),0)</f>
        <v/>
      </c>
      <c r="J9" s="188">
        <f>IF(F9="Honda",40.5,12.6)</f>
        <v/>
      </c>
      <c r="K9" s="170">
        <f>IF(I9=0,"No Data",IF(I9&gt;=J9,"✔ Complied","✘ Not Complied"))</f>
        <v/>
      </c>
      <c r="L9" s="170">
        <f>IFERROR(COUNTIFS('RAW TRIPS'!$A:$A,A9,'RAW TRIPS'!$G:$G,"Yes"),0)</f>
        <v/>
      </c>
      <c r="M9" s="170">
        <f>IFERROR(COUNTIFS('RAW TRIPS'!$A:$A,A9,'RAW TRIPS'!$H:$H,"Yes"),0)</f>
        <v/>
      </c>
      <c r="N9" s="189">
        <f>IFERROR(maxifs('RAW TRIPS'!$F:$F,'RAW TRIPS'!$A:$A,A9),0)</f>
        <v/>
      </c>
      <c r="O9" s="170">
        <f>IF(N9=0,"No Data",IF(N9&lt;=90,"✔ Complied","✘ SPEEDING"))</f>
        <v/>
      </c>
      <c r="P9" s="190">
        <f>IF(N9&gt;90,"⚑ SPEED VIOLATION","")</f>
        <v/>
      </c>
      <c r="Q9" s="191">
        <f>IF(M9&gt;0,"⚑ PAST MIDNIGHT",IF(L9&gt;0,"⚑ PAST 10PM",""))</f>
        <v/>
      </c>
      <c r="R9" s="192">
        <f>IF(K9="✘ Not Complied","⚑ FUEL NON-COMPLIANT","")</f>
        <v/>
      </c>
    </row>
    <row r="10" ht="15" customHeight="1" s="122">
      <c r="A10" s="186" t="inlineStr">
        <is>
          <t>KBB 106Q</t>
        </is>
      </c>
      <c r="B10" s="170">
        <f>IFERROR(xlookup(A10,'FLEET REGISTER'!$B:$B,'FLEET REGISTER'!$D:$D),"—")</f>
        <v/>
      </c>
      <c r="C10" s="170">
        <f>IFERROR(xlookup(A10,'FLEET REGISTER'!$B:$B,'FLEET REGISTER'!$E:$E),"—")</f>
        <v/>
      </c>
      <c r="D10" s="170">
        <f>IFERROR(xlookup(A10,'FLEET REGISTER'!$B:$B,'FLEET REGISTER'!$F:$F),"—")</f>
        <v/>
      </c>
      <c r="E10" s="170">
        <f>IFERROR(xlookup(A10,'FLEET REGISTER'!$B:$B,'FLEET REGISTER'!$G:$G),"—")</f>
        <v/>
      </c>
      <c r="F10" s="170">
        <f>IFERROR(xlookup(A10,'FLEET REGISTER'!$B:$B,'FLEET REGISTER'!$H:$H),"—")</f>
        <v/>
      </c>
      <c r="G10" s="187">
        <f>IFERROR(xlookup(A10,'RAW ODOMETER'!$A:$A,'RAW ODOMETER'!$M:$M,0),0)</f>
        <v/>
      </c>
      <c r="H10" s="187">
        <f>IFERROR(xlookup(A10,'RAW FUEL DATA'!$A:$A,'RAW FUEL DATA'!$K:$K,0),0)</f>
        <v/>
      </c>
      <c r="I10" s="187">
        <f>IFERROR(xlookup(A10,'RAW FUEL DATA'!$A:$A,'RAW FUEL DATA'!$L:$L,0),0)</f>
        <v/>
      </c>
      <c r="J10" s="188">
        <f>IF(F10="Honda",40.5,12.6)</f>
        <v/>
      </c>
      <c r="K10" s="170">
        <f>IF(I10=0,"No Data",IF(I10&gt;=J10,"✔ Complied","✘ Not Complied"))</f>
        <v/>
      </c>
      <c r="L10" s="170">
        <f>IFERROR(COUNTIFS('RAW TRIPS'!$A:$A,A10,'RAW TRIPS'!$G:$G,"Yes"),0)</f>
        <v/>
      </c>
      <c r="M10" s="170">
        <f>IFERROR(COUNTIFS('RAW TRIPS'!$A:$A,A10,'RAW TRIPS'!$H:$H,"Yes"),0)</f>
        <v/>
      </c>
      <c r="N10" s="189">
        <f>IFERROR(maxifs('RAW TRIPS'!$F:$F,'RAW TRIPS'!$A:$A,A10),0)</f>
        <v/>
      </c>
      <c r="O10" s="170">
        <f>IF(N10=0,"No Data",IF(N10&lt;=90,"✔ Complied","✘ SPEEDING"))</f>
        <v/>
      </c>
      <c r="P10" s="190">
        <f>IF(N10&gt;90,"⚑ SPEED VIOLATION","")</f>
        <v/>
      </c>
      <c r="Q10" s="191">
        <f>IF(M10&gt;0,"⚑ PAST MIDNIGHT",IF(L10&gt;0,"⚑ PAST 10PM",""))</f>
        <v/>
      </c>
      <c r="R10" s="192">
        <f>IF(K10="✘ Not Complied","⚑ FUEL NON-COMPLIANT","")</f>
        <v/>
      </c>
    </row>
    <row r="11" ht="15" customHeight="1" s="122">
      <c r="A11" s="186" t="inlineStr">
        <is>
          <t>KBB 107Q</t>
        </is>
      </c>
      <c r="B11" s="170">
        <f>IFERROR(xlookup(A11,'FLEET REGISTER'!$B:$B,'FLEET REGISTER'!$D:$D),"—")</f>
        <v/>
      </c>
      <c r="C11" s="170">
        <f>IFERROR(xlookup(A11,'FLEET REGISTER'!$B:$B,'FLEET REGISTER'!$E:$E),"—")</f>
        <v/>
      </c>
      <c r="D11" s="170">
        <f>IFERROR(xlookup(A11,'FLEET REGISTER'!$B:$B,'FLEET REGISTER'!$F:$F),"—")</f>
        <v/>
      </c>
      <c r="E11" s="170">
        <f>IFERROR(xlookup(A11,'FLEET REGISTER'!$B:$B,'FLEET REGISTER'!$G:$G),"—")</f>
        <v/>
      </c>
      <c r="F11" s="170">
        <f>IFERROR(xlookup(A11,'FLEET REGISTER'!$B:$B,'FLEET REGISTER'!$H:$H),"—")</f>
        <v/>
      </c>
      <c r="G11" s="187">
        <f>IFERROR(xlookup(A11,'RAW ODOMETER'!$A:$A,'RAW ODOMETER'!$M:$M,0),0)</f>
        <v/>
      </c>
      <c r="H11" s="187">
        <f>IFERROR(xlookup(A11,'RAW FUEL DATA'!$A:$A,'RAW FUEL DATA'!$K:$K,0),0)</f>
        <v/>
      </c>
      <c r="I11" s="187">
        <f>IFERROR(xlookup(A11,'RAW FUEL DATA'!$A:$A,'RAW FUEL DATA'!$L:$L,0),0)</f>
        <v/>
      </c>
      <c r="J11" s="188">
        <f>IF(F11="Honda",40.5,12.6)</f>
        <v/>
      </c>
      <c r="K11" s="170">
        <f>IF(I11=0,"No Data",IF(I11&gt;=J11,"✔ Complied","✘ Not Complied"))</f>
        <v/>
      </c>
      <c r="L11" s="170">
        <f>IFERROR(COUNTIFS('RAW TRIPS'!$A:$A,A11,'RAW TRIPS'!$G:$G,"Yes"),0)</f>
        <v/>
      </c>
      <c r="M11" s="170">
        <f>IFERROR(COUNTIFS('RAW TRIPS'!$A:$A,A11,'RAW TRIPS'!$H:$H,"Yes"),0)</f>
        <v/>
      </c>
      <c r="N11" s="189">
        <f>IFERROR(maxifs('RAW TRIPS'!$F:$F,'RAW TRIPS'!$A:$A,A11),0)</f>
        <v/>
      </c>
      <c r="O11" s="170">
        <f>IF(N11=0,"No Data",IF(N11&lt;=90,"✔ Complied","✘ SPEEDING"))</f>
        <v/>
      </c>
      <c r="P11" s="190">
        <f>IF(N11&gt;90,"⚑ SPEED VIOLATION","")</f>
        <v/>
      </c>
      <c r="Q11" s="191">
        <f>IF(M11&gt;0,"⚑ PAST MIDNIGHT",IF(L11&gt;0,"⚑ PAST 10PM",""))</f>
        <v/>
      </c>
      <c r="R11" s="192">
        <f>IF(K11="✘ Not Complied","⚑ FUEL NON-COMPLIANT","")</f>
        <v/>
      </c>
    </row>
    <row r="12" ht="15" customHeight="1" s="122">
      <c r="A12" s="186" t="inlineStr">
        <is>
          <t>KBB 108Q</t>
        </is>
      </c>
      <c r="B12" s="170">
        <f>IFERROR(xlookup(A12,'FLEET REGISTER'!$B:$B,'FLEET REGISTER'!$D:$D),"—")</f>
        <v/>
      </c>
      <c r="C12" s="170">
        <f>IFERROR(xlookup(A12,'FLEET REGISTER'!$B:$B,'FLEET REGISTER'!$E:$E),"—")</f>
        <v/>
      </c>
      <c r="D12" s="170">
        <f>IFERROR(xlookup(A12,'FLEET REGISTER'!$B:$B,'FLEET REGISTER'!$F:$F),"—")</f>
        <v/>
      </c>
      <c r="E12" s="170">
        <f>IFERROR(xlookup(A12,'FLEET REGISTER'!$B:$B,'FLEET REGISTER'!$G:$G),"—")</f>
        <v/>
      </c>
      <c r="F12" s="170">
        <f>IFERROR(xlookup(A12,'FLEET REGISTER'!$B:$B,'FLEET REGISTER'!$H:$H),"—")</f>
        <v/>
      </c>
      <c r="G12" s="187">
        <f>IFERROR(xlookup(A12,'RAW ODOMETER'!$A:$A,'RAW ODOMETER'!$M:$M,0),0)</f>
        <v/>
      </c>
      <c r="H12" s="187">
        <f>IFERROR(xlookup(A12,'RAW FUEL DATA'!$A:$A,'RAW FUEL DATA'!$K:$K,0),0)</f>
        <v/>
      </c>
      <c r="I12" s="187">
        <f>IFERROR(xlookup(A12,'RAW FUEL DATA'!$A:$A,'RAW FUEL DATA'!$L:$L,0),0)</f>
        <v/>
      </c>
      <c r="J12" s="188">
        <f>IF(F12="Honda",40.5,12.6)</f>
        <v/>
      </c>
      <c r="K12" s="170">
        <f>IF(I12=0,"No Data",IF(I12&gt;=J12,"✔ Complied","✘ Not Complied"))</f>
        <v/>
      </c>
      <c r="L12" s="170">
        <f>IFERROR(COUNTIFS('RAW TRIPS'!$A:$A,A12,'RAW TRIPS'!$G:$G,"Yes"),0)</f>
        <v/>
      </c>
      <c r="M12" s="170">
        <f>IFERROR(COUNTIFS('RAW TRIPS'!$A:$A,A12,'RAW TRIPS'!$H:$H,"Yes"),0)</f>
        <v/>
      </c>
      <c r="N12" s="189">
        <f>IFERROR(maxifs('RAW TRIPS'!$F:$F,'RAW TRIPS'!$A:$A,A12),0)</f>
        <v/>
      </c>
      <c r="O12" s="170">
        <f>IF(N12=0,"No Data",IF(N12&lt;=90,"✔ Complied","✘ SPEEDING"))</f>
        <v/>
      </c>
      <c r="P12" s="190">
        <f>IF(N12&gt;90,"⚑ SPEED VIOLATION","")</f>
        <v/>
      </c>
      <c r="Q12" s="191">
        <f>IF(M12&gt;0,"⚑ PAST MIDNIGHT",IF(L12&gt;0,"⚑ PAST 10PM",""))</f>
        <v/>
      </c>
      <c r="R12" s="192">
        <f>IF(K12="✘ Not Complied","⚑ FUEL NON-COMPLIANT","")</f>
        <v/>
      </c>
    </row>
    <row r="13" ht="15" customHeight="1" s="122">
      <c r="A13" s="186" t="inlineStr">
        <is>
          <t>KBB 109Q</t>
        </is>
      </c>
      <c r="B13" s="170">
        <f>IFERROR(xlookup(A13,'FLEET REGISTER'!$B:$B,'FLEET REGISTER'!$D:$D),"—")</f>
        <v/>
      </c>
      <c r="C13" s="170">
        <f>IFERROR(xlookup(A13,'FLEET REGISTER'!$B:$B,'FLEET REGISTER'!$E:$E),"—")</f>
        <v/>
      </c>
      <c r="D13" s="170">
        <f>IFERROR(xlookup(A13,'FLEET REGISTER'!$B:$B,'FLEET REGISTER'!$F:$F),"—")</f>
        <v/>
      </c>
      <c r="E13" s="170">
        <f>IFERROR(xlookup(A13,'FLEET REGISTER'!$B:$B,'FLEET REGISTER'!$G:$G),"—")</f>
        <v/>
      </c>
      <c r="F13" s="170">
        <f>IFERROR(xlookup(A13,'FLEET REGISTER'!$B:$B,'FLEET REGISTER'!$H:$H),"—")</f>
        <v/>
      </c>
      <c r="G13" s="187">
        <f>IFERROR(xlookup(A13,'RAW ODOMETER'!$A:$A,'RAW ODOMETER'!$M:$M,0),0)</f>
        <v/>
      </c>
      <c r="H13" s="187">
        <f>IFERROR(xlookup(A13,'RAW FUEL DATA'!$A:$A,'RAW FUEL DATA'!$K:$K,0),0)</f>
        <v/>
      </c>
      <c r="I13" s="187">
        <f>IFERROR(xlookup(A13,'RAW FUEL DATA'!$A:$A,'RAW FUEL DATA'!$L:$L,0),0)</f>
        <v/>
      </c>
      <c r="J13" s="188">
        <f>IF(F13="Honda",40.5,12.6)</f>
        <v/>
      </c>
      <c r="K13" s="170">
        <f>IF(I13=0,"No Data",IF(I13&gt;=J13,"✔ Complied","✘ Not Complied"))</f>
        <v/>
      </c>
      <c r="L13" s="170">
        <f>IFERROR(COUNTIFS('RAW TRIPS'!$A:$A,A13,'RAW TRIPS'!$G:$G,"Yes"),0)</f>
        <v/>
      </c>
      <c r="M13" s="170">
        <f>IFERROR(COUNTIFS('RAW TRIPS'!$A:$A,A13,'RAW TRIPS'!$H:$H,"Yes"),0)</f>
        <v/>
      </c>
      <c r="N13" s="189">
        <f>IFERROR(maxifs('RAW TRIPS'!$F:$F,'RAW TRIPS'!$A:$A,A13),0)</f>
        <v/>
      </c>
      <c r="O13" s="170">
        <f>IF(N13=0,"No Data",IF(N13&lt;=90,"✔ Complied","✘ SPEEDING"))</f>
        <v/>
      </c>
      <c r="P13" s="190">
        <f>IF(N13&gt;90,"⚑ SPEED VIOLATION","")</f>
        <v/>
      </c>
      <c r="Q13" s="191">
        <f>IF(M13&gt;0,"⚑ PAST MIDNIGHT",IF(L13&gt;0,"⚑ PAST 10PM",""))</f>
        <v/>
      </c>
      <c r="R13" s="192">
        <f>IF(K13="✘ Not Complied","⚑ FUEL NON-COMPLIANT","")</f>
        <v/>
      </c>
    </row>
    <row r="14" ht="15" customHeight="1" s="122">
      <c r="A14" s="186" t="inlineStr">
        <is>
          <t>KBB 110Q</t>
        </is>
      </c>
      <c r="B14" s="170">
        <f>IFERROR(xlookup(A14,'FLEET REGISTER'!$B:$B,'FLEET REGISTER'!$D:$D),"—")</f>
        <v/>
      </c>
      <c r="C14" s="170">
        <f>IFERROR(xlookup(A14,'FLEET REGISTER'!$B:$B,'FLEET REGISTER'!$E:$E),"—")</f>
        <v/>
      </c>
      <c r="D14" s="170">
        <f>IFERROR(xlookup(A14,'FLEET REGISTER'!$B:$B,'FLEET REGISTER'!$F:$F),"—")</f>
        <v/>
      </c>
      <c r="E14" s="170">
        <f>IFERROR(xlookup(A14,'FLEET REGISTER'!$B:$B,'FLEET REGISTER'!$G:$G),"—")</f>
        <v/>
      </c>
      <c r="F14" s="170">
        <f>IFERROR(xlookup(A14,'FLEET REGISTER'!$B:$B,'FLEET REGISTER'!$H:$H),"—")</f>
        <v/>
      </c>
      <c r="G14" s="187">
        <f>IFERROR(xlookup(A14,'RAW ODOMETER'!$A:$A,'RAW ODOMETER'!$M:$M,0),0)</f>
        <v/>
      </c>
      <c r="H14" s="187">
        <f>IFERROR(xlookup(A14,'RAW FUEL DATA'!$A:$A,'RAW FUEL DATA'!$K:$K,0),0)</f>
        <v/>
      </c>
      <c r="I14" s="187">
        <f>IFERROR(xlookup(A14,'RAW FUEL DATA'!$A:$A,'RAW FUEL DATA'!$L:$L,0),0)</f>
        <v/>
      </c>
      <c r="J14" s="188">
        <f>IF(F14="Honda",40.5,12.6)</f>
        <v/>
      </c>
      <c r="K14" s="170">
        <f>IF(I14=0,"No Data",IF(I14&gt;=J14,"✔ Complied","✘ Not Complied"))</f>
        <v/>
      </c>
      <c r="L14" s="170">
        <f>IFERROR(COUNTIFS('RAW TRIPS'!$A:$A,A14,'RAW TRIPS'!$G:$G,"Yes"),0)</f>
        <v/>
      </c>
      <c r="M14" s="170">
        <f>IFERROR(COUNTIFS('RAW TRIPS'!$A:$A,A14,'RAW TRIPS'!$H:$H,"Yes"),0)</f>
        <v/>
      </c>
      <c r="N14" s="189">
        <f>IFERROR(maxifs('RAW TRIPS'!$F:$F,'RAW TRIPS'!$A:$A,A14),0)</f>
        <v/>
      </c>
      <c r="O14" s="170">
        <f>IF(N14=0,"No Data",IF(N14&lt;=90,"✔ Complied","✘ SPEEDING"))</f>
        <v/>
      </c>
      <c r="P14" s="190">
        <f>IF(N14&gt;90,"⚑ SPEED VIOLATION","")</f>
        <v/>
      </c>
      <c r="Q14" s="191">
        <f>IF(M14&gt;0,"⚑ PAST MIDNIGHT",IF(L14&gt;0,"⚑ PAST 10PM",""))</f>
        <v/>
      </c>
      <c r="R14" s="192">
        <f>IF(K14="✘ Not Complied","⚑ FUEL NON-COMPLIANT","")</f>
        <v/>
      </c>
    </row>
    <row r="15" ht="15" customHeight="1" s="122">
      <c r="A15" s="186" t="inlineStr">
        <is>
          <t>KBB 111Q</t>
        </is>
      </c>
      <c r="B15" s="170">
        <f>IFERROR(xlookup(A15,'FLEET REGISTER'!$B:$B,'FLEET REGISTER'!$D:$D),"—")</f>
        <v/>
      </c>
      <c r="C15" s="170">
        <f>IFERROR(xlookup(A15,'FLEET REGISTER'!$B:$B,'FLEET REGISTER'!$E:$E),"—")</f>
        <v/>
      </c>
      <c r="D15" s="170">
        <f>IFERROR(xlookup(A15,'FLEET REGISTER'!$B:$B,'FLEET REGISTER'!$F:$F),"—")</f>
        <v/>
      </c>
      <c r="E15" s="170">
        <f>IFERROR(xlookup(A15,'FLEET REGISTER'!$B:$B,'FLEET REGISTER'!$G:$G),"—")</f>
        <v/>
      </c>
      <c r="F15" s="170">
        <f>IFERROR(xlookup(A15,'FLEET REGISTER'!$B:$B,'FLEET REGISTER'!$H:$H),"—")</f>
        <v/>
      </c>
      <c r="G15" s="187">
        <f>IFERROR(xlookup(A15,'RAW ODOMETER'!$A:$A,'RAW ODOMETER'!$M:$M,0),0)</f>
        <v/>
      </c>
      <c r="H15" s="187">
        <f>IFERROR(xlookup(A15,'RAW FUEL DATA'!$A:$A,'RAW FUEL DATA'!$K:$K,0),0)</f>
        <v/>
      </c>
      <c r="I15" s="187">
        <f>IFERROR(xlookup(A15,'RAW FUEL DATA'!$A:$A,'RAW FUEL DATA'!$L:$L,0),0)</f>
        <v/>
      </c>
      <c r="J15" s="188">
        <f>IF(F15="Honda",40.5,12.6)</f>
        <v/>
      </c>
      <c r="K15" s="170">
        <f>IF(I15=0,"No Data",IF(I15&gt;=J15,"✔ Complied","✘ Not Complied"))</f>
        <v/>
      </c>
      <c r="L15" s="170">
        <f>IFERROR(COUNTIFS('RAW TRIPS'!$A:$A,A15,'RAW TRIPS'!$G:$G,"Yes"),0)</f>
        <v/>
      </c>
      <c r="M15" s="170">
        <f>IFERROR(COUNTIFS('RAW TRIPS'!$A:$A,A15,'RAW TRIPS'!$H:$H,"Yes"),0)</f>
        <v/>
      </c>
      <c r="N15" s="189">
        <f>IFERROR(maxifs('RAW TRIPS'!$F:$F,'RAW TRIPS'!$A:$A,A15),0)</f>
        <v/>
      </c>
      <c r="O15" s="170">
        <f>IF(N15=0,"No Data",IF(N15&lt;=90,"✔ Complied","✘ SPEEDING"))</f>
        <v/>
      </c>
      <c r="P15" s="190">
        <f>IF(N15&gt;90,"⚑ SPEED VIOLATION","")</f>
        <v/>
      </c>
      <c r="Q15" s="191">
        <f>IF(M15&gt;0,"⚑ PAST MIDNIGHT",IF(L15&gt;0,"⚑ PAST 10PM",""))</f>
        <v/>
      </c>
      <c r="R15" s="192">
        <f>IF(K15="✘ Not Complied","⚑ FUEL NON-COMPLIANT","")</f>
        <v/>
      </c>
    </row>
    <row r="16" ht="15" customHeight="1" s="122">
      <c r="A16" s="186" t="inlineStr">
        <is>
          <t>KBB 112Q</t>
        </is>
      </c>
      <c r="B16" s="170">
        <f>IFERROR(xlookup(A16,'FLEET REGISTER'!$B:$B,'FLEET REGISTER'!$D:$D),"—")</f>
        <v/>
      </c>
      <c r="C16" s="170">
        <f>IFERROR(xlookup(A16,'FLEET REGISTER'!$B:$B,'FLEET REGISTER'!$E:$E),"—")</f>
        <v/>
      </c>
      <c r="D16" s="170">
        <f>IFERROR(xlookup(A16,'FLEET REGISTER'!$B:$B,'FLEET REGISTER'!$F:$F),"—")</f>
        <v/>
      </c>
      <c r="E16" s="170">
        <f>IFERROR(xlookup(A16,'FLEET REGISTER'!$B:$B,'FLEET REGISTER'!$G:$G),"—")</f>
        <v/>
      </c>
      <c r="F16" s="170">
        <f>IFERROR(xlookup(A16,'FLEET REGISTER'!$B:$B,'FLEET REGISTER'!$H:$H),"—")</f>
        <v/>
      </c>
      <c r="G16" s="187">
        <f>IFERROR(xlookup(A16,'RAW ODOMETER'!$A:$A,'RAW ODOMETER'!$M:$M,0),0)</f>
        <v/>
      </c>
      <c r="H16" s="187">
        <f>IFERROR(xlookup(A16,'RAW FUEL DATA'!$A:$A,'RAW FUEL DATA'!$K:$K,0),0)</f>
        <v/>
      </c>
      <c r="I16" s="187">
        <f>IFERROR(xlookup(A16,'RAW FUEL DATA'!$A:$A,'RAW FUEL DATA'!$L:$L,0),0)</f>
        <v/>
      </c>
      <c r="J16" s="188">
        <f>IF(F16="Honda",40.5,12.6)</f>
        <v/>
      </c>
      <c r="K16" s="170">
        <f>IF(I16=0,"No Data",IF(I16&gt;=J16,"✔ Complied","✘ Not Complied"))</f>
        <v/>
      </c>
      <c r="L16" s="170">
        <f>IFERROR(COUNTIFS('RAW TRIPS'!$A:$A,A16,'RAW TRIPS'!$G:$G,"Yes"),0)</f>
        <v/>
      </c>
      <c r="M16" s="170">
        <f>IFERROR(COUNTIFS('RAW TRIPS'!$A:$A,A16,'RAW TRIPS'!$H:$H,"Yes"),0)</f>
        <v/>
      </c>
      <c r="N16" s="189">
        <f>IFERROR(maxifs('RAW TRIPS'!$F:$F,'RAW TRIPS'!$A:$A,A16),0)</f>
        <v/>
      </c>
      <c r="O16" s="170">
        <f>IF(N16=0,"No Data",IF(N16&lt;=90,"✔ Complied","✘ SPEEDING"))</f>
        <v/>
      </c>
      <c r="P16" s="190">
        <f>IF(N16&gt;90,"⚑ SPEED VIOLATION","")</f>
        <v/>
      </c>
      <c r="Q16" s="191">
        <f>IF(M16&gt;0,"⚑ PAST MIDNIGHT",IF(L16&gt;0,"⚑ PAST 10PM",""))</f>
        <v/>
      </c>
      <c r="R16" s="192">
        <f>IF(K16="✘ Not Complied","⚑ FUEL NON-COMPLIANT","")</f>
        <v/>
      </c>
    </row>
    <row r="17" ht="15" customHeight="1" s="122">
      <c r="A17" s="186" t="inlineStr">
        <is>
          <t>KBB 113Q</t>
        </is>
      </c>
      <c r="B17" s="170">
        <f>IFERROR(xlookup(A17,'FLEET REGISTER'!$B:$B,'FLEET REGISTER'!$D:$D),"—")</f>
        <v/>
      </c>
      <c r="C17" s="170">
        <f>IFERROR(xlookup(A17,'FLEET REGISTER'!$B:$B,'FLEET REGISTER'!$E:$E),"—")</f>
        <v/>
      </c>
      <c r="D17" s="170">
        <f>IFERROR(xlookup(A17,'FLEET REGISTER'!$B:$B,'FLEET REGISTER'!$F:$F),"—")</f>
        <v/>
      </c>
      <c r="E17" s="170">
        <f>IFERROR(xlookup(A17,'FLEET REGISTER'!$B:$B,'FLEET REGISTER'!$G:$G),"—")</f>
        <v/>
      </c>
      <c r="F17" s="170">
        <f>IFERROR(xlookup(A17,'FLEET REGISTER'!$B:$B,'FLEET REGISTER'!$H:$H),"—")</f>
        <v/>
      </c>
      <c r="G17" s="187">
        <f>IFERROR(xlookup(A17,'RAW ODOMETER'!$A:$A,'RAW ODOMETER'!$M:$M,0),0)</f>
        <v/>
      </c>
      <c r="H17" s="187">
        <f>IFERROR(xlookup(A17,'RAW FUEL DATA'!$A:$A,'RAW FUEL DATA'!$K:$K,0),0)</f>
        <v/>
      </c>
      <c r="I17" s="187">
        <f>IFERROR(xlookup(A17,'RAW FUEL DATA'!$A:$A,'RAW FUEL DATA'!$L:$L,0),0)</f>
        <v/>
      </c>
      <c r="J17" s="188">
        <f>IF(F17="Honda",40.5,12.6)</f>
        <v/>
      </c>
      <c r="K17" s="170">
        <f>IF(I17=0,"No Data",IF(I17&gt;=J17,"✔ Complied","✘ Not Complied"))</f>
        <v/>
      </c>
      <c r="L17" s="170">
        <f>IFERROR(COUNTIFS('RAW TRIPS'!$A:$A,A17,'RAW TRIPS'!$G:$G,"Yes"),0)</f>
        <v/>
      </c>
      <c r="M17" s="170">
        <f>IFERROR(COUNTIFS('RAW TRIPS'!$A:$A,A17,'RAW TRIPS'!$H:$H,"Yes"),0)</f>
        <v/>
      </c>
      <c r="N17" s="189">
        <f>IFERROR(maxifs('RAW TRIPS'!$F:$F,'RAW TRIPS'!$A:$A,A17),0)</f>
        <v/>
      </c>
      <c r="O17" s="170">
        <f>IF(N17=0,"No Data",IF(N17&lt;=90,"✔ Complied","✘ SPEEDING"))</f>
        <v/>
      </c>
      <c r="P17" s="190">
        <f>IF(N17&gt;90,"⚑ SPEED VIOLATION","")</f>
        <v/>
      </c>
      <c r="Q17" s="191">
        <f>IF(M17&gt;0,"⚑ PAST MIDNIGHT",IF(L17&gt;0,"⚑ PAST 10PM",""))</f>
        <v/>
      </c>
      <c r="R17" s="192">
        <f>IF(K17="✘ Not Complied","⚑ FUEL NON-COMPLIANT","")</f>
        <v/>
      </c>
    </row>
    <row r="18" ht="15" customHeight="1" s="122">
      <c r="A18" s="186" t="inlineStr">
        <is>
          <t>KBB 114Q</t>
        </is>
      </c>
      <c r="B18" s="170">
        <f>IFERROR(xlookup(A18,'FLEET REGISTER'!$B:$B,'FLEET REGISTER'!$D:$D),"—")</f>
        <v/>
      </c>
      <c r="C18" s="170">
        <f>IFERROR(xlookup(A18,'FLEET REGISTER'!$B:$B,'FLEET REGISTER'!$E:$E),"—")</f>
        <v/>
      </c>
      <c r="D18" s="170">
        <f>IFERROR(xlookup(A18,'FLEET REGISTER'!$B:$B,'FLEET REGISTER'!$F:$F),"—")</f>
        <v/>
      </c>
      <c r="E18" s="170">
        <f>IFERROR(xlookup(A18,'FLEET REGISTER'!$B:$B,'FLEET REGISTER'!$G:$G),"—")</f>
        <v/>
      </c>
      <c r="F18" s="170">
        <f>IFERROR(xlookup(A18,'FLEET REGISTER'!$B:$B,'FLEET REGISTER'!$H:$H),"—")</f>
        <v/>
      </c>
      <c r="G18" s="187">
        <f>IFERROR(xlookup(A18,'RAW ODOMETER'!$A:$A,'RAW ODOMETER'!$M:$M,0),0)</f>
        <v/>
      </c>
      <c r="H18" s="187">
        <f>IFERROR(xlookup(A18,'RAW FUEL DATA'!$A:$A,'RAW FUEL DATA'!$K:$K,0),0)</f>
        <v/>
      </c>
      <c r="I18" s="187">
        <f>IFERROR(xlookup(A18,'RAW FUEL DATA'!$A:$A,'RAW FUEL DATA'!$L:$L,0),0)</f>
        <v/>
      </c>
      <c r="J18" s="188">
        <f>IF(F18="Honda",40.5,12.6)</f>
        <v/>
      </c>
      <c r="K18" s="170">
        <f>IF(I18=0,"No Data",IF(I18&gt;=J18,"✔ Complied","✘ Not Complied"))</f>
        <v/>
      </c>
      <c r="L18" s="170">
        <f>IFERROR(COUNTIFS('RAW TRIPS'!$A:$A,A18,'RAW TRIPS'!$G:$G,"Yes"),0)</f>
        <v/>
      </c>
      <c r="M18" s="170">
        <f>IFERROR(COUNTIFS('RAW TRIPS'!$A:$A,A18,'RAW TRIPS'!$H:$H,"Yes"),0)</f>
        <v/>
      </c>
      <c r="N18" s="189">
        <f>IFERROR(maxifs('RAW TRIPS'!$F:$F,'RAW TRIPS'!$A:$A,A18),0)</f>
        <v/>
      </c>
      <c r="O18" s="170">
        <f>IF(N18=0,"No Data",IF(N18&lt;=90,"✔ Complied","✘ SPEEDING"))</f>
        <v/>
      </c>
      <c r="P18" s="190">
        <f>IF(N18&gt;90,"⚑ SPEED VIOLATION","")</f>
        <v/>
      </c>
      <c r="Q18" s="191">
        <f>IF(M18&gt;0,"⚑ PAST MIDNIGHT",IF(L18&gt;0,"⚑ PAST 10PM",""))</f>
        <v/>
      </c>
      <c r="R18" s="192">
        <f>IF(K18="✘ Not Complied","⚑ FUEL NON-COMPLIANT","")</f>
        <v/>
      </c>
    </row>
    <row r="19" ht="15" customHeight="1" s="122">
      <c r="A19" s="186" t="inlineStr">
        <is>
          <t>KBB 115Q</t>
        </is>
      </c>
      <c r="B19" s="170">
        <f>IFERROR(xlookup(A19,'FLEET REGISTER'!$B:$B,'FLEET REGISTER'!$D:$D),"—")</f>
        <v/>
      </c>
      <c r="C19" s="170">
        <f>IFERROR(xlookup(A19,'FLEET REGISTER'!$B:$B,'FLEET REGISTER'!$E:$E),"—")</f>
        <v/>
      </c>
      <c r="D19" s="170">
        <f>IFERROR(xlookup(A19,'FLEET REGISTER'!$B:$B,'FLEET REGISTER'!$F:$F),"—")</f>
        <v/>
      </c>
      <c r="E19" s="170">
        <f>IFERROR(xlookup(A19,'FLEET REGISTER'!$B:$B,'FLEET REGISTER'!$G:$G),"—")</f>
        <v/>
      </c>
      <c r="F19" s="170">
        <f>IFERROR(xlookup(A19,'FLEET REGISTER'!$B:$B,'FLEET REGISTER'!$H:$H),"—")</f>
        <v/>
      </c>
      <c r="G19" s="187">
        <f>IFERROR(xlookup(A19,'RAW ODOMETER'!$A:$A,'RAW ODOMETER'!$M:$M,0),0)</f>
        <v/>
      </c>
      <c r="H19" s="187">
        <f>IFERROR(xlookup(A19,'RAW FUEL DATA'!$A:$A,'RAW FUEL DATA'!$K:$K,0),0)</f>
        <v/>
      </c>
      <c r="I19" s="187">
        <f>IFERROR(xlookup(A19,'RAW FUEL DATA'!$A:$A,'RAW FUEL DATA'!$L:$L,0),0)</f>
        <v/>
      </c>
      <c r="J19" s="188">
        <f>IF(F19="Honda",40.5,12.6)</f>
        <v/>
      </c>
      <c r="K19" s="170">
        <f>IF(I19=0,"No Data",IF(I19&gt;=J19,"✔ Complied","✘ Not Complied"))</f>
        <v/>
      </c>
      <c r="L19" s="170">
        <f>IFERROR(COUNTIFS('RAW TRIPS'!$A:$A,A19,'RAW TRIPS'!$G:$G,"Yes"),0)</f>
        <v/>
      </c>
      <c r="M19" s="170">
        <f>IFERROR(COUNTIFS('RAW TRIPS'!$A:$A,A19,'RAW TRIPS'!$H:$H,"Yes"),0)</f>
        <v/>
      </c>
      <c r="N19" s="189">
        <f>IFERROR(maxifs('RAW TRIPS'!$F:$F,'RAW TRIPS'!$A:$A,A19),0)</f>
        <v/>
      </c>
      <c r="O19" s="170">
        <f>IF(N19=0,"No Data",IF(N19&lt;=90,"✔ Complied","✘ SPEEDING"))</f>
        <v/>
      </c>
      <c r="P19" s="190">
        <f>IF(N19&gt;90,"⚑ SPEED VIOLATION","")</f>
        <v/>
      </c>
      <c r="Q19" s="191">
        <f>IF(M19&gt;0,"⚑ PAST MIDNIGHT",IF(L19&gt;0,"⚑ PAST 10PM",""))</f>
        <v/>
      </c>
      <c r="R19" s="192">
        <f>IF(K19="✘ Not Complied","⚑ FUEL NON-COMPLIANT","")</f>
        <v/>
      </c>
    </row>
    <row r="20" ht="15" customHeight="1" s="122">
      <c r="A20" s="186" t="inlineStr">
        <is>
          <t>KBB 116Q</t>
        </is>
      </c>
      <c r="B20" s="170">
        <f>IFERROR(xlookup(A20,'FLEET REGISTER'!$B:$B,'FLEET REGISTER'!$D:$D),"—")</f>
        <v/>
      </c>
      <c r="C20" s="170">
        <f>IFERROR(xlookup(A20,'FLEET REGISTER'!$B:$B,'FLEET REGISTER'!$E:$E),"—")</f>
        <v/>
      </c>
      <c r="D20" s="170">
        <f>IFERROR(xlookup(A20,'FLEET REGISTER'!$B:$B,'FLEET REGISTER'!$F:$F),"—")</f>
        <v/>
      </c>
      <c r="E20" s="170">
        <f>IFERROR(xlookup(A20,'FLEET REGISTER'!$B:$B,'FLEET REGISTER'!$G:$G),"—")</f>
        <v/>
      </c>
      <c r="F20" s="170">
        <f>IFERROR(xlookup(A20,'FLEET REGISTER'!$B:$B,'FLEET REGISTER'!$H:$H),"—")</f>
        <v/>
      </c>
      <c r="G20" s="187">
        <f>IFERROR(xlookup(A20,'RAW ODOMETER'!$A:$A,'RAW ODOMETER'!$M:$M,0),0)</f>
        <v/>
      </c>
      <c r="H20" s="187">
        <f>IFERROR(xlookup(A20,'RAW FUEL DATA'!$A:$A,'RAW FUEL DATA'!$K:$K,0),0)</f>
        <v/>
      </c>
      <c r="I20" s="187">
        <f>IFERROR(xlookup(A20,'RAW FUEL DATA'!$A:$A,'RAW FUEL DATA'!$L:$L,0),0)</f>
        <v/>
      </c>
      <c r="J20" s="188">
        <f>IF(F20="Honda",40.5,12.6)</f>
        <v/>
      </c>
      <c r="K20" s="170">
        <f>IF(I20=0,"No Data",IF(I20&gt;=J20,"✔ Complied","✘ Not Complied"))</f>
        <v/>
      </c>
      <c r="L20" s="170">
        <f>IFERROR(COUNTIFS('RAW TRIPS'!$A:$A,A20,'RAW TRIPS'!$G:$G,"Yes"),0)</f>
        <v/>
      </c>
      <c r="M20" s="170">
        <f>IFERROR(COUNTIFS('RAW TRIPS'!$A:$A,A20,'RAW TRIPS'!$H:$H,"Yes"),0)</f>
        <v/>
      </c>
      <c r="N20" s="189">
        <f>IFERROR(maxifs('RAW TRIPS'!$F:$F,'RAW TRIPS'!$A:$A,A20),0)</f>
        <v/>
      </c>
      <c r="O20" s="170">
        <f>IF(N20=0,"No Data",IF(N20&lt;=90,"✔ Complied","✘ SPEEDING"))</f>
        <v/>
      </c>
      <c r="P20" s="190">
        <f>IF(N20&gt;90,"⚑ SPEED VIOLATION","")</f>
        <v/>
      </c>
      <c r="Q20" s="191">
        <f>IF(M20&gt;0,"⚑ PAST MIDNIGHT",IF(L20&gt;0,"⚑ PAST 10PM",""))</f>
        <v/>
      </c>
      <c r="R20" s="192">
        <f>IF(K20="✘ Not Complied","⚑ FUEL NON-COMPLIANT","")</f>
        <v/>
      </c>
    </row>
    <row r="21" ht="15" customHeight="1" s="122">
      <c r="A21" s="186" t="inlineStr">
        <is>
          <t>KBB 117Q</t>
        </is>
      </c>
      <c r="B21" s="170">
        <f>IFERROR(xlookup(A21,'FLEET REGISTER'!$B:$B,'FLEET REGISTER'!$D:$D),"—")</f>
        <v/>
      </c>
      <c r="C21" s="170">
        <f>IFERROR(xlookup(A21,'FLEET REGISTER'!$B:$B,'FLEET REGISTER'!$E:$E),"—")</f>
        <v/>
      </c>
      <c r="D21" s="170">
        <f>IFERROR(xlookup(A21,'FLEET REGISTER'!$B:$B,'FLEET REGISTER'!$F:$F),"—")</f>
        <v/>
      </c>
      <c r="E21" s="170">
        <f>IFERROR(xlookup(A21,'FLEET REGISTER'!$B:$B,'FLEET REGISTER'!$G:$G),"—")</f>
        <v/>
      </c>
      <c r="F21" s="170">
        <f>IFERROR(xlookup(A21,'FLEET REGISTER'!$B:$B,'FLEET REGISTER'!$H:$H),"—")</f>
        <v/>
      </c>
      <c r="G21" s="187">
        <f>IFERROR(xlookup(A21,'RAW ODOMETER'!$A:$A,'RAW ODOMETER'!$M:$M,0),0)</f>
        <v/>
      </c>
      <c r="H21" s="187">
        <f>IFERROR(xlookup(A21,'RAW FUEL DATA'!$A:$A,'RAW FUEL DATA'!$K:$K,0),0)</f>
        <v/>
      </c>
      <c r="I21" s="187">
        <f>IFERROR(xlookup(A21,'RAW FUEL DATA'!$A:$A,'RAW FUEL DATA'!$L:$L,0),0)</f>
        <v/>
      </c>
      <c r="J21" s="188">
        <f>IF(F21="Honda",40.5,12.6)</f>
        <v/>
      </c>
      <c r="K21" s="170">
        <f>IF(I21=0,"No Data",IF(I21&gt;=J21,"✔ Complied","✘ Not Complied"))</f>
        <v/>
      </c>
      <c r="L21" s="170">
        <f>IFERROR(COUNTIFS('RAW TRIPS'!$A:$A,A21,'RAW TRIPS'!$G:$G,"Yes"),0)</f>
        <v/>
      </c>
      <c r="M21" s="170">
        <f>IFERROR(COUNTIFS('RAW TRIPS'!$A:$A,A21,'RAW TRIPS'!$H:$H,"Yes"),0)</f>
        <v/>
      </c>
      <c r="N21" s="189">
        <f>IFERROR(maxifs('RAW TRIPS'!$F:$F,'RAW TRIPS'!$A:$A,A21),0)</f>
        <v/>
      </c>
      <c r="O21" s="170">
        <f>IF(N21=0,"No Data",IF(N21&lt;=90,"✔ Complied","✘ SPEEDING"))</f>
        <v/>
      </c>
      <c r="P21" s="190">
        <f>IF(N21&gt;90,"⚑ SPEED VIOLATION","")</f>
        <v/>
      </c>
      <c r="Q21" s="191">
        <f>IF(M21&gt;0,"⚑ PAST MIDNIGHT",IF(L21&gt;0,"⚑ PAST 10PM",""))</f>
        <v/>
      </c>
      <c r="R21" s="192">
        <f>IF(K21="✘ Not Complied","⚑ FUEL NON-COMPLIANT","")</f>
        <v/>
      </c>
    </row>
    <row r="22" ht="15" customHeight="1" s="122">
      <c r="A22" s="186" t="inlineStr">
        <is>
          <t>KBB 118Q</t>
        </is>
      </c>
      <c r="B22" s="170">
        <f>IFERROR(xlookup(A22,'FLEET REGISTER'!$B:$B,'FLEET REGISTER'!$D:$D),"—")</f>
        <v/>
      </c>
      <c r="C22" s="170">
        <f>IFERROR(xlookup(A22,'FLEET REGISTER'!$B:$B,'FLEET REGISTER'!$E:$E),"—")</f>
        <v/>
      </c>
      <c r="D22" s="170">
        <f>IFERROR(xlookup(A22,'FLEET REGISTER'!$B:$B,'FLEET REGISTER'!$F:$F),"—")</f>
        <v/>
      </c>
      <c r="E22" s="170">
        <f>IFERROR(xlookup(A22,'FLEET REGISTER'!$B:$B,'FLEET REGISTER'!$G:$G),"—")</f>
        <v/>
      </c>
      <c r="F22" s="170">
        <f>IFERROR(xlookup(A22,'FLEET REGISTER'!$B:$B,'FLEET REGISTER'!$H:$H),"—")</f>
        <v/>
      </c>
      <c r="G22" s="187">
        <f>IFERROR(xlookup(A22,'RAW ODOMETER'!$A:$A,'RAW ODOMETER'!$M:$M,0),0)</f>
        <v/>
      </c>
      <c r="H22" s="187">
        <f>IFERROR(xlookup(A22,'RAW FUEL DATA'!$A:$A,'RAW FUEL DATA'!$K:$K,0),0)</f>
        <v/>
      </c>
      <c r="I22" s="187">
        <f>IFERROR(xlookup(A22,'RAW FUEL DATA'!$A:$A,'RAW FUEL DATA'!$L:$L,0),0)</f>
        <v/>
      </c>
      <c r="J22" s="188">
        <f>IF(F22="Honda",40.5,12.6)</f>
        <v/>
      </c>
      <c r="K22" s="170">
        <f>IF(I22=0,"No Data",IF(I22&gt;=J22,"✔ Complied","✘ Not Complied"))</f>
        <v/>
      </c>
      <c r="L22" s="170">
        <f>IFERROR(COUNTIFS('RAW TRIPS'!$A:$A,A22,'RAW TRIPS'!$G:$G,"Yes"),0)</f>
        <v/>
      </c>
      <c r="M22" s="170">
        <f>IFERROR(COUNTIFS('RAW TRIPS'!$A:$A,A22,'RAW TRIPS'!$H:$H,"Yes"),0)</f>
        <v/>
      </c>
      <c r="N22" s="189">
        <f>IFERROR(maxifs('RAW TRIPS'!$F:$F,'RAW TRIPS'!$A:$A,A22),0)</f>
        <v/>
      </c>
      <c r="O22" s="170">
        <f>IF(N22=0,"No Data",IF(N22&lt;=90,"✔ Complied","✘ SPEEDING"))</f>
        <v/>
      </c>
      <c r="P22" s="190">
        <f>IF(N22&gt;90,"⚑ SPEED VIOLATION","")</f>
        <v/>
      </c>
      <c r="Q22" s="191">
        <f>IF(M22&gt;0,"⚑ PAST MIDNIGHT",IF(L22&gt;0,"⚑ PAST 10PM",""))</f>
        <v/>
      </c>
      <c r="R22" s="192">
        <f>IF(K22="✘ Not Complied","⚑ FUEL NON-COMPLIANT","")</f>
        <v/>
      </c>
    </row>
    <row r="23" ht="15" customHeight="1" s="122">
      <c r="A23" s="186" t="inlineStr">
        <is>
          <t>KBB 119Q</t>
        </is>
      </c>
      <c r="B23" s="170">
        <f>IFERROR(xlookup(A23,'FLEET REGISTER'!$B:$B,'FLEET REGISTER'!$D:$D),"—")</f>
        <v/>
      </c>
      <c r="C23" s="170">
        <f>IFERROR(xlookup(A23,'FLEET REGISTER'!$B:$B,'FLEET REGISTER'!$E:$E),"—")</f>
        <v/>
      </c>
      <c r="D23" s="170">
        <f>IFERROR(xlookup(A23,'FLEET REGISTER'!$B:$B,'FLEET REGISTER'!$F:$F),"—")</f>
        <v/>
      </c>
      <c r="E23" s="170">
        <f>IFERROR(xlookup(A23,'FLEET REGISTER'!$B:$B,'FLEET REGISTER'!$G:$G),"—")</f>
        <v/>
      </c>
      <c r="F23" s="170">
        <f>IFERROR(xlookup(A23,'FLEET REGISTER'!$B:$B,'FLEET REGISTER'!$H:$H),"—")</f>
        <v/>
      </c>
      <c r="G23" s="187">
        <f>IFERROR(xlookup(A23,'RAW ODOMETER'!$A:$A,'RAW ODOMETER'!$M:$M,0),0)</f>
        <v/>
      </c>
      <c r="H23" s="187">
        <f>IFERROR(xlookup(A23,'RAW FUEL DATA'!$A:$A,'RAW FUEL DATA'!$K:$K,0),0)</f>
        <v/>
      </c>
      <c r="I23" s="187">
        <f>IFERROR(xlookup(A23,'RAW FUEL DATA'!$A:$A,'RAW FUEL DATA'!$L:$L,0),0)</f>
        <v/>
      </c>
      <c r="J23" s="188">
        <f>IF(F23="Honda",40.5,12.6)</f>
        <v/>
      </c>
      <c r="K23" s="170">
        <f>IF(I23=0,"No Data",IF(I23&gt;=J23,"✔ Complied","✘ Not Complied"))</f>
        <v/>
      </c>
      <c r="L23" s="170">
        <f>IFERROR(COUNTIFS('RAW TRIPS'!$A:$A,A23,'RAW TRIPS'!$G:$G,"Yes"),0)</f>
        <v/>
      </c>
      <c r="M23" s="170">
        <f>IFERROR(COUNTIFS('RAW TRIPS'!$A:$A,A23,'RAW TRIPS'!$H:$H,"Yes"),0)</f>
        <v/>
      </c>
      <c r="N23" s="189">
        <f>IFERROR(maxifs('RAW TRIPS'!$F:$F,'RAW TRIPS'!$A:$A,A23),0)</f>
        <v/>
      </c>
      <c r="O23" s="170">
        <f>IF(N23=0,"No Data",IF(N23&lt;=90,"✔ Complied","✘ SPEEDING"))</f>
        <v/>
      </c>
      <c r="P23" s="190">
        <f>IF(N23&gt;90,"⚑ SPEED VIOLATION","")</f>
        <v/>
      </c>
      <c r="Q23" s="191">
        <f>IF(M23&gt;0,"⚑ PAST MIDNIGHT",IF(L23&gt;0,"⚑ PAST 10PM",""))</f>
        <v/>
      </c>
      <c r="R23" s="192">
        <f>IF(K23="✘ Not Complied","⚑ FUEL NON-COMPLIANT","")</f>
        <v/>
      </c>
    </row>
    <row r="24" ht="15" customHeight="1" s="122">
      <c r="A24" s="186" t="inlineStr">
        <is>
          <t>KBB 120Q</t>
        </is>
      </c>
      <c r="B24" s="170">
        <f>IFERROR(xlookup(A24,'FLEET REGISTER'!$B:$B,'FLEET REGISTER'!$D:$D),"—")</f>
        <v/>
      </c>
      <c r="C24" s="170">
        <f>IFERROR(xlookup(A24,'FLEET REGISTER'!$B:$B,'FLEET REGISTER'!$E:$E),"—")</f>
        <v/>
      </c>
      <c r="D24" s="170">
        <f>IFERROR(xlookup(A24,'FLEET REGISTER'!$B:$B,'FLEET REGISTER'!$F:$F),"—")</f>
        <v/>
      </c>
      <c r="E24" s="170">
        <f>IFERROR(xlookup(A24,'FLEET REGISTER'!$B:$B,'FLEET REGISTER'!$G:$G),"—")</f>
        <v/>
      </c>
      <c r="F24" s="170">
        <f>IFERROR(xlookup(A24,'FLEET REGISTER'!$B:$B,'FLEET REGISTER'!$H:$H),"—")</f>
        <v/>
      </c>
      <c r="G24" s="187">
        <f>IFERROR(xlookup(A24,'RAW ODOMETER'!$A:$A,'RAW ODOMETER'!$M:$M,0),0)</f>
        <v/>
      </c>
      <c r="H24" s="187">
        <f>IFERROR(xlookup(A24,'RAW FUEL DATA'!$A:$A,'RAW FUEL DATA'!$K:$K,0),0)</f>
        <v/>
      </c>
      <c r="I24" s="187">
        <f>IFERROR(xlookup(A24,'RAW FUEL DATA'!$A:$A,'RAW FUEL DATA'!$L:$L,0),0)</f>
        <v/>
      </c>
      <c r="J24" s="188">
        <f>IF(F24="Honda",40.5,12.6)</f>
        <v/>
      </c>
      <c r="K24" s="170">
        <f>IF(I24=0,"No Data",IF(I24&gt;=J24,"✔ Complied","✘ Not Complied"))</f>
        <v/>
      </c>
      <c r="L24" s="170">
        <f>IFERROR(COUNTIFS('RAW TRIPS'!$A:$A,A24,'RAW TRIPS'!$G:$G,"Yes"),0)</f>
        <v/>
      </c>
      <c r="M24" s="170">
        <f>IFERROR(COUNTIFS('RAW TRIPS'!$A:$A,A24,'RAW TRIPS'!$H:$H,"Yes"),0)</f>
        <v/>
      </c>
      <c r="N24" s="189">
        <f>IFERROR(maxifs('RAW TRIPS'!$F:$F,'RAW TRIPS'!$A:$A,A24),0)</f>
        <v/>
      </c>
      <c r="O24" s="170">
        <f>IF(N24=0,"No Data",IF(N24&lt;=90,"✔ Complied","✘ SPEEDING"))</f>
        <v/>
      </c>
      <c r="P24" s="190">
        <f>IF(N24&gt;90,"⚑ SPEED VIOLATION","")</f>
        <v/>
      </c>
      <c r="Q24" s="191">
        <f>IF(M24&gt;0,"⚑ PAST MIDNIGHT",IF(L24&gt;0,"⚑ PAST 10PM",""))</f>
        <v/>
      </c>
      <c r="R24" s="192">
        <f>IF(K24="✘ Not Complied","⚑ FUEL NON-COMPLIANT","")</f>
        <v/>
      </c>
    </row>
    <row r="25" ht="15" customHeight="1" s="122">
      <c r="A25" s="186" t="inlineStr">
        <is>
          <t>KBB 121Q</t>
        </is>
      </c>
      <c r="B25" s="170">
        <f>IFERROR(xlookup(A25,'FLEET REGISTER'!$B:$B,'FLEET REGISTER'!$D:$D),"—")</f>
        <v/>
      </c>
      <c r="C25" s="170">
        <f>IFERROR(xlookup(A25,'FLEET REGISTER'!$B:$B,'FLEET REGISTER'!$E:$E),"—")</f>
        <v/>
      </c>
      <c r="D25" s="170">
        <f>IFERROR(xlookup(A25,'FLEET REGISTER'!$B:$B,'FLEET REGISTER'!$F:$F),"—")</f>
        <v/>
      </c>
      <c r="E25" s="170">
        <f>IFERROR(xlookup(A25,'FLEET REGISTER'!$B:$B,'FLEET REGISTER'!$G:$G),"—")</f>
        <v/>
      </c>
      <c r="F25" s="170">
        <f>IFERROR(xlookup(A25,'FLEET REGISTER'!$B:$B,'FLEET REGISTER'!$H:$H),"—")</f>
        <v/>
      </c>
      <c r="G25" s="187">
        <f>IFERROR(xlookup(A25,'RAW ODOMETER'!$A:$A,'RAW ODOMETER'!$M:$M,0),0)</f>
        <v/>
      </c>
      <c r="H25" s="187">
        <f>IFERROR(xlookup(A25,'RAW FUEL DATA'!$A:$A,'RAW FUEL DATA'!$K:$K,0),0)</f>
        <v/>
      </c>
      <c r="I25" s="187">
        <f>IFERROR(xlookup(A25,'RAW FUEL DATA'!$A:$A,'RAW FUEL DATA'!$L:$L,0),0)</f>
        <v/>
      </c>
      <c r="J25" s="188">
        <f>IF(F25="Honda",40.5,12.6)</f>
        <v/>
      </c>
      <c r="K25" s="170">
        <f>IF(I25=0,"No Data",IF(I25&gt;=J25,"✔ Complied","✘ Not Complied"))</f>
        <v/>
      </c>
      <c r="L25" s="170">
        <f>IFERROR(COUNTIFS('RAW TRIPS'!$A:$A,A25,'RAW TRIPS'!$G:$G,"Yes"),0)</f>
        <v/>
      </c>
      <c r="M25" s="170">
        <f>IFERROR(COUNTIFS('RAW TRIPS'!$A:$A,A25,'RAW TRIPS'!$H:$H,"Yes"),0)</f>
        <v/>
      </c>
      <c r="N25" s="189">
        <f>IFERROR(maxifs('RAW TRIPS'!$F:$F,'RAW TRIPS'!$A:$A,A25),0)</f>
        <v/>
      </c>
      <c r="O25" s="170">
        <f>IF(N25=0,"No Data",IF(N25&lt;=90,"✔ Complied","✘ SPEEDING"))</f>
        <v/>
      </c>
      <c r="P25" s="190">
        <f>IF(N25&gt;90,"⚑ SPEED VIOLATION","")</f>
        <v/>
      </c>
      <c r="Q25" s="191">
        <f>IF(M25&gt;0,"⚑ PAST MIDNIGHT",IF(L25&gt;0,"⚑ PAST 10PM",""))</f>
        <v/>
      </c>
      <c r="R25" s="192">
        <f>IF(K25="✘ Not Complied","⚑ FUEL NON-COMPLIANT","")</f>
        <v/>
      </c>
    </row>
    <row r="26" ht="15" customHeight="1" s="122">
      <c r="A26" s="186" t="inlineStr">
        <is>
          <t>KBB 122Q</t>
        </is>
      </c>
      <c r="B26" s="170">
        <f>IFERROR(xlookup(A26,'FLEET REGISTER'!$B:$B,'FLEET REGISTER'!$D:$D),"—")</f>
        <v/>
      </c>
      <c r="C26" s="170">
        <f>IFERROR(xlookup(A26,'FLEET REGISTER'!$B:$B,'FLEET REGISTER'!$E:$E),"—")</f>
        <v/>
      </c>
      <c r="D26" s="170">
        <f>IFERROR(xlookup(A26,'FLEET REGISTER'!$B:$B,'FLEET REGISTER'!$F:$F),"—")</f>
        <v/>
      </c>
      <c r="E26" s="170">
        <f>IFERROR(xlookup(A26,'FLEET REGISTER'!$B:$B,'FLEET REGISTER'!$G:$G),"—")</f>
        <v/>
      </c>
      <c r="F26" s="170">
        <f>IFERROR(xlookup(A26,'FLEET REGISTER'!$B:$B,'FLEET REGISTER'!$H:$H),"—")</f>
        <v/>
      </c>
      <c r="G26" s="187">
        <f>IFERROR(xlookup(A26,'RAW ODOMETER'!$A:$A,'RAW ODOMETER'!$M:$M,0),0)</f>
        <v/>
      </c>
      <c r="H26" s="187">
        <f>IFERROR(xlookup(A26,'RAW FUEL DATA'!$A:$A,'RAW FUEL DATA'!$K:$K,0),0)</f>
        <v/>
      </c>
      <c r="I26" s="187">
        <f>IFERROR(xlookup(A26,'RAW FUEL DATA'!$A:$A,'RAW FUEL DATA'!$L:$L,0),0)</f>
        <v/>
      </c>
      <c r="J26" s="188">
        <f>IF(F26="Honda",40.5,12.6)</f>
        <v/>
      </c>
      <c r="K26" s="170">
        <f>IF(I26=0,"No Data",IF(I26&gt;=J26,"✔ Complied","✘ Not Complied"))</f>
        <v/>
      </c>
      <c r="L26" s="170">
        <f>IFERROR(COUNTIFS('RAW TRIPS'!$A:$A,A26,'RAW TRIPS'!$G:$G,"Yes"),0)</f>
        <v/>
      </c>
      <c r="M26" s="170">
        <f>IFERROR(COUNTIFS('RAW TRIPS'!$A:$A,A26,'RAW TRIPS'!$H:$H,"Yes"),0)</f>
        <v/>
      </c>
      <c r="N26" s="189">
        <f>IFERROR(maxifs('RAW TRIPS'!$F:$F,'RAW TRIPS'!$A:$A,A26),0)</f>
        <v/>
      </c>
      <c r="O26" s="170">
        <f>IF(N26=0,"No Data",IF(N26&lt;=90,"✔ Complied","✘ SPEEDING"))</f>
        <v/>
      </c>
      <c r="P26" s="190">
        <f>IF(N26&gt;90,"⚑ SPEED VIOLATION","")</f>
        <v/>
      </c>
      <c r="Q26" s="191">
        <f>IF(M26&gt;0,"⚑ PAST MIDNIGHT",IF(L26&gt;0,"⚑ PAST 10PM",""))</f>
        <v/>
      </c>
      <c r="R26" s="192">
        <f>IF(K26="✘ Not Complied","⚑ FUEL NON-COMPLIANT","")</f>
        <v/>
      </c>
    </row>
    <row r="27" ht="15" customHeight="1" s="122">
      <c r="A27" s="186" t="inlineStr">
        <is>
          <t>KBB 123Q</t>
        </is>
      </c>
      <c r="B27" s="170">
        <f>IFERROR(xlookup(A27,'FLEET REGISTER'!$B:$B,'FLEET REGISTER'!$D:$D),"—")</f>
        <v/>
      </c>
      <c r="C27" s="170">
        <f>IFERROR(xlookup(A27,'FLEET REGISTER'!$B:$B,'FLEET REGISTER'!$E:$E),"—")</f>
        <v/>
      </c>
      <c r="D27" s="170">
        <f>IFERROR(xlookup(A27,'FLEET REGISTER'!$B:$B,'FLEET REGISTER'!$F:$F),"—")</f>
        <v/>
      </c>
      <c r="E27" s="170">
        <f>IFERROR(xlookup(A27,'FLEET REGISTER'!$B:$B,'FLEET REGISTER'!$G:$G),"—")</f>
        <v/>
      </c>
      <c r="F27" s="170">
        <f>IFERROR(xlookup(A27,'FLEET REGISTER'!$B:$B,'FLEET REGISTER'!$H:$H),"—")</f>
        <v/>
      </c>
      <c r="G27" s="187">
        <f>IFERROR(xlookup(A27,'RAW ODOMETER'!$A:$A,'RAW ODOMETER'!$M:$M,0),0)</f>
        <v/>
      </c>
      <c r="H27" s="187">
        <f>IFERROR(xlookup(A27,'RAW FUEL DATA'!$A:$A,'RAW FUEL DATA'!$K:$K,0),0)</f>
        <v/>
      </c>
      <c r="I27" s="187">
        <f>IFERROR(xlookup(A27,'RAW FUEL DATA'!$A:$A,'RAW FUEL DATA'!$L:$L,0),0)</f>
        <v/>
      </c>
      <c r="J27" s="188">
        <f>IF(F27="Honda",40.5,12.6)</f>
        <v/>
      </c>
      <c r="K27" s="170">
        <f>IF(I27=0,"No Data",IF(I27&gt;=J27,"✔ Complied","✘ Not Complied"))</f>
        <v/>
      </c>
      <c r="L27" s="170">
        <f>IFERROR(COUNTIFS('RAW TRIPS'!$A:$A,A27,'RAW TRIPS'!$G:$G,"Yes"),0)</f>
        <v/>
      </c>
      <c r="M27" s="170">
        <f>IFERROR(COUNTIFS('RAW TRIPS'!$A:$A,A27,'RAW TRIPS'!$H:$H,"Yes"),0)</f>
        <v/>
      </c>
      <c r="N27" s="189">
        <f>IFERROR(maxifs('RAW TRIPS'!$F:$F,'RAW TRIPS'!$A:$A,A27),0)</f>
        <v/>
      </c>
      <c r="O27" s="170">
        <f>IF(N27=0,"No Data",IF(N27&lt;=90,"✔ Complied","✘ SPEEDING"))</f>
        <v/>
      </c>
      <c r="P27" s="190">
        <f>IF(N27&gt;90,"⚑ SPEED VIOLATION","")</f>
        <v/>
      </c>
      <c r="Q27" s="191">
        <f>IF(M27&gt;0,"⚑ PAST MIDNIGHT",IF(L27&gt;0,"⚑ PAST 10PM",""))</f>
        <v/>
      </c>
      <c r="R27" s="192">
        <f>IF(K27="✘ Not Complied","⚑ FUEL NON-COMPLIANT","")</f>
        <v/>
      </c>
    </row>
    <row r="28" ht="15" customHeight="1" s="122">
      <c r="A28" s="186" t="inlineStr">
        <is>
          <t>KBB 124Q</t>
        </is>
      </c>
      <c r="B28" s="170">
        <f>IFERROR(xlookup(A28,'FLEET REGISTER'!$B:$B,'FLEET REGISTER'!$D:$D),"—")</f>
        <v/>
      </c>
      <c r="C28" s="170">
        <f>IFERROR(xlookup(A28,'FLEET REGISTER'!$B:$B,'FLEET REGISTER'!$E:$E),"—")</f>
        <v/>
      </c>
      <c r="D28" s="170">
        <f>IFERROR(xlookup(A28,'FLEET REGISTER'!$B:$B,'FLEET REGISTER'!$F:$F),"—")</f>
        <v/>
      </c>
      <c r="E28" s="170">
        <f>IFERROR(xlookup(A28,'FLEET REGISTER'!$B:$B,'FLEET REGISTER'!$G:$G),"—")</f>
        <v/>
      </c>
      <c r="F28" s="170">
        <f>IFERROR(xlookup(A28,'FLEET REGISTER'!$B:$B,'FLEET REGISTER'!$H:$H),"—")</f>
        <v/>
      </c>
      <c r="G28" s="187">
        <f>IFERROR(xlookup(A28,'RAW ODOMETER'!$A:$A,'RAW ODOMETER'!$M:$M,0),0)</f>
        <v/>
      </c>
      <c r="H28" s="187">
        <f>IFERROR(xlookup(A28,'RAW FUEL DATA'!$A:$A,'RAW FUEL DATA'!$K:$K,0),0)</f>
        <v/>
      </c>
      <c r="I28" s="187">
        <f>IFERROR(xlookup(A28,'RAW FUEL DATA'!$A:$A,'RAW FUEL DATA'!$L:$L,0),0)</f>
        <v/>
      </c>
      <c r="J28" s="188">
        <f>IF(F28="Honda",40.5,12.6)</f>
        <v/>
      </c>
      <c r="K28" s="170">
        <f>IF(I28=0,"No Data",IF(I28&gt;=J28,"✔ Complied","✘ Not Complied"))</f>
        <v/>
      </c>
      <c r="L28" s="170">
        <f>IFERROR(COUNTIFS('RAW TRIPS'!$A:$A,A28,'RAW TRIPS'!$G:$G,"Yes"),0)</f>
        <v/>
      </c>
      <c r="M28" s="170">
        <f>IFERROR(COUNTIFS('RAW TRIPS'!$A:$A,A28,'RAW TRIPS'!$H:$H,"Yes"),0)</f>
        <v/>
      </c>
      <c r="N28" s="189">
        <f>IFERROR(maxifs('RAW TRIPS'!$F:$F,'RAW TRIPS'!$A:$A,A28),0)</f>
        <v/>
      </c>
      <c r="O28" s="170">
        <f>IF(N28=0,"No Data",IF(N28&lt;=90,"✔ Complied","✘ SPEEDING"))</f>
        <v/>
      </c>
      <c r="P28" s="190">
        <f>IF(N28&gt;90,"⚑ SPEED VIOLATION","")</f>
        <v/>
      </c>
      <c r="Q28" s="191">
        <f>IF(M28&gt;0,"⚑ PAST MIDNIGHT",IF(L28&gt;0,"⚑ PAST 10PM",""))</f>
        <v/>
      </c>
      <c r="R28" s="192">
        <f>IF(K28="✘ Not Complied","⚑ FUEL NON-COMPLIANT","")</f>
        <v/>
      </c>
    </row>
    <row r="29" ht="15" customHeight="1" s="122">
      <c r="A29" s="186" t="inlineStr">
        <is>
          <t>KBB 125Q</t>
        </is>
      </c>
      <c r="B29" s="170">
        <f>IFERROR(xlookup(A29,'FLEET REGISTER'!$B:$B,'FLEET REGISTER'!$D:$D),"—")</f>
        <v/>
      </c>
      <c r="C29" s="170">
        <f>IFERROR(xlookup(A29,'FLEET REGISTER'!$B:$B,'FLEET REGISTER'!$E:$E),"—")</f>
        <v/>
      </c>
      <c r="D29" s="170">
        <f>IFERROR(xlookup(A29,'FLEET REGISTER'!$B:$B,'FLEET REGISTER'!$F:$F),"—")</f>
        <v/>
      </c>
      <c r="E29" s="170">
        <f>IFERROR(xlookup(A29,'FLEET REGISTER'!$B:$B,'FLEET REGISTER'!$G:$G),"—")</f>
        <v/>
      </c>
      <c r="F29" s="170">
        <f>IFERROR(xlookup(A29,'FLEET REGISTER'!$B:$B,'FLEET REGISTER'!$H:$H),"—")</f>
        <v/>
      </c>
      <c r="G29" s="187">
        <f>IFERROR(xlookup(A29,'RAW ODOMETER'!$A:$A,'RAW ODOMETER'!$M:$M,0),0)</f>
        <v/>
      </c>
      <c r="H29" s="187">
        <f>IFERROR(xlookup(A29,'RAW FUEL DATA'!$A:$A,'RAW FUEL DATA'!$K:$K,0),0)</f>
        <v/>
      </c>
      <c r="I29" s="187">
        <f>IFERROR(xlookup(A29,'RAW FUEL DATA'!$A:$A,'RAW FUEL DATA'!$L:$L,0),0)</f>
        <v/>
      </c>
      <c r="J29" s="188">
        <f>IF(F29="Honda",40.5,12.6)</f>
        <v/>
      </c>
      <c r="K29" s="170">
        <f>IF(I29=0,"No Data",IF(I29&gt;=J29,"✔ Complied","✘ Not Complied"))</f>
        <v/>
      </c>
      <c r="L29" s="170">
        <f>IFERROR(COUNTIFS('RAW TRIPS'!$A:$A,A29,'RAW TRIPS'!$G:$G,"Yes"),0)</f>
        <v/>
      </c>
      <c r="M29" s="170">
        <f>IFERROR(COUNTIFS('RAW TRIPS'!$A:$A,A29,'RAW TRIPS'!$H:$H,"Yes"),0)</f>
        <v/>
      </c>
      <c r="N29" s="189">
        <f>IFERROR(maxifs('RAW TRIPS'!$F:$F,'RAW TRIPS'!$A:$A,A29),0)</f>
        <v/>
      </c>
      <c r="O29" s="170">
        <f>IF(N29=0,"No Data",IF(N29&lt;=90,"✔ Complied","✘ SPEEDING"))</f>
        <v/>
      </c>
      <c r="P29" s="190">
        <f>IF(N29&gt;90,"⚑ SPEED VIOLATION","")</f>
        <v/>
      </c>
      <c r="Q29" s="191">
        <f>IF(M29&gt;0,"⚑ PAST MIDNIGHT",IF(L29&gt;0,"⚑ PAST 10PM",""))</f>
        <v/>
      </c>
      <c r="R29" s="192">
        <f>IF(K29="✘ Not Complied","⚑ FUEL NON-COMPLIANT","")</f>
        <v/>
      </c>
    </row>
    <row r="30" ht="15" customHeight="1" s="122">
      <c r="A30" s="186" t="inlineStr">
        <is>
          <t>KBB 126Q</t>
        </is>
      </c>
      <c r="B30" s="170">
        <f>IFERROR(xlookup(A30,'FLEET REGISTER'!$B:$B,'FLEET REGISTER'!$D:$D),"—")</f>
        <v/>
      </c>
      <c r="C30" s="170">
        <f>IFERROR(xlookup(A30,'FLEET REGISTER'!$B:$B,'FLEET REGISTER'!$E:$E),"—")</f>
        <v/>
      </c>
      <c r="D30" s="170">
        <f>IFERROR(xlookup(A30,'FLEET REGISTER'!$B:$B,'FLEET REGISTER'!$F:$F),"—")</f>
        <v/>
      </c>
      <c r="E30" s="170">
        <f>IFERROR(xlookup(A30,'FLEET REGISTER'!$B:$B,'FLEET REGISTER'!$G:$G),"—")</f>
        <v/>
      </c>
      <c r="F30" s="170">
        <f>IFERROR(xlookup(A30,'FLEET REGISTER'!$B:$B,'FLEET REGISTER'!$H:$H),"—")</f>
        <v/>
      </c>
      <c r="G30" s="187">
        <f>IFERROR(xlookup(A30,'RAW ODOMETER'!$A:$A,'RAW ODOMETER'!$M:$M,0),0)</f>
        <v/>
      </c>
      <c r="H30" s="187">
        <f>IFERROR(xlookup(A30,'RAW FUEL DATA'!$A:$A,'RAW FUEL DATA'!$K:$K,0),0)</f>
        <v/>
      </c>
      <c r="I30" s="187">
        <f>IFERROR(xlookup(A30,'RAW FUEL DATA'!$A:$A,'RAW FUEL DATA'!$L:$L,0),0)</f>
        <v/>
      </c>
      <c r="J30" s="188">
        <f>IF(F30="Honda",40.5,12.6)</f>
        <v/>
      </c>
      <c r="K30" s="170">
        <f>IF(I30=0,"No Data",IF(I30&gt;=J30,"✔ Complied","✘ Not Complied"))</f>
        <v/>
      </c>
      <c r="L30" s="170">
        <f>IFERROR(COUNTIFS('RAW TRIPS'!$A:$A,A30,'RAW TRIPS'!$G:$G,"Yes"),0)</f>
        <v/>
      </c>
      <c r="M30" s="170">
        <f>IFERROR(COUNTIFS('RAW TRIPS'!$A:$A,A30,'RAW TRIPS'!$H:$H,"Yes"),0)</f>
        <v/>
      </c>
      <c r="N30" s="189">
        <f>IFERROR(maxifs('RAW TRIPS'!$F:$F,'RAW TRIPS'!$A:$A,A30),0)</f>
        <v/>
      </c>
      <c r="O30" s="170">
        <f>IF(N30=0,"No Data",IF(N30&lt;=90,"✔ Complied","✘ SPEEDING"))</f>
        <v/>
      </c>
      <c r="P30" s="190">
        <f>IF(N30&gt;90,"⚑ SPEED VIOLATION","")</f>
        <v/>
      </c>
      <c r="Q30" s="191">
        <f>IF(M30&gt;0,"⚑ PAST MIDNIGHT",IF(L30&gt;0,"⚑ PAST 10PM",""))</f>
        <v/>
      </c>
      <c r="R30" s="192">
        <f>IF(K30="✘ Not Complied","⚑ FUEL NON-COMPLIANT","")</f>
        <v/>
      </c>
    </row>
    <row r="31" ht="15" customHeight="1" s="122">
      <c r="A31" s="186" t="inlineStr">
        <is>
          <t>KBB 127Q</t>
        </is>
      </c>
      <c r="B31" s="170">
        <f>IFERROR(xlookup(A31,'FLEET REGISTER'!$B:$B,'FLEET REGISTER'!$D:$D),"—")</f>
        <v/>
      </c>
      <c r="C31" s="170">
        <f>IFERROR(xlookup(A31,'FLEET REGISTER'!$B:$B,'FLEET REGISTER'!$E:$E),"—")</f>
        <v/>
      </c>
      <c r="D31" s="170">
        <f>IFERROR(xlookup(A31,'FLEET REGISTER'!$B:$B,'FLEET REGISTER'!$F:$F),"—")</f>
        <v/>
      </c>
      <c r="E31" s="170">
        <f>IFERROR(xlookup(A31,'FLEET REGISTER'!$B:$B,'FLEET REGISTER'!$G:$G),"—")</f>
        <v/>
      </c>
      <c r="F31" s="170">
        <f>IFERROR(xlookup(A31,'FLEET REGISTER'!$B:$B,'FLEET REGISTER'!$H:$H),"—")</f>
        <v/>
      </c>
      <c r="G31" s="187">
        <f>IFERROR(xlookup(A31,'RAW ODOMETER'!$A:$A,'RAW ODOMETER'!$M:$M,0),0)</f>
        <v/>
      </c>
      <c r="H31" s="187">
        <f>IFERROR(xlookup(A31,'RAW FUEL DATA'!$A:$A,'RAW FUEL DATA'!$K:$K,0),0)</f>
        <v/>
      </c>
      <c r="I31" s="187">
        <f>IFERROR(xlookup(A31,'RAW FUEL DATA'!$A:$A,'RAW FUEL DATA'!$L:$L,0),0)</f>
        <v/>
      </c>
      <c r="J31" s="188">
        <f>IF(F31="Honda",40.5,12.6)</f>
        <v/>
      </c>
      <c r="K31" s="170">
        <f>IF(I31=0,"No Data",IF(I31&gt;=J31,"✔ Complied","✘ Not Complied"))</f>
        <v/>
      </c>
      <c r="L31" s="170">
        <f>IFERROR(COUNTIFS('RAW TRIPS'!$A:$A,A31,'RAW TRIPS'!$G:$G,"Yes"),0)</f>
        <v/>
      </c>
      <c r="M31" s="170">
        <f>IFERROR(COUNTIFS('RAW TRIPS'!$A:$A,A31,'RAW TRIPS'!$H:$H,"Yes"),0)</f>
        <v/>
      </c>
      <c r="N31" s="189">
        <f>IFERROR(maxifs('RAW TRIPS'!$F:$F,'RAW TRIPS'!$A:$A,A31),0)</f>
        <v/>
      </c>
      <c r="O31" s="170">
        <f>IF(N31=0,"No Data",IF(N31&lt;=90,"✔ Complied","✘ SPEEDING"))</f>
        <v/>
      </c>
      <c r="P31" s="190">
        <f>IF(N31&gt;90,"⚑ SPEED VIOLATION","")</f>
        <v/>
      </c>
      <c r="Q31" s="191">
        <f>IF(M31&gt;0,"⚑ PAST MIDNIGHT",IF(L31&gt;0,"⚑ PAST 10PM",""))</f>
        <v/>
      </c>
      <c r="R31" s="192">
        <f>IF(K31="✘ Not Complied","⚑ FUEL NON-COMPLIANT","")</f>
        <v/>
      </c>
    </row>
    <row r="32" ht="15" customHeight="1" s="122">
      <c r="A32" s="186" t="inlineStr">
        <is>
          <t>KBB 128Q</t>
        </is>
      </c>
      <c r="B32" s="170">
        <f>IFERROR(xlookup(A32,'FLEET REGISTER'!$B:$B,'FLEET REGISTER'!$D:$D),"—")</f>
        <v/>
      </c>
      <c r="C32" s="170">
        <f>IFERROR(xlookup(A32,'FLEET REGISTER'!$B:$B,'FLEET REGISTER'!$E:$E),"—")</f>
        <v/>
      </c>
      <c r="D32" s="170">
        <f>IFERROR(xlookup(A32,'FLEET REGISTER'!$B:$B,'FLEET REGISTER'!$F:$F),"—")</f>
        <v/>
      </c>
      <c r="E32" s="170">
        <f>IFERROR(xlookup(A32,'FLEET REGISTER'!$B:$B,'FLEET REGISTER'!$G:$G),"—")</f>
        <v/>
      </c>
      <c r="F32" s="170">
        <f>IFERROR(xlookup(A32,'FLEET REGISTER'!$B:$B,'FLEET REGISTER'!$H:$H),"—")</f>
        <v/>
      </c>
      <c r="G32" s="187">
        <f>IFERROR(xlookup(A32,'RAW ODOMETER'!$A:$A,'RAW ODOMETER'!$M:$M,0),0)</f>
        <v/>
      </c>
      <c r="H32" s="187">
        <f>IFERROR(xlookup(A32,'RAW FUEL DATA'!$A:$A,'RAW FUEL DATA'!$K:$K,0),0)</f>
        <v/>
      </c>
      <c r="I32" s="187">
        <f>IFERROR(xlookup(A32,'RAW FUEL DATA'!$A:$A,'RAW FUEL DATA'!$L:$L,0),0)</f>
        <v/>
      </c>
      <c r="J32" s="188">
        <f>IF(F32="Honda",40.5,12.6)</f>
        <v/>
      </c>
      <c r="K32" s="170">
        <f>IF(I32=0,"No Data",IF(I32&gt;=J32,"✔ Complied","✘ Not Complied"))</f>
        <v/>
      </c>
      <c r="L32" s="170">
        <f>IFERROR(COUNTIFS('RAW TRIPS'!$A:$A,A32,'RAW TRIPS'!$G:$G,"Yes"),0)</f>
        <v/>
      </c>
      <c r="M32" s="170">
        <f>IFERROR(COUNTIFS('RAW TRIPS'!$A:$A,A32,'RAW TRIPS'!$H:$H,"Yes"),0)</f>
        <v/>
      </c>
      <c r="N32" s="189">
        <f>IFERROR(maxifs('RAW TRIPS'!$F:$F,'RAW TRIPS'!$A:$A,A32),0)</f>
        <v/>
      </c>
      <c r="O32" s="170">
        <f>IF(N32=0,"No Data",IF(N32&lt;=90,"✔ Complied","✘ SPEEDING"))</f>
        <v/>
      </c>
      <c r="P32" s="190">
        <f>IF(N32&gt;90,"⚑ SPEED VIOLATION","")</f>
        <v/>
      </c>
      <c r="Q32" s="191">
        <f>IF(M32&gt;0,"⚑ PAST MIDNIGHT",IF(L32&gt;0,"⚑ PAST 10PM",""))</f>
        <v/>
      </c>
      <c r="R32" s="192">
        <f>IF(K32="✘ Not Complied","⚑ FUEL NON-COMPLIANT","")</f>
        <v/>
      </c>
    </row>
    <row r="33" ht="15" customHeight="1" s="122">
      <c r="A33" s="186" t="inlineStr">
        <is>
          <t>KAAB 200Z</t>
        </is>
      </c>
      <c r="B33" s="170">
        <f>IFERROR(xlookup(A33,'FLEET REGISTER'!$B:$B,'FLEET REGISTER'!$D:$D),"—")</f>
        <v/>
      </c>
      <c r="C33" s="170">
        <f>IFERROR(xlookup(A33,'FLEET REGISTER'!$B:$B,'FLEET REGISTER'!$E:$E),"—")</f>
        <v/>
      </c>
      <c r="D33" s="170">
        <f>IFERROR(xlookup(A33,'FLEET REGISTER'!$B:$B,'FLEET REGISTER'!$F:$F),"—")</f>
        <v/>
      </c>
      <c r="E33" s="170">
        <f>IFERROR(xlookup(A33,'FLEET REGISTER'!$B:$B,'FLEET REGISTER'!$G:$G),"—")</f>
        <v/>
      </c>
      <c r="F33" s="170">
        <f>IFERROR(xlookup(A33,'FLEET REGISTER'!$B:$B,'FLEET REGISTER'!$H:$H),"—")</f>
        <v/>
      </c>
      <c r="G33" s="187">
        <f>IFERROR(xlookup(A33,'RAW ODOMETER'!$A:$A,'RAW ODOMETER'!$M:$M,0),0)</f>
        <v/>
      </c>
      <c r="H33" s="187">
        <f>IFERROR(xlookup(A33,'RAW FUEL DATA'!$A:$A,'RAW FUEL DATA'!$K:$K,0),0)</f>
        <v/>
      </c>
      <c r="I33" s="187">
        <f>IFERROR(xlookup(A33,'RAW FUEL DATA'!$A:$A,'RAW FUEL DATA'!$L:$L,0),0)</f>
        <v/>
      </c>
      <c r="J33" s="188">
        <f>IF(F33="Honda",40.5,12.6)</f>
        <v/>
      </c>
      <c r="K33" s="170">
        <f>IF(I33=0,"No Data",IF(I33&gt;=J33,"✔ Complied","✘ Not Complied"))</f>
        <v/>
      </c>
      <c r="L33" s="170">
        <f>IFERROR(COUNTIFS('RAW TRIPS'!$A:$A,A33,'RAW TRIPS'!$G:$G,"Yes"),0)</f>
        <v/>
      </c>
      <c r="M33" s="170">
        <f>IFERROR(COUNTIFS('RAW TRIPS'!$A:$A,A33,'RAW TRIPS'!$H:$H,"Yes"),0)</f>
        <v/>
      </c>
      <c r="N33" s="189">
        <f>IFERROR(maxifs('RAW TRIPS'!$F:$F,'RAW TRIPS'!$A:$A,A33),0)</f>
        <v/>
      </c>
      <c r="O33" s="170">
        <f>IF(N33=0,"No Data",IF(N33&lt;=90,"✔ Complied","✘ SPEEDING"))</f>
        <v/>
      </c>
      <c r="P33" s="190">
        <f>IF(N33&gt;90,"⚑ SPEED VIOLATION","")</f>
        <v/>
      </c>
      <c r="Q33" s="191">
        <f>IF(M33&gt;0,"⚑ PAST MIDNIGHT",IF(L33&gt;0,"⚑ PAST 10PM",""))</f>
        <v/>
      </c>
      <c r="R33" s="192">
        <f>IF(K33="✘ Not Complied","⚑ FUEL NON-COMPLIANT","")</f>
        <v/>
      </c>
    </row>
    <row r="34" ht="15" customHeight="1" s="122">
      <c r="A34" s="186" t="inlineStr">
        <is>
          <t>KAAC 300C</t>
        </is>
      </c>
      <c r="B34" s="170">
        <f>IFERROR(xlookup(A34,'FLEET REGISTER'!$B:$B,'FLEET REGISTER'!$D:$D),"—")</f>
        <v/>
      </c>
      <c r="C34" s="170">
        <f>IFERROR(xlookup(A34,'FLEET REGISTER'!$B:$B,'FLEET REGISTER'!$E:$E),"—")</f>
        <v/>
      </c>
      <c r="D34" s="170">
        <f>IFERROR(xlookup(A34,'FLEET REGISTER'!$B:$B,'FLEET REGISTER'!$F:$F),"—")</f>
        <v/>
      </c>
      <c r="E34" s="170">
        <f>IFERROR(xlookup(A34,'FLEET REGISTER'!$B:$B,'FLEET REGISTER'!$G:$G),"—")</f>
        <v/>
      </c>
      <c r="F34" s="170">
        <f>IFERROR(xlookup(A34,'FLEET REGISTER'!$B:$B,'FLEET REGISTER'!$H:$H),"—")</f>
        <v/>
      </c>
      <c r="G34" s="187">
        <f>IFERROR(xlookup(A34,'RAW ODOMETER'!$A:$A,'RAW ODOMETER'!$M:$M,0),0)</f>
        <v/>
      </c>
      <c r="H34" s="187">
        <f>IFERROR(xlookup(A34,'RAW FUEL DATA'!$A:$A,'RAW FUEL DATA'!$K:$K,0),0)</f>
        <v/>
      </c>
      <c r="I34" s="187">
        <f>IFERROR(xlookup(A34,'RAW FUEL DATA'!$A:$A,'RAW FUEL DATA'!$L:$L,0),0)</f>
        <v/>
      </c>
      <c r="J34" s="188">
        <f>IF(F34="Honda",40.5,12.6)</f>
        <v/>
      </c>
      <c r="K34" s="170">
        <f>IF(I34=0,"No Data",IF(I34&gt;=J34,"✔ Complied","✘ Not Complied"))</f>
        <v/>
      </c>
      <c r="L34" s="170">
        <f>IFERROR(COUNTIFS('RAW TRIPS'!$A:$A,A34,'RAW TRIPS'!$G:$G,"Yes"),0)</f>
        <v/>
      </c>
      <c r="M34" s="170">
        <f>IFERROR(COUNTIFS('RAW TRIPS'!$A:$A,A34,'RAW TRIPS'!$H:$H,"Yes"),0)</f>
        <v/>
      </c>
      <c r="N34" s="189">
        <f>IFERROR(maxifs('RAW TRIPS'!$F:$F,'RAW TRIPS'!$A:$A,A34),0)</f>
        <v/>
      </c>
      <c r="O34" s="170">
        <f>IF(N34=0,"No Data",IF(N34&lt;=90,"✔ Complied","✘ SPEEDING"))</f>
        <v/>
      </c>
      <c r="P34" s="190">
        <f>IF(N34&gt;90,"⚑ SPEED VIOLATION","")</f>
        <v/>
      </c>
      <c r="Q34" s="191">
        <f>IF(M34&gt;0,"⚑ PAST MIDNIGHT",IF(L34&gt;0,"⚑ PAST 10PM",""))</f>
        <v/>
      </c>
      <c r="R34" s="192">
        <f>IF(K34="✘ Not Complied","⚑ FUEL NON-COMPLIANT","")</f>
        <v/>
      </c>
    </row>
    <row r="35" ht="15" customHeight="1" s="122">
      <c r="A35" s="186" t="inlineStr">
        <is>
          <t>KAAC 301C</t>
        </is>
      </c>
      <c r="B35" s="170">
        <f>IFERROR(xlookup(A35,'FLEET REGISTER'!$B:$B,'FLEET REGISTER'!$D:$D),"—")</f>
        <v/>
      </c>
      <c r="C35" s="170">
        <f>IFERROR(xlookup(A35,'FLEET REGISTER'!$B:$B,'FLEET REGISTER'!$E:$E),"—")</f>
        <v/>
      </c>
      <c r="D35" s="170">
        <f>IFERROR(xlookup(A35,'FLEET REGISTER'!$B:$B,'FLEET REGISTER'!$F:$F),"—")</f>
        <v/>
      </c>
      <c r="E35" s="170">
        <f>IFERROR(xlookup(A35,'FLEET REGISTER'!$B:$B,'FLEET REGISTER'!$G:$G),"—")</f>
        <v/>
      </c>
      <c r="F35" s="170">
        <f>IFERROR(xlookup(A35,'FLEET REGISTER'!$B:$B,'FLEET REGISTER'!$H:$H),"—")</f>
        <v/>
      </c>
      <c r="G35" s="187">
        <f>IFERROR(xlookup(A35,'RAW ODOMETER'!$A:$A,'RAW ODOMETER'!$M:$M,0),0)</f>
        <v/>
      </c>
      <c r="H35" s="187">
        <f>IFERROR(xlookup(A35,'RAW FUEL DATA'!$A:$A,'RAW FUEL DATA'!$K:$K,0),0)</f>
        <v/>
      </c>
      <c r="I35" s="187">
        <f>IFERROR(xlookup(A35,'RAW FUEL DATA'!$A:$A,'RAW FUEL DATA'!$L:$L,0),0)</f>
        <v/>
      </c>
      <c r="J35" s="188">
        <f>IF(F35="Honda",40.5,12.6)</f>
        <v/>
      </c>
      <c r="K35" s="170">
        <f>IF(I35=0,"No Data",IF(I35&gt;=J35,"✔ Complied","✘ Not Complied"))</f>
        <v/>
      </c>
      <c r="L35" s="170">
        <f>IFERROR(COUNTIFS('RAW TRIPS'!$A:$A,A35,'RAW TRIPS'!$G:$G,"Yes"),0)</f>
        <v/>
      </c>
      <c r="M35" s="170">
        <f>IFERROR(COUNTIFS('RAW TRIPS'!$A:$A,A35,'RAW TRIPS'!$H:$H,"Yes"),0)</f>
        <v/>
      </c>
      <c r="N35" s="189">
        <f>IFERROR(maxifs('RAW TRIPS'!$F:$F,'RAW TRIPS'!$A:$A,A35),0)</f>
        <v/>
      </c>
      <c r="O35" s="170">
        <f>IF(N35=0,"No Data",IF(N35&lt;=90,"✔ Complied","✘ SPEEDING"))</f>
        <v/>
      </c>
      <c r="P35" s="190">
        <f>IF(N35&gt;90,"⚑ SPEED VIOLATION","")</f>
        <v/>
      </c>
      <c r="Q35" s="191">
        <f>IF(M35&gt;0,"⚑ PAST MIDNIGHT",IF(L35&gt;0,"⚑ PAST 10PM",""))</f>
        <v/>
      </c>
      <c r="R35" s="192">
        <f>IF(K35="✘ Not Complied","⚑ FUEL NON-COMPLIANT","")</f>
        <v/>
      </c>
    </row>
    <row r="36" ht="15" customHeight="1" s="122">
      <c r="A36" s="186" t="inlineStr">
        <is>
          <t>KAAB 201Z</t>
        </is>
      </c>
      <c r="B36" s="170">
        <f>IFERROR(xlookup(A36,'FLEET REGISTER'!$B:$B,'FLEET REGISTER'!$D:$D),"—")</f>
        <v/>
      </c>
      <c r="C36" s="170">
        <f>IFERROR(xlookup(A36,'FLEET REGISTER'!$B:$B,'FLEET REGISTER'!$E:$E),"—")</f>
        <v/>
      </c>
      <c r="D36" s="170">
        <f>IFERROR(xlookup(A36,'FLEET REGISTER'!$B:$B,'FLEET REGISTER'!$F:$F),"—")</f>
        <v/>
      </c>
      <c r="E36" s="170">
        <f>IFERROR(xlookup(A36,'FLEET REGISTER'!$B:$B,'FLEET REGISTER'!$G:$G),"—")</f>
        <v/>
      </c>
      <c r="F36" s="170">
        <f>IFERROR(xlookup(A36,'FLEET REGISTER'!$B:$B,'FLEET REGISTER'!$H:$H),"—")</f>
        <v/>
      </c>
      <c r="G36" s="187">
        <f>IFERROR(xlookup(A36,'RAW ODOMETER'!$A:$A,'RAW ODOMETER'!$M:$M,0),0)</f>
        <v/>
      </c>
      <c r="H36" s="187">
        <f>IFERROR(xlookup(A36,'RAW FUEL DATA'!$A:$A,'RAW FUEL DATA'!$K:$K,0),0)</f>
        <v/>
      </c>
      <c r="I36" s="187">
        <f>IFERROR(xlookup(A36,'RAW FUEL DATA'!$A:$A,'RAW FUEL DATA'!$L:$L,0),0)</f>
        <v/>
      </c>
      <c r="J36" s="188">
        <f>IF(F36="Honda",40.5,12.6)</f>
        <v/>
      </c>
      <c r="K36" s="170">
        <f>IF(I36=0,"No Data",IF(I36&gt;=J36,"✔ Complied","✘ Not Complied"))</f>
        <v/>
      </c>
      <c r="L36" s="170">
        <f>IFERROR(COUNTIFS('RAW TRIPS'!$A:$A,A36,'RAW TRIPS'!$G:$G,"Yes"),0)</f>
        <v/>
      </c>
      <c r="M36" s="170">
        <f>IFERROR(COUNTIFS('RAW TRIPS'!$A:$A,A36,'RAW TRIPS'!$H:$H,"Yes"),0)</f>
        <v/>
      </c>
      <c r="N36" s="189">
        <f>IFERROR(maxifs('RAW TRIPS'!$F:$F,'RAW TRIPS'!$A:$A,A36),0)</f>
        <v/>
      </c>
      <c r="O36" s="170">
        <f>IF(N36=0,"No Data",IF(N36&lt;=90,"✔ Complied","✘ SPEEDING"))</f>
        <v/>
      </c>
      <c r="P36" s="190">
        <f>IF(N36&gt;90,"⚑ SPEED VIOLATION","")</f>
        <v/>
      </c>
      <c r="Q36" s="191">
        <f>IF(M36&gt;0,"⚑ PAST MIDNIGHT",IF(L36&gt;0,"⚑ PAST 10PM",""))</f>
        <v/>
      </c>
      <c r="R36" s="192">
        <f>IF(K36="✘ Not Complied","⚑ FUEL NON-COMPLIANT","")</f>
        <v/>
      </c>
    </row>
    <row r="37" ht="15" customHeight="1" s="122">
      <c r="A37" s="186" t="inlineStr">
        <is>
          <t>KAAB 202Z</t>
        </is>
      </c>
      <c r="B37" s="170">
        <f>IFERROR(xlookup(A37,'FLEET REGISTER'!$B:$B,'FLEET REGISTER'!$D:$D),"—")</f>
        <v/>
      </c>
      <c r="C37" s="170">
        <f>IFERROR(xlookup(A37,'FLEET REGISTER'!$B:$B,'FLEET REGISTER'!$E:$E),"—")</f>
        <v/>
      </c>
      <c r="D37" s="170">
        <f>IFERROR(xlookup(A37,'FLEET REGISTER'!$B:$B,'FLEET REGISTER'!$F:$F),"—")</f>
        <v/>
      </c>
      <c r="E37" s="170">
        <f>IFERROR(xlookup(A37,'FLEET REGISTER'!$B:$B,'FLEET REGISTER'!$G:$G),"—")</f>
        <v/>
      </c>
      <c r="F37" s="170">
        <f>IFERROR(xlookup(A37,'FLEET REGISTER'!$B:$B,'FLEET REGISTER'!$H:$H),"—")</f>
        <v/>
      </c>
      <c r="G37" s="187">
        <f>IFERROR(xlookup(A37,'RAW ODOMETER'!$A:$A,'RAW ODOMETER'!$M:$M,0),0)</f>
        <v/>
      </c>
      <c r="H37" s="187">
        <f>IFERROR(xlookup(A37,'RAW FUEL DATA'!$A:$A,'RAW FUEL DATA'!$K:$K,0),0)</f>
        <v/>
      </c>
      <c r="I37" s="187">
        <f>IFERROR(xlookup(A37,'RAW FUEL DATA'!$A:$A,'RAW FUEL DATA'!$L:$L,0),0)</f>
        <v/>
      </c>
      <c r="J37" s="188">
        <f>IF(F37="Honda",40.5,12.6)</f>
        <v/>
      </c>
      <c r="K37" s="170">
        <f>IF(I37=0,"No Data",IF(I37&gt;=J37,"✔ Complied","✘ Not Complied"))</f>
        <v/>
      </c>
      <c r="L37" s="170">
        <f>IFERROR(COUNTIFS('RAW TRIPS'!$A:$A,A37,'RAW TRIPS'!$G:$G,"Yes"),0)</f>
        <v/>
      </c>
      <c r="M37" s="170">
        <f>IFERROR(COUNTIFS('RAW TRIPS'!$A:$A,A37,'RAW TRIPS'!$H:$H,"Yes"),0)</f>
        <v/>
      </c>
      <c r="N37" s="189">
        <f>IFERROR(maxifs('RAW TRIPS'!$F:$F,'RAW TRIPS'!$A:$A,A37),0)</f>
        <v/>
      </c>
      <c r="O37" s="170">
        <f>IF(N37=0,"No Data",IF(N37&lt;=90,"✔ Complied","✘ SPEEDING"))</f>
        <v/>
      </c>
      <c r="P37" s="190">
        <f>IF(N37&gt;90,"⚑ SPEED VIOLATION","")</f>
        <v/>
      </c>
      <c r="Q37" s="191">
        <f>IF(M37&gt;0,"⚑ PAST MIDNIGHT",IF(L37&gt;0,"⚑ PAST 10PM",""))</f>
        <v/>
      </c>
      <c r="R37" s="192">
        <f>IF(K37="✘ Not Complied","⚑ FUEL NON-COMPLIANT","")</f>
        <v/>
      </c>
    </row>
    <row r="38" ht="15" customHeight="1" s="122">
      <c r="A38" s="186" t="inlineStr">
        <is>
          <t>KAAC 302C</t>
        </is>
      </c>
      <c r="B38" s="170">
        <f>IFERROR(xlookup(A38,'FLEET REGISTER'!$B:$B,'FLEET REGISTER'!$D:$D),"—")</f>
        <v/>
      </c>
      <c r="C38" s="170">
        <f>IFERROR(xlookup(A38,'FLEET REGISTER'!$B:$B,'FLEET REGISTER'!$E:$E),"—")</f>
        <v/>
      </c>
      <c r="D38" s="170">
        <f>IFERROR(xlookup(A38,'FLEET REGISTER'!$B:$B,'FLEET REGISTER'!$F:$F),"—")</f>
        <v/>
      </c>
      <c r="E38" s="170">
        <f>IFERROR(xlookup(A38,'FLEET REGISTER'!$B:$B,'FLEET REGISTER'!$G:$G),"—")</f>
        <v/>
      </c>
      <c r="F38" s="170">
        <f>IFERROR(xlookup(A38,'FLEET REGISTER'!$B:$B,'FLEET REGISTER'!$H:$H),"—")</f>
        <v/>
      </c>
      <c r="G38" s="187">
        <f>IFERROR(xlookup(A38,'RAW ODOMETER'!$A:$A,'RAW ODOMETER'!$M:$M,0),0)</f>
        <v/>
      </c>
      <c r="H38" s="187">
        <f>IFERROR(xlookup(A38,'RAW FUEL DATA'!$A:$A,'RAW FUEL DATA'!$K:$K,0),0)</f>
        <v/>
      </c>
      <c r="I38" s="187">
        <f>IFERROR(xlookup(A38,'RAW FUEL DATA'!$A:$A,'RAW FUEL DATA'!$L:$L,0),0)</f>
        <v/>
      </c>
      <c r="J38" s="188">
        <f>IF(F38="Honda",40.5,12.6)</f>
        <v/>
      </c>
      <c r="K38" s="170">
        <f>IF(I38=0,"No Data",IF(I38&gt;=J38,"✔ Complied","✘ Not Complied"))</f>
        <v/>
      </c>
      <c r="L38" s="170">
        <f>IFERROR(COUNTIFS('RAW TRIPS'!$A:$A,A38,'RAW TRIPS'!$G:$G,"Yes"),0)</f>
        <v/>
      </c>
      <c r="M38" s="170">
        <f>IFERROR(COUNTIFS('RAW TRIPS'!$A:$A,A38,'RAW TRIPS'!$H:$H,"Yes"),0)</f>
        <v/>
      </c>
      <c r="N38" s="189">
        <f>IFERROR(maxifs('RAW TRIPS'!$F:$F,'RAW TRIPS'!$A:$A,A38),0)</f>
        <v/>
      </c>
      <c r="O38" s="170">
        <f>IF(N38=0,"No Data",IF(N38&lt;=90,"✔ Complied","✘ SPEEDING"))</f>
        <v/>
      </c>
      <c r="P38" s="190">
        <f>IF(N38&gt;90,"⚑ SPEED VIOLATION","")</f>
        <v/>
      </c>
      <c r="Q38" s="191">
        <f>IF(M38&gt;0,"⚑ PAST MIDNIGHT",IF(L38&gt;0,"⚑ PAST 10PM",""))</f>
        <v/>
      </c>
      <c r="R38" s="192">
        <f>IF(K38="✘ Not Complied","⚑ FUEL NON-COMPLIANT","")</f>
        <v/>
      </c>
    </row>
    <row r="39" ht="15" customHeight="1" s="122">
      <c r="A39" s="186" t="inlineStr">
        <is>
          <t>KAAC 303C</t>
        </is>
      </c>
      <c r="B39" s="170">
        <f>IFERROR(xlookup(A39,'FLEET REGISTER'!$B:$B,'FLEET REGISTER'!$D:$D),"—")</f>
        <v/>
      </c>
      <c r="C39" s="170">
        <f>IFERROR(xlookup(A39,'FLEET REGISTER'!$B:$B,'FLEET REGISTER'!$E:$E),"—")</f>
        <v/>
      </c>
      <c r="D39" s="170">
        <f>IFERROR(xlookup(A39,'FLEET REGISTER'!$B:$B,'FLEET REGISTER'!$F:$F),"—")</f>
        <v/>
      </c>
      <c r="E39" s="170">
        <f>IFERROR(xlookup(A39,'FLEET REGISTER'!$B:$B,'FLEET REGISTER'!$G:$G),"—")</f>
        <v/>
      </c>
      <c r="F39" s="170">
        <f>IFERROR(xlookup(A39,'FLEET REGISTER'!$B:$B,'FLEET REGISTER'!$H:$H),"—")</f>
        <v/>
      </c>
      <c r="G39" s="187">
        <f>IFERROR(xlookup(A39,'RAW ODOMETER'!$A:$A,'RAW ODOMETER'!$M:$M,0),0)</f>
        <v/>
      </c>
      <c r="H39" s="187">
        <f>IFERROR(xlookup(A39,'RAW FUEL DATA'!$A:$A,'RAW FUEL DATA'!$K:$K,0),0)</f>
        <v/>
      </c>
      <c r="I39" s="187">
        <f>IFERROR(xlookup(A39,'RAW FUEL DATA'!$A:$A,'RAW FUEL DATA'!$L:$L,0),0)</f>
        <v/>
      </c>
      <c r="J39" s="188">
        <f>IF(F39="Honda",40.5,12.6)</f>
        <v/>
      </c>
      <c r="K39" s="170">
        <f>IF(I39=0,"No Data",IF(I39&gt;=J39,"✔ Complied","✘ Not Complied"))</f>
        <v/>
      </c>
      <c r="L39" s="170">
        <f>IFERROR(COUNTIFS('RAW TRIPS'!$A:$A,A39,'RAW TRIPS'!$G:$G,"Yes"),0)</f>
        <v/>
      </c>
      <c r="M39" s="170">
        <f>IFERROR(COUNTIFS('RAW TRIPS'!$A:$A,A39,'RAW TRIPS'!$H:$H,"Yes"),0)</f>
        <v/>
      </c>
      <c r="N39" s="189">
        <f>IFERROR(maxifs('RAW TRIPS'!$F:$F,'RAW TRIPS'!$A:$A,A39),0)</f>
        <v/>
      </c>
      <c r="O39" s="170">
        <f>IF(N39=0,"No Data",IF(N39&lt;=90,"✔ Complied","✘ SPEEDING"))</f>
        <v/>
      </c>
      <c r="P39" s="190">
        <f>IF(N39&gt;90,"⚑ SPEED VIOLATION","")</f>
        <v/>
      </c>
      <c r="Q39" s="191">
        <f>IF(M39&gt;0,"⚑ PAST MIDNIGHT",IF(L39&gt;0,"⚑ PAST 10PM",""))</f>
        <v/>
      </c>
      <c r="R39" s="192">
        <f>IF(K39="✘ Not Complied","⚑ FUEL NON-COMPLIANT","")</f>
        <v/>
      </c>
    </row>
    <row r="40" ht="15" customHeight="1" s="122">
      <c r="A40" s="186" t="inlineStr">
        <is>
          <t>KAAB 203Z</t>
        </is>
      </c>
      <c r="B40" s="170">
        <f>IFERROR(xlookup(A40,'FLEET REGISTER'!$B:$B,'FLEET REGISTER'!$D:$D),"—")</f>
        <v/>
      </c>
      <c r="C40" s="170">
        <f>IFERROR(xlookup(A40,'FLEET REGISTER'!$B:$B,'FLEET REGISTER'!$E:$E),"—")</f>
        <v/>
      </c>
      <c r="D40" s="170">
        <f>IFERROR(xlookup(A40,'FLEET REGISTER'!$B:$B,'FLEET REGISTER'!$F:$F),"—")</f>
        <v/>
      </c>
      <c r="E40" s="170">
        <f>IFERROR(xlookup(A40,'FLEET REGISTER'!$B:$B,'FLEET REGISTER'!$G:$G),"—")</f>
        <v/>
      </c>
      <c r="F40" s="170">
        <f>IFERROR(xlookup(A40,'FLEET REGISTER'!$B:$B,'FLEET REGISTER'!$H:$H),"—")</f>
        <v/>
      </c>
      <c r="G40" s="187">
        <f>IFERROR(xlookup(A40,'RAW ODOMETER'!$A:$A,'RAW ODOMETER'!$M:$M,0),0)</f>
        <v/>
      </c>
      <c r="H40" s="187">
        <f>IFERROR(xlookup(A40,'RAW FUEL DATA'!$A:$A,'RAW FUEL DATA'!$K:$K,0),0)</f>
        <v/>
      </c>
      <c r="I40" s="187">
        <f>IFERROR(xlookup(A40,'RAW FUEL DATA'!$A:$A,'RAW FUEL DATA'!$L:$L,0),0)</f>
        <v/>
      </c>
      <c r="J40" s="188">
        <f>IF(F40="Honda",40.5,12.6)</f>
        <v/>
      </c>
      <c r="K40" s="170">
        <f>IF(I40=0,"No Data",IF(I40&gt;=J40,"✔ Complied","✘ Not Complied"))</f>
        <v/>
      </c>
      <c r="L40" s="170">
        <f>IFERROR(COUNTIFS('RAW TRIPS'!$A:$A,A40,'RAW TRIPS'!$G:$G,"Yes"),0)</f>
        <v/>
      </c>
      <c r="M40" s="170">
        <f>IFERROR(COUNTIFS('RAW TRIPS'!$A:$A,A40,'RAW TRIPS'!$H:$H,"Yes"),0)</f>
        <v/>
      </c>
      <c r="N40" s="189">
        <f>IFERROR(maxifs('RAW TRIPS'!$F:$F,'RAW TRIPS'!$A:$A,A40),0)</f>
        <v/>
      </c>
      <c r="O40" s="170">
        <f>IF(N40=0,"No Data",IF(N40&lt;=90,"✔ Complied","✘ SPEEDING"))</f>
        <v/>
      </c>
      <c r="P40" s="190">
        <f>IF(N40&gt;90,"⚑ SPEED VIOLATION","")</f>
        <v/>
      </c>
      <c r="Q40" s="191">
        <f>IF(M40&gt;0,"⚑ PAST MIDNIGHT",IF(L40&gt;0,"⚑ PAST 10PM",""))</f>
        <v/>
      </c>
      <c r="R40" s="192">
        <f>IF(K40="✘ Not Complied","⚑ FUEL NON-COMPLIANT","")</f>
        <v/>
      </c>
    </row>
    <row r="41" ht="15" customHeight="1" s="122">
      <c r="A41" s="186" t="inlineStr">
        <is>
          <t>KAAC 304C</t>
        </is>
      </c>
      <c r="B41" s="170">
        <f>IFERROR(xlookup(A41,'FLEET REGISTER'!$B:$B,'FLEET REGISTER'!$D:$D),"—")</f>
        <v/>
      </c>
      <c r="C41" s="170">
        <f>IFERROR(xlookup(A41,'FLEET REGISTER'!$B:$B,'FLEET REGISTER'!$E:$E),"—")</f>
        <v/>
      </c>
      <c r="D41" s="170">
        <f>IFERROR(xlookup(A41,'FLEET REGISTER'!$B:$B,'FLEET REGISTER'!$F:$F),"—")</f>
        <v/>
      </c>
      <c r="E41" s="170">
        <f>IFERROR(xlookup(A41,'FLEET REGISTER'!$B:$B,'FLEET REGISTER'!$G:$G),"—")</f>
        <v/>
      </c>
      <c r="F41" s="170">
        <f>IFERROR(xlookup(A41,'FLEET REGISTER'!$B:$B,'FLEET REGISTER'!$H:$H),"—")</f>
        <v/>
      </c>
      <c r="G41" s="187">
        <f>IFERROR(xlookup(A41,'RAW ODOMETER'!$A:$A,'RAW ODOMETER'!$M:$M,0),0)</f>
        <v/>
      </c>
      <c r="H41" s="187">
        <f>IFERROR(xlookup(A41,'RAW FUEL DATA'!$A:$A,'RAW FUEL DATA'!$K:$K,0),0)</f>
        <v/>
      </c>
      <c r="I41" s="187">
        <f>IFERROR(xlookup(A41,'RAW FUEL DATA'!$A:$A,'RAW FUEL DATA'!$L:$L,0),0)</f>
        <v/>
      </c>
      <c r="J41" s="188">
        <f>IF(F41="Honda",40.5,12.6)</f>
        <v/>
      </c>
      <c r="K41" s="170">
        <f>IF(I41=0,"No Data",IF(I41&gt;=J41,"✔ Complied","✘ Not Complied"))</f>
        <v/>
      </c>
      <c r="L41" s="170">
        <f>IFERROR(COUNTIFS('RAW TRIPS'!$A:$A,A41,'RAW TRIPS'!$G:$G,"Yes"),0)</f>
        <v/>
      </c>
      <c r="M41" s="170">
        <f>IFERROR(COUNTIFS('RAW TRIPS'!$A:$A,A41,'RAW TRIPS'!$H:$H,"Yes"),0)</f>
        <v/>
      </c>
      <c r="N41" s="189">
        <f>IFERROR(maxifs('RAW TRIPS'!$F:$F,'RAW TRIPS'!$A:$A,A41),0)</f>
        <v/>
      </c>
      <c r="O41" s="170">
        <f>IF(N41=0,"No Data",IF(N41&lt;=90,"✔ Complied","✘ SPEEDING"))</f>
        <v/>
      </c>
      <c r="P41" s="190">
        <f>IF(N41&gt;90,"⚑ SPEED VIOLATION","")</f>
        <v/>
      </c>
      <c r="Q41" s="191">
        <f>IF(M41&gt;0,"⚑ PAST MIDNIGHT",IF(L41&gt;0,"⚑ PAST 10PM",""))</f>
        <v/>
      </c>
      <c r="R41" s="192">
        <f>IF(K41="✘ Not Complied","⚑ FUEL NON-COMPLIANT","")</f>
        <v/>
      </c>
    </row>
    <row r="42" ht="15" customHeight="1" s="122">
      <c r="A42" s="186" t="inlineStr">
        <is>
          <t>KAAB 204Z</t>
        </is>
      </c>
      <c r="B42" s="170">
        <f>IFERROR(xlookup(A42,'FLEET REGISTER'!$B:$B,'FLEET REGISTER'!$D:$D),"—")</f>
        <v/>
      </c>
      <c r="C42" s="170">
        <f>IFERROR(xlookup(A42,'FLEET REGISTER'!$B:$B,'FLEET REGISTER'!$E:$E),"—")</f>
        <v/>
      </c>
      <c r="D42" s="170">
        <f>IFERROR(xlookup(A42,'FLEET REGISTER'!$B:$B,'FLEET REGISTER'!$F:$F),"—")</f>
        <v/>
      </c>
      <c r="E42" s="170">
        <f>IFERROR(xlookup(A42,'FLEET REGISTER'!$B:$B,'FLEET REGISTER'!$G:$G),"—")</f>
        <v/>
      </c>
      <c r="F42" s="170">
        <f>IFERROR(xlookup(A42,'FLEET REGISTER'!$B:$B,'FLEET REGISTER'!$H:$H),"—")</f>
        <v/>
      </c>
      <c r="G42" s="187">
        <f>IFERROR(xlookup(A42,'RAW ODOMETER'!$A:$A,'RAW ODOMETER'!$M:$M,0),0)</f>
        <v/>
      </c>
      <c r="H42" s="187">
        <f>IFERROR(xlookup(A42,'RAW FUEL DATA'!$A:$A,'RAW FUEL DATA'!$K:$K,0),0)</f>
        <v/>
      </c>
      <c r="I42" s="187">
        <f>IFERROR(xlookup(A42,'RAW FUEL DATA'!$A:$A,'RAW FUEL DATA'!$L:$L,0),0)</f>
        <v/>
      </c>
      <c r="J42" s="188">
        <f>IF(F42="Honda",40.5,12.6)</f>
        <v/>
      </c>
      <c r="K42" s="170">
        <f>IF(I42=0,"No Data",IF(I42&gt;=J42,"✔ Complied","✘ Not Complied"))</f>
        <v/>
      </c>
      <c r="L42" s="170">
        <f>IFERROR(COUNTIFS('RAW TRIPS'!$A:$A,A42,'RAW TRIPS'!$G:$G,"Yes"),0)</f>
        <v/>
      </c>
      <c r="M42" s="170">
        <f>IFERROR(COUNTIFS('RAW TRIPS'!$A:$A,A42,'RAW TRIPS'!$H:$H,"Yes"),0)</f>
        <v/>
      </c>
      <c r="N42" s="189">
        <f>IFERROR(maxifs('RAW TRIPS'!$F:$F,'RAW TRIPS'!$A:$A,A42),0)</f>
        <v/>
      </c>
      <c r="O42" s="170">
        <f>IF(N42=0,"No Data",IF(N42&lt;=90,"✔ Complied","✘ SPEEDING"))</f>
        <v/>
      </c>
      <c r="P42" s="190">
        <f>IF(N42&gt;90,"⚑ SPEED VIOLATION","")</f>
        <v/>
      </c>
      <c r="Q42" s="191">
        <f>IF(M42&gt;0,"⚑ PAST MIDNIGHT",IF(L42&gt;0,"⚑ PAST 10PM",""))</f>
        <v/>
      </c>
      <c r="R42" s="192">
        <f>IF(K42="✘ Not Complied","⚑ FUEL NON-COMPLIANT","")</f>
        <v/>
      </c>
    </row>
    <row r="43" ht="15" customHeight="1" s="122">
      <c r="A43" s="186" t="inlineStr">
        <is>
          <t>KAAB 205Z</t>
        </is>
      </c>
      <c r="B43" s="170">
        <f>IFERROR(xlookup(A43,'FLEET REGISTER'!$B:$B,'FLEET REGISTER'!$D:$D),"—")</f>
        <v/>
      </c>
      <c r="C43" s="170">
        <f>IFERROR(xlookup(A43,'FLEET REGISTER'!$B:$B,'FLEET REGISTER'!$E:$E),"—")</f>
        <v/>
      </c>
      <c r="D43" s="170">
        <f>IFERROR(xlookup(A43,'FLEET REGISTER'!$B:$B,'FLEET REGISTER'!$F:$F),"—")</f>
        <v/>
      </c>
      <c r="E43" s="170">
        <f>IFERROR(xlookup(A43,'FLEET REGISTER'!$B:$B,'FLEET REGISTER'!$G:$G),"—")</f>
        <v/>
      </c>
      <c r="F43" s="170">
        <f>IFERROR(xlookup(A43,'FLEET REGISTER'!$B:$B,'FLEET REGISTER'!$H:$H),"—")</f>
        <v/>
      </c>
      <c r="G43" s="187">
        <f>IFERROR(xlookup(A43,'RAW ODOMETER'!$A:$A,'RAW ODOMETER'!$M:$M,0),0)</f>
        <v/>
      </c>
      <c r="H43" s="187">
        <f>IFERROR(xlookup(A43,'RAW FUEL DATA'!$A:$A,'RAW FUEL DATA'!$K:$K,0),0)</f>
        <v/>
      </c>
      <c r="I43" s="187">
        <f>IFERROR(xlookup(A43,'RAW FUEL DATA'!$A:$A,'RAW FUEL DATA'!$L:$L,0),0)</f>
        <v/>
      </c>
      <c r="J43" s="188">
        <f>IF(F43="Honda",40.5,12.6)</f>
        <v/>
      </c>
      <c r="K43" s="170">
        <f>IF(I43=0,"No Data",IF(I43&gt;=J43,"✔ Complied","✘ Not Complied"))</f>
        <v/>
      </c>
      <c r="L43" s="170">
        <f>IFERROR(COUNTIFS('RAW TRIPS'!$A:$A,A43,'RAW TRIPS'!$G:$G,"Yes"),0)</f>
        <v/>
      </c>
      <c r="M43" s="170">
        <f>IFERROR(COUNTIFS('RAW TRIPS'!$A:$A,A43,'RAW TRIPS'!$H:$H,"Yes"),0)</f>
        <v/>
      </c>
      <c r="N43" s="189">
        <f>IFERROR(maxifs('RAW TRIPS'!$F:$F,'RAW TRIPS'!$A:$A,A43),0)</f>
        <v/>
      </c>
      <c r="O43" s="170">
        <f>IF(N43=0,"No Data",IF(N43&lt;=90,"✔ Complied","✘ SPEEDING"))</f>
        <v/>
      </c>
      <c r="P43" s="190">
        <f>IF(N43&gt;90,"⚑ SPEED VIOLATION","")</f>
        <v/>
      </c>
      <c r="Q43" s="191">
        <f>IF(M43&gt;0,"⚑ PAST MIDNIGHT",IF(L43&gt;0,"⚑ PAST 10PM",""))</f>
        <v/>
      </c>
      <c r="R43" s="192">
        <f>IF(K43="✘ Not Complied","⚑ FUEL NON-COMPLIANT","")</f>
        <v/>
      </c>
    </row>
    <row r="44" ht="15" customHeight="1" s="122">
      <c r="A44" s="186" t="inlineStr">
        <is>
          <t>KAAC 305C</t>
        </is>
      </c>
      <c r="B44" s="170">
        <f>IFERROR(xlookup(A44,'FLEET REGISTER'!$B:$B,'FLEET REGISTER'!$D:$D),"—")</f>
        <v/>
      </c>
      <c r="C44" s="170">
        <f>IFERROR(xlookup(A44,'FLEET REGISTER'!$B:$B,'FLEET REGISTER'!$E:$E),"—")</f>
        <v/>
      </c>
      <c r="D44" s="170">
        <f>IFERROR(xlookup(A44,'FLEET REGISTER'!$B:$B,'FLEET REGISTER'!$F:$F),"—")</f>
        <v/>
      </c>
      <c r="E44" s="170">
        <f>IFERROR(xlookup(A44,'FLEET REGISTER'!$B:$B,'FLEET REGISTER'!$G:$G),"—")</f>
        <v/>
      </c>
      <c r="F44" s="170">
        <f>IFERROR(xlookup(A44,'FLEET REGISTER'!$B:$B,'FLEET REGISTER'!$H:$H),"—")</f>
        <v/>
      </c>
      <c r="G44" s="187">
        <f>IFERROR(xlookup(A44,'RAW ODOMETER'!$A:$A,'RAW ODOMETER'!$M:$M,0),0)</f>
        <v/>
      </c>
      <c r="H44" s="187">
        <f>IFERROR(xlookup(A44,'RAW FUEL DATA'!$A:$A,'RAW FUEL DATA'!$K:$K,0),0)</f>
        <v/>
      </c>
      <c r="I44" s="187">
        <f>IFERROR(xlookup(A44,'RAW FUEL DATA'!$A:$A,'RAW FUEL DATA'!$L:$L,0),0)</f>
        <v/>
      </c>
      <c r="J44" s="188">
        <f>IF(F44="Honda",40.5,12.6)</f>
        <v/>
      </c>
      <c r="K44" s="170">
        <f>IF(I44=0,"No Data",IF(I44&gt;=J44,"✔ Complied","✘ Not Complied"))</f>
        <v/>
      </c>
      <c r="L44" s="170">
        <f>IFERROR(COUNTIFS('RAW TRIPS'!$A:$A,A44,'RAW TRIPS'!$G:$G,"Yes"),0)</f>
        <v/>
      </c>
      <c r="M44" s="170">
        <f>IFERROR(COUNTIFS('RAW TRIPS'!$A:$A,A44,'RAW TRIPS'!$H:$H,"Yes"),0)</f>
        <v/>
      </c>
      <c r="N44" s="189">
        <f>IFERROR(maxifs('RAW TRIPS'!$F:$F,'RAW TRIPS'!$A:$A,A44),0)</f>
        <v/>
      </c>
      <c r="O44" s="170">
        <f>IF(N44=0,"No Data",IF(N44&lt;=90,"✔ Complied","✘ SPEEDING"))</f>
        <v/>
      </c>
      <c r="P44" s="190">
        <f>IF(N44&gt;90,"⚑ SPEED VIOLATION","")</f>
        <v/>
      </c>
      <c r="Q44" s="191">
        <f>IF(M44&gt;0,"⚑ PAST MIDNIGHT",IF(L44&gt;0,"⚑ PAST 10PM",""))</f>
        <v/>
      </c>
      <c r="R44" s="192">
        <f>IF(K44="✘ Not Complied","⚑ FUEL NON-COMPLIANT","")</f>
        <v/>
      </c>
    </row>
    <row r="45" ht="15" customHeight="1" s="122">
      <c r="A45" s="186" t="inlineStr">
        <is>
          <t>KAAB 206Z</t>
        </is>
      </c>
      <c r="B45" s="170">
        <f>IFERROR(xlookup(A45,'FLEET REGISTER'!$B:$B,'FLEET REGISTER'!$D:$D),"—")</f>
        <v/>
      </c>
      <c r="C45" s="170">
        <f>IFERROR(xlookup(A45,'FLEET REGISTER'!$B:$B,'FLEET REGISTER'!$E:$E),"—")</f>
        <v/>
      </c>
      <c r="D45" s="170">
        <f>IFERROR(xlookup(A45,'FLEET REGISTER'!$B:$B,'FLEET REGISTER'!$F:$F),"—")</f>
        <v/>
      </c>
      <c r="E45" s="170">
        <f>IFERROR(xlookup(A45,'FLEET REGISTER'!$B:$B,'FLEET REGISTER'!$G:$G),"—")</f>
        <v/>
      </c>
      <c r="F45" s="170">
        <f>IFERROR(xlookup(A45,'FLEET REGISTER'!$B:$B,'FLEET REGISTER'!$H:$H),"—")</f>
        <v/>
      </c>
      <c r="G45" s="187">
        <f>IFERROR(xlookup(A45,'RAW ODOMETER'!$A:$A,'RAW ODOMETER'!$M:$M,0),0)</f>
        <v/>
      </c>
      <c r="H45" s="187">
        <f>IFERROR(xlookup(A45,'RAW FUEL DATA'!$A:$A,'RAW FUEL DATA'!$K:$K,0),0)</f>
        <v/>
      </c>
      <c r="I45" s="187">
        <f>IFERROR(xlookup(A45,'RAW FUEL DATA'!$A:$A,'RAW FUEL DATA'!$L:$L,0),0)</f>
        <v/>
      </c>
      <c r="J45" s="188">
        <f>IF(F45="Honda",40.5,12.6)</f>
        <v/>
      </c>
      <c r="K45" s="170">
        <f>IF(I45=0,"No Data",IF(I45&gt;=J45,"✔ Complied","✘ Not Complied"))</f>
        <v/>
      </c>
      <c r="L45" s="170">
        <f>IFERROR(COUNTIFS('RAW TRIPS'!$A:$A,A45,'RAW TRIPS'!$G:$G,"Yes"),0)</f>
        <v/>
      </c>
      <c r="M45" s="170">
        <f>IFERROR(COUNTIFS('RAW TRIPS'!$A:$A,A45,'RAW TRIPS'!$H:$H,"Yes"),0)</f>
        <v/>
      </c>
      <c r="N45" s="189">
        <f>IFERROR(maxifs('RAW TRIPS'!$F:$F,'RAW TRIPS'!$A:$A,A45),0)</f>
        <v/>
      </c>
      <c r="O45" s="170">
        <f>IF(N45=0,"No Data",IF(N45&lt;=90,"✔ Complied","✘ SPEEDING"))</f>
        <v/>
      </c>
      <c r="P45" s="190">
        <f>IF(N45&gt;90,"⚑ SPEED VIOLATION","")</f>
        <v/>
      </c>
      <c r="Q45" s="191">
        <f>IF(M45&gt;0,"⚑ PAST MIDNIGHT",IF(L45&gt;0,"⚑ PAST 10PM",""))</f>
        <v/>
      </c>
      <c r="R45" s="192">
        <f>IF(K45="✘ Not Complied","⚑ FUEL NON-COMPLIANT","")</f>
        <v/>
      </c>
    </row>
    <row r="46" ht="15" customHeight="1" s="122">
      <c r="A46" s="186" t="inlineStr">
        <is>
          <t>KAAC 306C</t>
        </is>
      </c>
      <c r="B46" s="170">
        <f>IFERROR(xlookup(A46,'FLEET REGISTER'!$B:$B,'FLEET REGISTER'!$D:$D),"—")</f>
        <v/>
      </c>
      <c r="C46" s="170">
        <f>IFERROR(xlookup(A46,'FLEET REGISTER'!$B:$B,'FLEET REGISTER'!$E:$E),"—")</f>
        <v/>
      </c>
      <c r="D46" s="170">
        <f>IFERROR(xlookup(A46,'FLEET REGISTER'!$B:$B,'FLEET REGISTER'!$F:$F),"—")</f>
        <v/>
      </c>
      <c r="E46" s="170">
        <f>IFERROR(xlookup(A46,'FLEET REGISTER'!$B:$B,'FLEET REGISTER'!$G:$G),"—")</f>
        <v/>
      </c>
      <c r="F46" s="170">
        <f>IFERROR(xlookup(A46,'FLEET REGISTER'!$B:$B,'FLEET REGISTER'!$H:$H),"—")</f>
        <v/>
      </c>
      <c r="G46" s="187">
        <f>IFERROR(xlookup(A46,'RAW ODOMETER'!$A:$A,'RAW ODOMETER'!$M:$M,0),0)</f>
        <v/>
      </c>
      <c r="H46" s="187">
        <f>IFERROR(xlookup(A46,'RAW FUEL DATA'!$A:$A,'RAW FUEL DATA'!$K:$K,0),0)</f>
        <v/>
      </c>
      <c r="I46" s="187">
        <f>IFERROR(xlookup(A46,'RAW FUEL DATA'!$A:$A,'RAW FUEL DATA'!$L:$L,0),0)</f>
        <v/>
      </c>
      <c r="J46" s="188">
        <f>IF(F46="Honda",40.5,12.6)</f>
        <v/>
      </c>
      <c r="K46" s="170">
        <f>IF(I46=0,"No Data",IF(I46&gt;=J46,"✔ Complied","✘ Not Complied"))</f>
        <v/>
      </c>
      <c r="L46" s="170">
        <f>IFERROR(COUNTIFS('RAW TRIPS'!$A:$A,A46,'RAW TRIPS'!$G:$G,"Yes"),0)</f>
        <v/>
      </c>
      <c r="M46" s="170">
        <f>IFERROR(COUNTIFS('RAW TRIPS'!$A:$A,A46,'RAW TRIPS'!$H:$H,"Yes"),0)</f>
        <v/>
      </c>
      <c r="N46" s="189">
        <f>IFERROR(maxifs('RAW TRIPS'!$F:$F,'RAW TRIPS'!$A:$A,A46),0)</f>
        <v/>
      </c>
      <c r="O46" s="170">
        <f>IF(N46=0,"No Data",IF(N46&lt;=90,"✔ Complied","✘ SPEEDING"))</f>
        <v/>
      </c>
      <c r="P46" s="190">
        <f>IF(N46&gt;90,"⚑ SPEED VIOLATION","")</f>
        <v/>
      </c>
      <c r="Q46" s="191">
        <f>IF(M46&gt;0,"⚑ PAST MIDNIGHT",IF(L46&gt;0,"⚑ PAST 10PM",""))</f>
        <v/>
      </c>
      <c r="R46" s="192">
        <f>IF(K46="✘ Not Complied","⚑ FUEL NON-COMPLIANT","")</f>
        <v/>
      </c>
    </row>
    <row r="47" ht="15" customHeight="1" s="122">
      <c r="A47" s="186" t="inlineStr">
        <is>
          <t>KAAC 307C</t>
        </is>
      </c>
      <c r="B47" s="170">
        <f>IFERROR(xlookup(A47,'FLEET REGISTER'!$B:$B,'FLEET REGISTER'!$D:$D),"—")</f>
        <v/>
      </c>
      <c r="C47" s="170">
        <f>IFERROR(xlookup(A47,'FLEET REGISTER'!$B:$B,'FLEET REGISTER'!$E:$E),"—")</f>
        <v/>
      </c>
      <c r="D47" s="170">
        <f>IFERROR(xlookup(A47,'FLEET REGISTER'!$B:$B,'FLEET REGISTER'!$F:$F),"—")</f>
        <v/>
      </c>
      <c r="E47" s="170">
        <f>IFERROR(xlookup(A47,'FLEET REGISTER'!$B:$B,'FLEET REGISTER'!$G:$G),"—")</f>
        <v/>
      </c>
      <c r="F47" s="170">
        <f>IFERROR(xlookup(A47,'FLEET REGISTER'!$B:$B,'FLEET REGISTER'!$H:$H),"—")</f>
        <v/>
      </c>
      <c r="G47" s="187">
        <f>IFERROR(xlookup(A47,'RAW ODOMETER'!$A:$A,'RAW ODOMETER'!$M:$M,0),0)</f>
        <v/>
      </c>
      <c r="H47" s="187">
        <f>IFERROR(xlookup(A47,'RAW FUEL DATA'!$A:$A,'RAW FUEL DATA'!$K:$K,0),0)</f>
        <v/>
      </c>
      <c r="I47" s="187">
        <f>IFERROR(xlookup(A47,'RAW FUEL DATA'!$A:$A,'RAW FUEL DATA'!$L:$L,0),0)</f>
        <v/>
      </c>
      <c r="J47" s="188">
        <f>IF(F47="Honda",40.5,12.6)</f>
        <v/>
      </c>
      <c r="K47" s="170">
        <f>IF(I47=0,"No Data",IF(I47&gt;=J47,"✔ Complied","✘ Not Complied"))</f>
        <v/>
      </c>
      <c r="L47" s="170">
        <f>IFERROR(COUNTIFS('RAW TRIPS'!$A:$A,A47,'RAW TRIPS'!$G:$G,"Yes"),0)</f>
        <v/>
      </c>
      <c r="M47" s="170">
        <f>IFERROR(COUNTIFS('RAW TRIPS'!$A:$A,A47,'RAW TRIPS'!$H:$H,"Yes"),0)</f>
        <v/>
      </c>
      <c r="N47" s="189">
        <f>IFERROR(maxifs('RAW TRIPS'!$F:$F,'RAW TRIPS'!$A:$A,A47),0)</f>
        <v/>
      </c>
      <c r="O47" s="170">
        <f>IF(N47=0,"No Data",IF(N47&lt;=90,"✔ Complied","✘ SPEEDING"))</f>
        <v/>
      </c>
      <c r="P47" s="190">
        <f>IF(N47&gt;90,"⚑ SPEED VIOLATION","")</f>
        <v/>
      </c>
      <c r="Q47" s="191">
        <f>IF(M47&gt;0,"⚑ PAST MIDNIGHT",IF(L47&gt;0,"⚑ PAST 10PM",""))</f>
        <v/>
      </c>
      <c r="R47" s="192">
        <f>IF(K47="✘ Not Complied","⚑ FUEL NON-COMPLIANT","")</f>
        <v/>
      </c>
    </row>
    <row r="48" ht="15" customHeight="1" s="122">
      <c r="A48" s="186" t="inlineStr">
        <is>
          <t>KAAC 308C</t>
        </is>
      </c>
      <c r="B48" s="170">
        <f>IFERROR(xlookup(A48,'FLEET REGISTER'!$B:$B,'FLEET REGISTER'!$D:$D),"—")</f>
        <v/>
      </c>
      <c r="C48" s="170">
        <f>IFERROR(xlookup(A48,'FLEET REGISTER'!$B:$B,'FLEET REGISTER'!$E:$E),"—")</f>
        <v/>
      </c>
      <c r="D48" s="170">
        <f>IFERROR(xlookup(A48,'FLEET REGISTER'!$B:$B,'FLEET REGISTER'!$F:$F),"—")</f>
        <v/>
      </c>
      <c r="E48" s="170">
        <f>IFERROR(xlookup(A48,'FLEET REGISTER'!$B:$B,'FLEET REGISTER'!$G:$G),"—")</f>
        <v/>
      </c>
      <c r="F48" s="170">
        <f>IFERROR(xlookup(A48,'FLEET REGISTER'!$B:$B,'FLEET REGISTER'!$H:$H),"—")</f>
        <v/>
      </c>
      <c r="G48" s="187">
        <f>IFERROR(xlookup(A48,'RAW ODOMETER'!$A:$A,'RAW ODOMETER'!$M:$M,0),0)</f>
        <v/>
      </c>
      <c r="H48" s="187">
        <f>IFERROR(xlookup(A48,'RAW FUEL DATA'!$A:$A,'RAW FUEL DATA'!$K:$K,0),0)</f>
        <v/>
      </c>
      <c r="I48" s="187">
        <f>IFERROR(xlookup(A48,'RAW FUEL DATA'!$A:$A,'RAW FUEL DATA'!$L:$L,0),0)</f>
        <v/>
      </c>
      <c r="J48" s="188">
        <f>IF(F48="Honda",40.5,12.6)</f>
        <v/>
      </c>
      <c r="K48" s="170">
        <f>IF(I48=0,"No Data",IF(I48&gt;=J48,"✔ Complied","✘ Not Complied"))</f>
        <v/>
      </c>
      <c r="L48" s="170">
        <f>IFERROR(COUNTIFS('RAW TRIPS'!$A:$A,A48,'RAW TRIPS'!$G:$G,"Yes"),0)</f>
        <v/>
      </c>
      <c r="M48" s="170">
        <f>IFERROR(COUNTIFS('RAW TRIPS'!$A:$A,A48,'RAW TRIPS'!$H:$H,"Yes"),0)</f>
        <v/>
      </c>
      <c r="N48" s="189">
        <f>IFERROR(maxifs('RAW TRIPS'!$F:$F,'RAW TRIPS'!$A:$A,A48),0)</f>
        <v/>
      </c>
      <c r="O48" s="170">
        <f>IF(N48=0,"No Data",IF(N48&lt;=90,"✔ Complied","✘ SPEEDING"))</f>
        <v/>
      </c>
      <c r="P48" s="190">
        <f>IF(N48&gt;90,"⚑ SPEED VIOLATION","")</f>
        <v/>
      </c>
      <c r="Q48" s="191">
        <f>IF(M48&gt;0,"⚑ PAST MIDNIGHT",IF(L48&gt;0,"⚑ PAST 10PM",""))</f>
        <v/>
      </c>
      <c r="R48" s="192">
        <f>IF(K48="✘ Not Complied","⚑ FUEL NON-COMPLIANT","")</f>
        <v/>
      </c>
    </row>
    <row r="49" ht="15" customHeight="1" s="122">
      <c r="A49" s="186" t="inlineStr">
        <is>
          <t>KAAB 207Z</t>
        </is>
      </c>
      <c r="B49" s="170">
        <f>IFERROR(xlookup(A49,'FLEET REGISTER'!$B:$B,'FLEET REGISTER'!$D:$D),"—")</f>
        <v/>
      </c>
      <c r="C49" s="170">
        <f>IFERROR(xlookup(A49,'FLEET REGISTER'!$B:$B,'FLEET REGISTER'!$E:$E),"—")</f>
        <v/>
      </c>
      <c r="D49" s="170">
        <f>IFERROR(xlookup(A49,'FLEET REGISTER'!$B:$B,'FLEET REGISTER'!$F:$F),"—")</f>
        <v/>
      </c>
      <c r="E49" s="170">
        <f>IFERROR(xlookup(A49,'FLEET REGISTER'!$B:$B,'FLEET REGISTER'!$G:$G),"—")</f>
        <v/>
      </c>
      <c r="F49" s="170">
        <f>IFERROR(xlookup(A49,'FLEET REGISTER'!$B:$B,'FLEET REGISTER'!$H:$H),"—")</f>
        <v/>
      </c>
      <c r="G49" s="187">
        <f>IFERROR(xlookup(A49,'RAW ODOMETER'!$A:$A,'RAW ODOMETER'!$M:$M,0),0)</f>
        <v/>
      </c>
      <c r="H49" s="187">
        <f>IFERROR(xlookup(A49,'RAW FUEL DATA'!$A:$A,'RAW FUEL DATA'!$K:$K,0),0)</f>
        <v/>
      </c>
      <c r="I49" s="187">
        <f>IFERROR(xlookup(A49,'RAW FUEL DATA'!$A:$A,'RAW FUEL DATA'!$L:$L,0),0)</f>
        <v/>
      </c>
      <c r="J49" s="188">
        <f>IF(F49="Honda",40.5,12.6)</f>
        <v/>
      </c>
      <c r="K49" s="170">
        <f>IF(I49=0,"No Data",IF(I49&gt;=J49,"✔ Complied","✘ Not Complied"))</f>
        <v/>
      </c>
      <c r="L49" s="170">
        <f>IFERROR(COUNTIFS('RAW TRIPS'!$A:$A,A49,'RAW TRIPS'!$G:$G,"Yes"),0)</f>
        <v/>
      </c>
      <c r="M49" s="170">
        <f>IFERROR(COUNTIFS('RAW TRIPS'!$A:$A,A49,'RAW TRIPS'!$H:$H,"Yes"),0)</f>
        <v/>
      </c>
      <c r="N49" s="189">
        <f>IFERROR(maxifs('RAW TRIPS'!$F:$F,'RAW TRIPS'!$A:$A,A49),0)</f>
        <v/>
      </c>
      <c r="O49" s="170">
        <f>IF(N49=0,"No Data",IF(N49&lt;=90,"✔ Complied","✘ SPEEDING"))</f>
        <v/>
      </c>
      <c r="P49" s="190">
        <f>IF(N49&gt;90,"⚑ SPEED VIOLATION","")</f>
        <v/>
      </c>
      <c r="Q49" s="191">
        <f>IF(M49&gt;0,"⚑ PAST MIDNIGHT",IF(L49&gt;0,"⚑ PAST 10PM",""))</f>
        <v/>
      </c>
      <c r="R49" s="192">
        <f>IF(K49="✘ Not Complied","⚑ FUEL NON-COMPLIANT","")</f>
        <v/>
      </c>
    </row>
    <row r="50" ht="15" customHeight="1" s="122">
      <c r="A50" s="186" t="inlineStr">
        <is>
          <t>KAAC 309C</t>
        </is>
      </c>
      <c r="B50" s="170">
        <f>IFERROR(xlookup(A50,'FLEET REGISTER'!$B:$B,'FLEET REGISTER'!$D:$D),"—")</f>
        <v/>
      </c>
      <c r="C50" s="170">
        <f>IFERROR(xlookup(A50,'FLEET REGISTER'!$B:$B,'FLEET REGISTER'!$E:$E),"—")</f>
        <v/>
      </c>
      <c r="D50" s="170">
        <f>IFERROR(xlookup(A50,'FLEET REGISTER'!$B:$B,'FLEET REGISTER'!$F:$F),"—")</f>
        <v/>
      </c>
      <c r="E50" s="170">
        <f>IFERROR(xlookup(A50,'FLEET REGISTER'!$B:$B,'FLEET REGISTER'!$G:$G),"—")</f>
        <v/>
      </c>
      <c r="F50" s="170">
        <f>IFERROR(xlookup(A50,'FLEET REGISTER'!$B:$B,'FLEET REGISTER'!$H:$H),"—")</f>
        <v/>
      </c>
      <c r="G50" s="187">
        <f>IFERROR(xlookup(A50,'RAW ODOMETER'!$A:$A,'RAW ODOMETER'!$M:$M,0),0)</f>
        <v/>
      </c>
      <c r="H50" s="187">
        <f>IFERROR(xlookup(A50,'RAW FUEL DATA'!$A:$A,'RAW FUEL DATA'!$K:$K,0),0)</f>
        <v/>
      </c>
      <c r="I50" s="187">
        <f>IFERROR(xlookup(A50,'RAW FUEL DATA'!$A:$A,'RAW FUEL DATA'!$L:$L,0),0)</f>
        <v/>
      </c>
      <c r="J50" s="188">
        <f>IF(F50="Honda",40.5,12.6)</f>
        <v/>
      </c>
      <c r="K50" s="170">
        <f>IF(I50=0,"No Data",IF(I50&gt;=J50,"✔ Complied","✘ Not Complied"))</f>
        <v/>
      </c>
      <c r="L50" s="170">
        <f>IFERROR(COUNTIFS('RAW TRIPS'!$A:$A,A50,'RAW TRIPS'!$G:$G,"Yes"),0)</f>
        <v/>
      </c>
      <c r="M50" s="170">
        <f>IFERROR(COUNTIFS('RAW TRIPS'!$A:$A,A50,'RAW TRIPS'!$H:$H,"Yes"),0)</f>
        <v/>
      </c>
      <c r="N50" s="189">
        <f>IFERROR(maxifs('RAW TRIPS'!$F:$F,'RAW TRIPS'!$A:$A,A50),0)</f>
        <v/>
      </c>
      <c r="O50" s="170">
        <f>IF(N50=0,"No Data",IF(N50&lt;=90,"✔ Complied","✘ SPEEDING"))</f>
        <v/>
      </c>
      <c r="P50" s="190">
        <f>IF(N50&gt;90,"⚑ SPEED VIOLATION","")</f>
        <v/>
      </c>
      <c r="Q50" s="191">
        <f>IF(M50&gt;0,"⚑ PAST MIDNIGHT",IF(L50&gt;0,"⚑ PAST 10PM",""))</f>
        <v/>
      </c>
      <c r="R50" s="192">
        <f>IF(K50="✘ Not Complied","⚑ FUEL NON-COMPLIANT","")</f>
        <v/>
      </c>
    </row>
    <row r="51" ht="15" customHeight="1" s="122">
      <c r="A51" s="186" t="inlineStr">
        <is>
          <t>KAAC 310C</t>
        </is>
      </c>
      <c r="B51" s="170">
        <f>IFERROR(xlookup(A51,'FLEET REGISTER'!$B:$B,'FLEET REGISTER'!$D:$D),"—")</f>
        <v/>
      </c>
      <c r="C51" s="170">
        <f>IFERROR(xlookup(A51,'FLEET REGISTER'!$B:$B,'FLEET REGISTER'!$E:$E),"—")</f>
        <v/>
      </c>
      <c r="D51" s="170">
        <f>IFERROR(xlookup(A51,'FLEET REGISTER'!$B:$B,'FLEET REGISTER'!$F:$F),"—")</f>
        <v/>
      </c>
      <c r="E51" s="170">
        <f>IFERROR(xlookup(A51,'FLEET REGISTER'!$B:$B,'FLEET REGISTER'!$G:$G),"—")</f>
        <v/>
      </c>
      <c r="F51" s="170">
        <f>IFERROR(xlookup(A51,'FLEET REGISTER'!$B:$B,'FLEET REGISTER'!$H:$H),"—")</f>
        <v/>
      </c>
      <c r="G51" s="187">
        <f>IFERROR(xlookup(A51,'RAW ODOMETER'!$A:$A,'RAW ODOMETER'!$M:$M,0),0)</f>
        <v/>
      </c>
      <c r="H51" s="187">
        <f>IFERROR(xlookup(A51,'RAW FUEL DATA'!$A:$A,'RAW FUEL DATA'!$K:$K,0),0)</f>
        <v/>
      </c>
      <c r="I51" s="187">
        <f>IFERROR(xlookup(A51,'RAW FUEL DATA'!$A:$A,'RAW FUEL DATA'!$L:$L,0),0)</f>
        <v/>
      </c>
      <c r="J51" s="188">
        <f>IF(F51="Honda",40.5,12.6)</f>
        <v/>
      </c>
      <c r="K51" s="170">
        <f>IF(I51=0,"No Data",IF(I51&gt;=J51,"✔ Complied","✘ Not Complied"))</f>
        <v/>
      </c>
      <c r="L51" s="170">
        <f>IFERROR(COUNTIFS('RAW TRIPS'!$A:$A,A51,'RAW TRIPS'!$G:$G,"Yes"),0)</f>
        <v/>
      </c>
      <c r="M51" s="170">
        <f>IFERROR(COUNTIFS('RAW TRIPS'!$A:$A,A51,'RAW TRIPS'!$H:$H,"Yes"),0)</f>
        <v/>
      </c>
      <c r="N51" s="189">
        <f>IFERROR(maxifs('RAW TRIPS'!$F:$F,'RAW TRIPS'!$A:$A,A51),0)</f>
        <v/>
      </c>
      <c r="O51" s="170">
        <f>IF(N51=0,"No Data",IF(N51&lt;=90,"✔ Complied","✘ SPEEDING"))</f>
        <v/>
      </c>
      <c r="P51" s="190">
        <f>IF(N51&gt;90,"⚑ SPEED VIOLATION","")</f>
        <v/>
      </c>
      <c r="Q51" s="191">
        <f>IF(M51&gt;0,"⚑ PAST MIDNIGHT",IF(L51&gt;0,"⚑ PAST 10PM",""))</f>
        <v/>
      </c>
      <c r="R51" s="192">
        <f>IF(K51="✘ Not Complied","⚑ FUEL NON-COMPLIANT","")</f>
        <v/>
      </c>
    </row>
    <row r="52" ht="15" customHeight="1" s="122">
      <c r="A52" s="186" t="inlineStr">
        <is>
          <t>KAAC 311C</t>
        </is>
      </c>
      <c r="B52" s="170">
        <f>IFERROR(xlookup(A52,'FLEET REGISTER'!$B:$B,'FLEET REGISTER'!$D:$D),"—")</f>
        <v/>
      </c>
      <c r="C52" s="170">
        <f>IFERROR(xlookup(A52,'FLEET REGISTER'!$B:$B,'FLEET REGISTER'!$E:$E),"—")</f>
        <v/>
      </c>
      <c r="D52" s="170">
        <f>IFERROR(xlookup(A52,'FLEET REGISTER'!$B:$B,'FLEET REGISTER'!$F:$F),"—")</f>
        <v/>
      </c>
      <c r="E52" s="170">
        <f>IFERROR(xlookup(A52,'FLEET REGISTER'!$B:$B,'FLEET REGISTER'!$G:$G),"—")</f>
        <v/>
      </c>
      <c r="F52" s="170">
        <f>IFERROR(xlookup(A52,'FLEET REGISTER'!$B:$B,'FLEET REGISTER'!$H:$H),"—")</f>
        <v/>
      </c>
      <c r="G52" s="187">
        <f>IFERROR(xlookup(A52,'RAW ODOMETER'!$A:$A,'RAW ODOMETER'!$M:$M,0),0)</f>
        <v/>
      </c>
      <c r="H52" s="187">
        <f>IFERROR(xlookup(A52,'RAW FUEL DATA'!$A:$A,'RAW FUEL DATA'!$K:$K,0),0)</f>
        <v/>
      </c>
      <c r="I52" s="187">
        <f>IFERROR(xlookup(A52,'RAW FUEL DATA'!$A:$A,'RAW FUEL DATA'!$L:$L,0),0)</f>
        <v/>
      </c>
      <c r="J52" s="188">
        <f>IF(F52="Honda",40.5,12.6)</f>
        <v/>
      </c>
      <c r="K52" s="170">
        <f>IF(I52=0,"No Data",IF(I52&gt;=J52,"✔ Complied","✘ Not Complied"))</f>
        <v/>
      </c>
      <c r="L52" s="170">
        <f>IFERROR(COUNTIFS('RAW TRIPS'!$A:$A,A52,'RAW TRIPS'!$G:$G,"Yes"),0)</f>
        <v/>
      </c>
      <c r="M52" s="170">
        <f>IFERROR(COUNTIFS('RAW TRIPS'!$A:$A,A52,'RAW TRIPS'!$H:$H,"Yes"),0)</f>
        <v/>
      </c>
      <c r="N52" s="189">
        <f>IFERROR(maxifs('RAW TRIPS'!$F:$F,'RAW TRIPS'!$A:$A,A52),0)</f>
        <v/>
      </c>
      <c r="O52" s="170">
        <f>IF(N52=0,"No Data",IF(N52&lt;=90,"✔ Complied","✘ SPEEDING"))</f>
        <v/>
      </c>
      <c r="P52" s="190">
        <f>IF(N52&gt;90,"⚑ SPEED VIOLATION","")</f>
        <v/>
      </c>
      <c r="Q52" s="191">
        <f>IF(M52&gt;0,"⚑ PAST MIDNIGHT",IF(L52&gt;0,"⚑ PAST 10PM",""))</f>
        <v/>
      </c>
      <c r="R52" s="192">
        <f>IF(K52="✘ Not Complied","⚑ FUEL NON-COMPLIANT","")</f>
        <v/>
      </c>
    </row>
    <row r="53" ht="15" customHeight="1" s="122">
      <c r="A53" s="186" t="inlineStr">
        <is>
          <t>KAAC 312C</t>
        </is>
      </c>
      <c r="B53" s="170">
        <f>IFERROR(xlookup(A53,'FLEET REGISTER'!$B:$B,'FLEET REGISTER'!$D:$D),"—")</f>
        <v/>
      </c>
      <c r="C53" s="170">
        <f>IFERROR(xlookup(A53,'FLEET REGISTER'!$B:$B,'FLEET REGISTER'!$E:$E),"—")</f>
        <v/>
      </c>
      <c r="D53" s="170">
        <f>IFERROR(xlookup(A53,'FLEET REGISTER'!$B:$B,'FLEET REGISTER'!$F:$F),"—")</f>
        <v/>
      </c>
      <c r="E53" s="170">
        <f>IFERROR(xlookup(A53,'FLEET REGISTER'!$B:$B,'FLEET REGISTER'!$G:$G),"—")</f>
        <v/>
      </c>
      <c r="F53" s="170">
        <f>IFERROR(xlookup(A53,'FLEET REGISTER'!$B:$B,'FLEET REGISTER'!$H:$H),"—")</f>
        <v/>
      </c>
      <c r="G53" s="187">
        <f>IFERROR(xlookup(A53,'RAW ODOMETER'!$A:$A,'RAW ODOMETER'!$M:$M,0),0)</f>
        <v/>
      </c>
      <c r="H53" s="187">
        <f>IFERROR(xlookup(A53,'RAW FUEL DATA'!$A:$A,'RAW FUEL DATA'!$K:$K,0),0)</f>
        <v/>
      </c>
      <c r="I53" s="187">
        <f>IFERROR(xlookup(A53,'RAW FUEL DATA'!$A:$A,'RAW FUEL DATA'!$L:$L,0),0)</f>
        <v/>
      </c>
      <c r="J53" s="188">
        <f>IF(F53="Honda",40.5,12.6)</f>
        <v/>
      </c>
      <c r="K53" s="170">
        <f>IF(I53=0,"No Data",IF(I53&gt;=J53,"✔ Complied","✘ Not Complied"))</f>
        <v/>
      </c>
      <c r="L53" s="170">
        <f>IFERROR(COUNTIFS('RAW TRIPS'!$A:$A,A53,'RAW TRIPS'!$G:$G,"Yes"),0)</f>
        <v/>
      </c>
      <c r="M53" s="170">
        <f>IFERROR(COUNTIFS('RAW TRIPS'!$A:$A,A53,'RAW TRIPS'!$H:$H,"Yes"),0)</f>
        <v/>
      </c>
      <c r="N53" s="189">
        <f>IFERROR(maxifs('RAW TRIPS'!$F:$F,'RAW TRIPS'!$A:$A,A53),0)</f>
        <v/>
      </c>
      <c r="O53" s="170">
        <f>IF(N53=0,"No Data",IF(N53&lt;=90,"✔ Complied","✘ SPEEDING"))</f>
        <v/>
      </c>
      <c r="P53" s="190">
        <f>IF(N53&gt;90,"⚑ SPEED VIOLATION","")</f>
        <v/>
      </c>
      <c r="Q53" s="191">
        <f>IF(M53&gt;0,"⚑ PAST MIDNIGHT",IF(L53&gt;0,"⚑ PAST 10PM",""))</f>
        <v/>
      </c>
      <c r="R53" s="192">
        <f>IF(K53="✘ Not Complied","⚑ FUEL NON-COMPLIANT","")</f>
        <v/>
      </c>
    </row>
    <row r="54" ht="15" customHeight="1" s="122">
      <c r="A54" s="186" t="inlineStr">
        <is>
          <t>KAAB 208Z</t>
        </is>
      </c>
      <c r="B54" s="170">
        <f>IFERROR(xlookup(A54,'FLEET REGISTER'!$B:$B,'FLEET REGISTER'!$D:$D),"—")</f>
        <v/>
      </c>
      <c r="C54" s="170">
        <f>IFERROR(xlookup(A54,'FLEET REGISTER'!$B:$B,'FLEET REGISTER'!$E:$E),"—")</f>
        <v/>
      </c>
      <c r="D54" s="170">
        <f>IFERROR(xlookup(A54,'FLEET REGISTER'!$B:$B,'FLEET REGISTER'!$F:$F),"—")</f>
        <v/>
      </c>
      <c r="E54" s="170">
        <f>IFERROR(xlookup(A54,'FLEET REGISTER'!$B:$B,'FLEET REGISTER'!$G:$G),"—")</f>
        <v/>
      </c>
      <c r="F54" s="170">
        <f>IFERROR(xlookup(A54,'FLEET REGISTER'!$B:$B,'FLEET REGISTER'!$H:$H),"—")</f>
        <v/>
      </c>
      <c r="G54" s="187">
        <f>IFERROR(xlookup(A54,'RAW ODOMETER'!$A:$A,'RAW ODOMETER'!$M:$M,0),0)</f>
        <v/>
      </c>
      <c r="H54" s="187">
        <f>IFERROR(xlookup(A54,'RAW FUEL DATA'!$A:$A,'RAW FUEL DATA'!$K:$K,0),0)</f>
        <v/>
      </c>
      <c r="I54" s="187">
        <f>IFERROR(xlookup(A54,'RAW FUEL DATA'!$A:$A,'RAW FUEL DATA'!$L:$L,0),0)</f>
        <v/>
      </c>
      <c r="J54" s="188">
        <f>IF(F54="Honda",40.5,12.6)</f>
        <v/>
      </c>
      <c r="K54" s="170">
        <f>IF(I54=0,"No Data",IF(I54&gt;=J54,"✔ Complied","✘ Not Complied"))</f>
        <v/>
      </c>
      <c r="L54" s="170">
        <f>IFERROR(COUNTIFS('RAW TRIPS'!$A:$A,A54,'RAW TRIPS'!$G:$G,"Yes"),0)</f>
        <v/>
      </c>
      <c r="M54" s="170">
        <f>IFERROR(COUNTIFS('RAW TRIPS'!$A:$A,A54,'RAW TRIPS'!$H:$H,"Yes"),0)</f>
        <v/>
      </c>
      <c r="N54" s="189">
        <f>IFERROR(maxifs('RAW TRIPS'!$F:$F,'RAW TRIPS'!$A:$A,A54),0)</f>
        <v/>
      </c>
      <c r="O54" s="170">
        <f>IF(N54=0,"No Data",IF(N54&lt;=90,"✔ Complied","✘ SPEEDING"))</f>
        <v/>
      </c>
      <c r="P54" s="190">
        <f>IF(N54&gt;90,"⚑ SPEED VIOLATION","")</f>
        <v/>
      </c>
      <c r="Q54" s="191">
        <f>IF(M54&gt;0,"⚑ PAST MIDNIGHT",IF(L54&gt;0,"⚑ PAST 10PM",""))</f>
        <v/>
      </c>
      <c r="R54" s="192">
        <f>IF(K54="✘ Not Complied","⚑ FUEL NON-COMPLIANT","")</f>
        <v/>
      </c>
    </row>
    <row r="55" ht="15" customHeight="1" s="122">
      <c r="A55" s="186" t="inlineStr">
        <is>
          <t>KAAC 313C</t>
        </is>
      </c>
      <c r="B55" s="170">
        <f>IFERROR(xlookup(A55,'FLEET REGISTER'!$B:$B,'FLEET REGISTER'!$D:$D),"—")</f>
        <v/>
      </c>
      <c r="C55" s="170">
        <f>IFERROR(xlookup(A55,'FLEET REGISTER'!$B:$B,'FLEET REGISTER'!$E:$E),"—")</f>
        <v/>
      </c>
      <c r="D55" s="170">
        <f>IFERROR(xlookup(A55,'FLEET REGISTER'!$B:$B,'FLEET REGISTER'!$F:$F),"—")</f>
        <v/>
      </c>
      <c r="E55" s="170">
        <f>IFERROR(xlookup(A55,'FLEET REGISTER'!$B:$B,'FLEET REGISTER'!$G:$G),"—")</f>
        <v/>
      </c>
      <c r="F55" s="170">
        <f>IFERROR(xlookup(A55,'FLEET REGISTER'!$B:$B,'FLEET REGISTER'!$H:$H),"—")</f>
        <v/>
      </c>
      <c r="G55" s="187">
        <f>IFERROR(xlookup(A55,'RAW ODOMETER'!$A:$A,'RAW ODOMETER'!$M:$M,0),0)</f>
        <v/>
      </c>
      <c r="H55" s="187">
        <f>IFERROR(xlookup(A55,'RAW FUEL DATA'!$A:$A,'RAW FUEL DATA'!$K:$K,0),0)</f>
        <v/>
      </c>
      <c r="I55" s="187">
        <f>IFERROR(xlookup(A55,'RAW FUEL DATA'!$A:$A,'RAW FUEL DATA'!$L:$L,0),0)</f>
        <v/>
      </c>
      <c r="J55" s="188">
        <f>IF(F55="Honda",40.5,12.6)</f>
        <v/>
      </c>
      <c r="K55" s="170">
        <f>IF(I55=0,"No Data",IF(I55&gt;=J55,"✔ Complied","✘ Not Complied"))</f>
        <v/>
      </c>
      <c r="L55" s="170">
        <f>IFERROR(COUNTIFS('RAW TRIPS'!$A:$A,A55,'RAW TRIPS'!$G:$G,"Yes"),0)</f>
        <v/>
      </c>
      <c r="M55" s="170">
        <f>IFERROR(COUNTIFS('RAW TRIPS'!$A:$A,A55,'RAW TRIPS'!$H:$H,"Yes"),0)</f>
        <v/>
      </c>
      <c r="N55" s="189">
        <f>IFERROR(maxifs('RAW TRIPS'!$F:$F,'RAW TRIPS'!$A:$A,A55),0)</f>
        <v/>
      </c>
      <c r="O55" s="170">
        <f>IF(N55=0,"No Data",IF(N55&lt;=90,"✔ Complied","✘ SPEEDING"))</f>
        <v/>
      </c>
      <c r="P55" s="190">
        <f>IF(N55&gt;90,"⚑ SPEED VIOLATION","")</f>
        <v/>
      </c>
      <c r="Q55" s="191">
        <f>IF(M55&gt;0,"⚑ PAST MIDNIGHT",IF(L55&gt;0,"⚑ PAST 10PM",""))</f>
        <v/>
      </c>
      <c r="R55" s="192">
        <f>IF(K55="✘ Not Complied","⚑ FUEL NON-COMPLIANT","")</f>
        <v/>
      </c>
    </row>
    <row r="56" ht="15" customHeight="1" s="122">
      <c r="A56" s="186" t="inlineStr">
        <is>
          <t>KAAB 209Z</t>
        </is>
      </c>
      <c r="B56" s="170">
        <f>IFERROR(xlookup(A56,'FLEET REGISTER'!$B:$B,'FLEET REGISTER'!$D:$D),"—")</f>
        <v/>
      </c>
      <c r="C56" s="170">
        <f>IFERROR(xlookup(A56,'FLEET REGISTER'!$B:$B,'FLEET REGISTER'!$E:$E),"—")</f>
        <v/>
      </c>
      <c r="D56" s="170">
        <f>IFERROR(xlookup(A56,'FLEET REGISTER'!$B:$B,'FLEET REGISTER'!$F:$F),"—")</f>
        <v/>
      </c>
      <c r="E56" s="170">
        <f>IFERROR(xlookup(A56,'FLEET REGISTER'!$B:$B,'FLEET REGISTER'!$G:$G),"—")</f>
        <v/>
      </c>
      <c r="F56" s="170">
        <f>IFERROR(xlookup(A56,'FLEET REGISTER'!$B:$B,'FLEET REGISTER'!$H:$H),"—")</f>
        <v/>
      </c>
      <c r="G56" s="187">
        <f>IFERROR(xlookup(A56,'RAW ODOMETER'!$A:$A,'RAW ODOMETER'!$M:$M,0),0)</f>
        <v/>
      </c>
      <c r="H56" s="187">
        <f>IFERROR(xlookup(A56,'RAW FUEL DATA'!$A:$A,'RAW FUEL DATA'!$K:$K,0),0)</f>
        <v/>
      </c>
      <c r="I56" s="187">
        <f>IFERROR(xlookup(A56,'RAW FUEL DATA'!$A:$A,'RAW FUEL DATA'!$L:$L,0),0)</f>
        <v/>
      </c>
      <c r="J56" s="188">
        <f>IF(F56="Honda",40.5,12.6)</f>
        <v/>
      </c>
      <c r="K56" s="170">
        <f>IF(I56=0,"No Data",IF(I56&gt;=J56,"✔ Complied","✘ Not Complied"))</f>
        <v/>
      </c>
      <c r="L56" s="170">
        <f>IFERROR(COUNTIFS('RAW TRIPS'!$A:$A,A56,'RAW TRIPS'!$G:$G,"Yes"),0)</f>
        <v/>
      </c>
      <c r="M56" s="170">
        <f>IFERROR(COUNTIFS('RAW TRIPS'!$A:$A,A56,'RAW TRIPS'!$H:$H,"Yes"),0)</f>
        <v/>
      </c>
      <c r="N56" s="189">
        <f>IFERROR(maxifs('RAW TRIPS'!$F:$F,'RAW TRIPS'!$A:$A,A56),0)</f>
        <v/>
      </c>
      <c r="O56" s="170">
        <f>IF(N56=0,"No Data",IF(N56&lt;=90,"✔ Complied","✘ SPEEDING"))</f>
        <v/>
      </c>
      <c r="P56" s="190">
        <f>IF(N56&gt;90,"⚑ SPEED VIOLATION","")</f>
        <v/>
      </c>
      <c r="Q56" s="191">
        <f>IF(M56&gt;0,"⚑ PAST MIDNIGHT",IF(L56&gt;0,"⚑ PAST 10PM",""))</f>
        <v/>
      </c>
      <c r="R56" s="192">
        <f>IF(K56="✘ Not Complied","⚑ FUEL NON-COMPLIANT","")</f>
        <v/>
      </c>
    </row>
    <row r="57" ht="15" customHeight="1" s="122">
      <c r="A57" s="186" t="inlineStr">
        <is>
          <t>KAAC 314C</t>
        </is>
      </c>
      <c r="B57" s="170">
        <f>IFERROR(xlookup(A57,'FLEET REGISTER'!$B:$B,'FLEET REGISTER'!$D:$D),"—")</f>
        <v/>
      </c>
      <c r="C57" s="170">
        <f>IFERROR(xlookup(A57,'FLEET REGISTER'!$B:$B,'FLEET REGISTER'!$E:$E),"—")</f>
        <v/>
      </c>
      <c r="D57" s="170">
        <f>IFERROR(xlookup(A57,'FLEET REGISTER'!$B:$B,'FLEET REGISTER'!$F:$F),"—")</f>
        <v/>
      </c>
      <c r="E57" s="170">
        <f>IFERROR(xlookup(A57,'FLEET REGISTER'!$B:$B,'FLEET REGISTER'!$G:$G),"—")</f>
        <v/>
      </c>
      <c r="F57" s="170">
        <f>IFERROR(xlookup(A57,'FLEET REGISTER'!$B:$B,'FLEET REGISTER'!$H:$H),"—")</f>
        <v/>
      </c>
      <c r="G57" s="187">
        <f>IFERROR(xlookup(A57,'RAW ODOMETER'!$A:$A,'RAW ODOMETER'!$M:$M,0),0)</f>
        <v/>
      </c>
      <c r="H57" s="187">
        <f>IFERROR(xlookup(A57,'RAW FUEL DATA'!$A:$A,'RAW FUEL DATA'!$K:$K,0),0)</f>
        <v/>
      </c>
      <c r="I57" s="187">
        <f>IFERROR(xlookup(A57,'RAW FUEL DATA'!$A:$A,'RAW FUEL DATA'!$L:$L,0),0)</f>
        <v/>
      </c>
      <c r="J57" s="188">
        <f>IF(F57="Honda",40.5,12.6)</f>
        <v/>
      </c>
      <c r="K57" s="170">
        <f>IF(I57=0,"No Data",IF(I57&gt;=J57,"✔ Complied","✘ Not Complied"))</f>
        <v/>
      </c>
      <c r="L57" s="170">
        <f>IFERROR(COUNTIFS('RAW TRIPS'!$A:$A,A57,'RAW TRIPS'!$G:$G,"Yes"),0)</f>
        <v/>
      </c>
      <c r="M57" s="170">
        <f>IFERROR(COUNTIFS('RAW TRIPS'!$A:$A,A57,'RAW TRIPS'!$H:$H,"Yes"),0)</f>
        <v/>
      </c>
      <c r="N57" s="189">
        <f>IFERROR(maxifs('RAW TRIPS'!$F:$F,'RAW TRIPS'!$A:$A,A57),0)</f>
        <v/>
      </c>
      <c r="O57" s="170">
        <f>IF(N57=0,"No Data",IF(N57&lt;=90,"✔ Complied","✘ SPEEDING"))</f>
        <v/>
      </c>
      <c r="P57" s="190">
        <f>IF(N57&gt;90,"⚑ SPEED VIOLATION","")</f>
        <v/>
      </c>
      <c r="Q57" s="191">
        <f>IF(M57&gt;0,"⚑ PAST MIDNIGHT",IF(L57&gt;0,"⚑ PAST 10PM",""))</f>
        <v/>
      </c>
      <c r="R57" s="192">
        <f>IF(K57="✘ Not Complied","⚑ FUEL NON-COMPLIANT","")</f>
        <v/>
      </c>
    </row>
    <row r="58" ht="15" customHeight="1" s="122">
      <c r="A58" s="186" t="inlineStr">
        <is>
          <t>KAAC 315C</t>
        </is>
      </c>
      <c r="B58" s="170">
        <f>IFERROR(xlookup(A58,'FLEET REGISTER'!$B:$B,'FLEET REGISTER'!$D:$D),"—")</f>
        <v/>
      </c>
      <c r="C58" s="170">
        <f>IFERROR(xlookup(A58,'FLEET REGISTER'!$B:$B,'FLEET REGISTER'!$E:$E),"—")</f>
        <v/>
      </c>
      <c r="D58" s="170">
        <f>IFERROR(xlookup(A58,'FLEET REGISTER'!$B:$B,'FLEET REGISTER'!$F:$F),"—")</f>
        <v/>
      </c>
      <c r="E58" s="170">
        <f>IFERROR(xlookup(A58,'FLEET REGISTER'!$B:$B,'FLEET REGISTER'!$G:$G),"—")</f>
        <v/>
      </c>
      <c r="F58" s="170">
        <f>IFERROR(xlookup(A58,'FLEET REGISTER'!$B:$B,'FLEET REGISTER'!$H:$H),"—")</f>
        <v/>
      </c>
      <c r="G58" s="187">
        <f>IFERROR(xlookup(A58,'RAW ODOMETER'!$A:$A,'RAW ODOMETER'!$M:$M,0),0)</f>
        <v/>
      </c>
      <c r="H58" s="187">
        <f>IFERROR(xlookup(A58,'RAW FUEL DATA'!$A:$A,'RAW FUEL DATA'!$K:$K,0),0)</f>
        <v/>
      </c>
      <c r="I58" s="187">
        <f>IFERROR(xlookup(A58,'RAW FUEL DATA'!$A:$A,'RAW FUEL DATA'!$L:$L,0),0)</f>
        <v/>
      </c>
      <c r="J58" s="188">
        <f>IF(F58="Honda",40.5,12.6)</f>
        <v/>
      </c>
      <c r="K58" s="170">
        <f>IF(I58=0,"No Data",IF(I58&gt;=J58,"✔ Complied","✘ Not Complied"))</f>
        <v/>
      </c>
      <c r="L58" s="170">
        <f>IFERROR(COUNTIFS('RAW TRIPS'!$A:$A,A58,'RAW TRIPS'!$G:$G,"Yes"),0)</f>
        <v/>
      </c>
      <c r="M58" s="170">
        <f>IFERROR(COUNTIFS('RAW TRIPS'!$A:$A,A58,'RAW TRIPS'!$H:$H,"Yes"),0)</f>
        <v/>
      </c>
      <c r="N58" s="189">
        <f>IFERROR(maxifs('RAW TRIPS'!$F:$F,'RAW TRIPS'!$A:$A,A58),0)</f>
        <v/>
      </c>
      <c r="O58" s="170">
        <f>IF(N58=0,"No Data",IF(N58&lt;=90,"✔ Complied","✘ SPEEDING"))</f>
        <v/>
      </c>
      <c r="P58" s="190">
        <f>IF(N58&gt;90,"⚑ SPEED VIOLATION","")</f>
        <v/>
      </c>
      <c r="Q58" s="191">
        <f>IF(M58&gt;0,"⚑ PAST MIDNIGHT",IF(L58&gt;0,"⚑ PAST 10PM",""))</f>
        <v/>
      </c>
      <c r="R58" s="192">
        <f>IF(K58="✘ Not Complied","⚑ FUEL NON-COMPLIANT","")</f>
        <v/>
      </c>
    </row>
  </sheetData>
  <autoFilter ref="A3:R59"/>
  <mergeCells count="2">
    <mergeCell ref="A2:R2"/>
    <mergeCell ref="A1:R1"/>
  </mergeCells>
  <conditionalFormatting sqref="A4:R59">
    <cfRule type="expression" rank="0" priority="2" equalAverage="0" aboveAverage="0" dxfId="13" text="" percent="0" bottom="0">
      <formula>$N4&gt;90</formula>
    </cfRule>
    <cfRule type="expression" rank="0" priority="3" equalAverage="0" aboveAverage="0" dxfId="14" text="" percent="0" bottom="0">
      <formula>$L4&gt;0</formula>
    </cfRule>
    <cfRule type="expression" rank="0" priority="4" equalAverage="0" aboveAverage="0" dxfId="15" text="" percent="0" bottom="0">
      <formula>AND($N4&lt;=90,$L4=0,$K4="✔ Complied")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4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21" min="1" max="1"/>
    <col width="20" customWidth="1" style="121" min="2" max="3"/>
    <col width="14" customWidth="1" style="121" min="4" max="4"/>
    <col width="22" customWidth="1" style="121" min="5" max="5"/>
    <col width="13" customWidth="1" style="121" min="6" max="6"/>
    <col width="18" customWidth="1" style="121" min="7" max="7"/>
    <col width="22" customWidth="1" style="121" min="8" max="9"/>
    <col width="13" customWidth="1" style="121" min="10" max="10"/>
    <col width="16" customWidth="1" style="121" min="11" max="11"/>
    <col width="22" customWidth="1" style="121" min="12" max="12"/>
  </cols>
  <sheetData>
    <row r="1" ht="27.75" customHeight="1" s="122">
      <c r="A1" s="193" t="inlineStr">
        <is>
          <t>🚨  SPEED FLAGS — ALL TRIPS EXCEEDING 90 km/h  |  Speed Limit: 90 km/h</t>
        </is>
      </c>
    </row>
    <row r="2" ht="15.75" customHeight="1" s="122">
      <c r="A2" s="194" t="inlineStr">
        <is>
          <t>Columns A–F auto-populate via FILTER from RAW TRIPS.  Columns G–L require manual entry.  Green rows = permission granted.  Red rows = pending action.</t>
        </is>
      </c>
    </row>
    <row r="3" ht="21.75" customHeight="1" s="122">
      <c r="A3" s="195" t="inlineStr">
        <is>
          <t>Car Reg</t>
        </is>
      </c>
      <c r="B3" s="195" t="inlineStr">
        <is>
          <t>Departure Time</t>
        </is>
      </c>
      <c r="C3" s="195" t="inlineStr">
        <is>
          <t>End Time</t>
        </is>
      </c>
      <c r="D3" s="195" t="inlineStr">
        <is>
          <t>Top Speed (km/h)</t>
        </is>
      </c>
      <c r="E3" s="195" t="inlineStr">
        <is>
          <t>Driver Name</t>
        </is>
      </c>
      <c r="F3" s="195" t="inlineStr">
        <is>
          <t>Region</t>
        </is>
      </c>
      <c r="G3" s="196" t="inlineStr">
        <is>
          <t>Permission?</t>
        </is>
      </c>
      <c r="H3" s="196" t="inlineStr">
        <is>
          <t>Reason for Permission</t>
        </is>
      </c>
      <c r="I3" s="196" t="inlineStr">
        <is>
          <t>Discipline Action</t>
        </is>
      </c>
      <c r="J3" s="196" t="inlineStr">
        <is>
          <t>Action Date</t>
        </is>
      </c>
      <c r="K3" s="196" t="inlineStr">
        <is>
          <t>Issued By</t>
        </is>
      </c>
      <c r="L3" s="196" t="inlineStr">
        <is>
          <t>Remarks</t>
        </is>
      </c>
    </row>
    <row r="4" ht="15" customHeight="1" s="122">
      <c r="A4" s="197">
        <f>IFERROR(filter('RAW TRIPS'!A4:A5000,'RAW TRIPS'!F4:F5000&gt;90),"")</f>
        <v/>
      </c>
      <c r="B4" s="198">
        <f>IFERROR(filter('RAW TRIPS'!B4:B5000,'RAW TRIPS'!F4:F5000&gt;90),"")</f>
        <v/>
      </c>
      <c r="C4" s="198">
        <f>IFERROR(filter('RAW TRIPS'!C4:C5000,'RAW TRIPS'!F4:F5000&gt;90),"")</f>
        <v/>
      </c>
      <c r="D4" s="199">
        <f>IFERROR(filter('RAW TRIPS'!F4:F5000,'RAW TRIPS'!F4:F5000&gt;90),"")</f>
        <v/>
      </c>
      <c r="E4" s="170">
        <f>IF(A4="","",IFERROR(xlookup(A4,'FLEET REGISTER'!$B:$B,'FLEET REGISTER'!$D:$D),"Unknown"))</f>
        <v/>
      </c>
      <c r="F4" s="170">
        <f>IF(A4="","",IFERROR(xlookup(A4,'FLEET REGISTER'!$B:$B,'FLEET REGISTER'!$F:$F),"Unknown"))</f>
        <v/>
      </c>
      <c r="G4" s="200" t="n"/>
      <c r="H4" s="200" t="n"/>
      <c r="I4" s="200" t="n"/>
      <c r="J4" s="200" t="n"/>
      <c r="K4" s="200" t="n"/>
      <c r="L4" s="200" t="n"/>
    </row>
    <row r="5" ht="15" customHeight="1" s="122">
      <c r="E5" s="170">
        <f>IF(A5="","",IFERROR(xlookup(A5,'FLEET REGISTER'!$B:$B,'FLEET REGISTER'!$D:$D),"Unknown"))</f>
        <v/>
      </c>
      <c r="F5" s="170">
        <f>IF(A5="","",IFERROR(xlookup(A5,'FLEET REGISTER'!$B:$B,'FLEET REGISTER'!$F:$F),"Unknown"))</f>
        <v/>
      </c>
      <c r="G5" s="200" t="n"/>
      <c r="H5" s="200" t="n"/>
      <c r="I5" s="200" t="n"/>
      <c r="J5" s="200" t="n"/>
      <c r="K5" s="200" t="n"/>
      <c r="L5" s="200" t="n"/>
    </row>
    <row r="6" ht="15" customHeight="1" s="122">
      <c r="E6" s="170">
        <f>IF(A6="","",IFERROR(xlookup(A6,'FLEET REGISTER'!$B:$B,'FLEET REGISTER'!$D:$D),"Unknown"))</f>
        <v/>
      </c>
      <c r="F6" s="170">
        <f>IF(A6="","",IFERROR(xlookup(A6,'FLEET REGISTER'!$B:$B,'FLEET REGISTER'!$F:$F),"Unknown"))</f>
        <v/>
      </c>
      <c r="G6" s="200" t="n"/>
      <c r="H6" s="200" t="n"/>
      <c r="I6" s="200" t="n"/>
      <c r="J6" s="200" t="n"/>
      <c r="K6" s="200" t="n"/>
      <c r="L6" s="200" t="n"/>
    </row>
    <row r="7" ht="15" customHeight="1" s="122">
      <c r="E7" s="170">
        <f>IF(A7="","",IFERROR(xlookup(A7,'FLEET REGISTER'!$B:$B,'FLEET REGISTER'!$D:$D),"Unknown"))</f>
        <v/>
      </c>
      <c r="F7" s="170">
        <f>IF(A7="","",IFERROR(xlookup(A7,'FLEET REGISTER'!$B:$B,'FLEET REGISTER'!$F:$F),"Unknown"))</f>
        <v/>
      </c>
      <c r="G7" s="200" t="n"/>
      <c r="H7" s="200" t="n"/>
      <c r="I7" s="200" t="n"/>
      <c r="J7" s="200" t="n"/>
      <c r="K7" s="200" t="n"/>
      <c r="L7" s="200" t="n"/>
    </row>
    <row r="8" ht="15" customHeight="1" s="122">
      <c r="E8" s="170">
        <f>IF(A8="","",IFERROR(xlookup(A8,'FLEET REGISTER'!$B:$B,'FLEET REGISTER'!$D:$D),"Unknown"))</f>
        <v/>
      </c>
      <c r="F8" s="170">
        <f>IF(A8="","",IFERROR(xlookup(A8,'FLEET REGISTER'!$B:$B,'FLEET REGISTER'!$F:$F),"Unknown"))</f>
        <v/>
      </c>
      <c r="G8" s="200" t="n"/>
      <c r="H8" s="200" t="n"/>
      <c r="I8" s="200" t="n"/>
      <c r="J8" s="200" t="n"/>
      <c r="K8" s="200" t="n"/>
      <c r="L8" s="200" t="n"/>
    </row>
    <row r="9" ht="15" customHeight="1" s="122">
      <c r="E9" s="170">
        <f>IF(A9="","",IFERROR(xlookup(A9,'FLEET REGISTER'!$B:$B,'FLEET REGISTER'!$D:$D),"Unknown"))</f>
        <v/>
      </c>
      <c r="F9" s="170">
        <f>IF(A9="","",IFERROR(xlookup(A9,'FLEET REGISTER'!$B:$B,'FLEET REGISTER'!$F:$F),"Unknown"))</f>
        <v/>
      </c>
      <c r="G9" s="200" t="n"/>
      <c r="H9" s="200" t="n"/>
      <c r="I9" s="200" t="n"/>
      <c r="J9" s="200" t="n"/>
      <c r="K9" s="200" t="n"/>
      <c r="L9" s="200" t="n"/>
    </row>
    <row r="10" ht="15" customHeight="1" s="122">
      <c r="E10" s="170">
        <f>IF(A10="","",IFERROR(xlookup(A10,'FLEET REGISTER'!$B:$B,'FLEET REGISTER'!$D:$D),"Unknown"))</f>
        <v/>
      </c>
      <c r="F10" s="170">
        <f>IF(A10="","",IFERROR(xlookup(A10,'FLEET REGISTER'!$B:$B,'FLEET REGISTER'!$F:$F),"Unknown"))</f>
        <v/>
      </c>
      <c r="G10" s="200" t="n"/>
      <c r="H10" s="200" t="n"/>
      <c r="I10" s="200" t="n"/>
      <c r="J10" s="200" t="n"/>
      <c r="K10" s="200" t="n"/>
      <c r="L10" s="200" t="n"/>
    </row>
    <row r="11" ht="15" customHeight="1" s="122">
      <c r="E11" s="170">
        <f>IF(A11="","",IFERROR(xlookup(A11,'FLEET REGISTER'!$B:$B,'FLEET REGISTER'!$D:$D),"Unknown"))</f>
        <v/>
      </c>
      <c r="F11" s="170">
        <f>IF(A11="","",IFERROR(xlookup(A11,'FLEET REGISTER'!$B:$B,'FLEET REGISTER'!$F:$F),"Unknown"))</f>
        <v/>
      </c>
      <c r="G11" s="200" t="n"/>
      <c r="H11" s="200" t="n"/>
      <c r="I11" s="200" t="n"/>
      <c r="J11" s="200" t="n"/>
      <c r="K11" s="200" t="n"/>
      <c r="L11" s="200" t="n"/>
    </row>
    <row r="12" ht="15" customHeight="1" s="122">
      <c r="E12" s="170">
        <f>IF(A12="","",IFERROR(xlookup(A12,'FLEET REGISTER'!$B:$B,'FLEET REGISTER'!$D:$D),"Unknown"))</f>
        <v/>
      </c>
      <c r="F12" s="170">
        <f>IF(A12="","",IFERROR(xlookup(A12,'FLEET REGISTER'!$B:$B,'FLEET REGISTER'!$F:$F),"Unknown"))</f>
        <v/>
      </c>
      <c r="G12" s="200" t="n"/>
      <c r="H12" s="200" t="n"/>
      <c r="I12" s="200" t="n"/>
      <c r="J12" s="200" t="n"/>
      <c r="K12" s="200" t="n"/>
      <c r="L12" s="200" t="n"/>
    </row>
    <row r="13" ht="15" customHeight="1" s="122">
      <c r="E13" s="170">
        <f>IF(A13="","",IFERROR(xlookup(A13,'FLEET REGISTER'!$B:$B,'FLEET REGISTER'!$D:$D),"Unknown"))</f>
        <v/>
      </c>
      <c r="F13" s="170">
        <f>IF(A13="","",IFERROR(xlookup(A13,'FLEET REGISTER'!$B:$B,'FLEET REGISTER'!$F:$F),"Unknown"))</f>
        <v/>
      </c>
      <c r="G13" s="200" t="n"/>
      <c r="H13" s="200" t="n"/>
      <c r="I13" s="200" t="n"/>
      <c r="J13" s="200" t="n"/>
      <c r="K13" s="200" t="n"/>
      <c r="L13" s="200" t="n"/>
    </row>
    <row r="14" ht="15" customHeight="1" s="122">
      <c r="E14" s="170">
        <f>IF(A14="","",IFERROR(xlookup(A14,'FLEET REGISTER'!$B:$B,'FLEET REGISTER'!$D:$D),"Unknown"))</f>
        <v/>
      </c>
      <c r="F14" s="170">
        <f>IF(A14="","",IFERROR(xlookup(A14,'FLEET REGISTER'!$B:$B,'FLEET REGISTER'!$F:$F),"Unknown"))</f>
        <v/>
      </c>
      <c r="G14" s="200" t="n"/>
      <c r="H14" s="200" t="n"/>
      <c r="I14" s="200" t="n"/>
      <c r="J14" s="200" t="n"/>
      <c r="K14" s="200" t="n"/>
      <c r="L14" s="200" t="n"/>
    </row>
    <row r="15" ht="15" customHeight="1" s="122">
      <c r="E15" s="170">
        <f>IF(A15="","",IFERROR(xlookup(A15,'FLEET REGISTER'!$B:$B,'FLEET REGISTER'!$D:$D),"Unknown"))</f>
        <v/>
      </c>
      <c r="F15" s="170">
        <f>IF(A15="","",IFERROR(xlookup(A15,'FLEET REGISTER'!$B:$B,'FLEET REGISTER'!$F:$F),"Unknown"))</f>
        <v/>
      </c>
      <c r="G15" s="200" t="n"/>
      <c r="H15" s="200" t="n"/>
      <c r="I15" s="200" t="n"/>
      <c r="J15" s="200" t="n"/>
      <c r="K15" s="200" t="n"/>
      <c r="L15" s="200" t="n"/>
    </row>
    <row r="16" ht="15" customHeight="1" s="122">
      <c r="E16" s="170">
        <f>IF(A16="","",IFERROR(xlookup(A16,'FLEET REGISTER'!$B:$B,'FLEET REGISTER'!$D:$D),"Unknown"))</f>
        <v/>
      </c>
      <c r="F16" s="170">
        <f>IF(A16="","",IFERROR(xlookup(A16,'FLEET REGISTER'!$B:$B,'FLEET REGISTER'!$F:$F),"Unknown"))</f>
        <v/>
      </c>
      <c r="G16" s="200" t="n"/>
      <c r="H16" s="200" t="n"/>
      <c r="I16" s="200" t="n"/>
      <c r="J16" s="200" t="n"/>
      <c r="K16" s="200" t="n"/>
      <c r="L16" s="200" t="n"/>
    </row>
    <row r="17" ht="15" customHeight="1" s="122">
      <c r="E17" s="170">
        <f>IF(A17="","",IFERROR(xlookup(A17,'FLEET REGISTER'!$B:$B,'FLEET REGISTER'!$D:$D),"Unknown"))</f>
        <v/>
      </c>
      <c r="F17" s="170">
        <f>IF(A17="","",IFERROR(xlookup(A17,'FLEET REGISTER'!$B:$B,'FLEET REGISTER'!$F:$F),"Unknown"))</f>
        <v/>
      </c>
      <c r="G17" s="200" t="n"/>
      <c r="H17" s="200" t="n"/>
      <c r="I17" s="200" t="n"/>
      <c r="J17" s="200" t="n"/>
      <c r="K17" s="200" t="n"/>
      <c r="L17" s="200" t="n"/>
    </row>
    <row r="18" ht="15" customHeight="1" s="122">
      <c r="E18" s="170">
        <f>IF(A18="","",IFERROR(xlookup(A18,'FLEET REGISTER'!$B:$B,'FLEET REGISTER'!$D:$D),"Unknown"))</f>
        <v/>
      </c>
      <c r="F18" s="170">
        <f>IF(A18="","",IFERROR(xlookup(A18,'FLEET REGISTER'!$B:$B,'FLEET REGISTER'!$F:$F),"Unknown"))</f>
        <v/>
      </c>
      <c r="G18" s="200" t="n"/>
      <c r="H18" s="200" t="n"/>
      <c r="I18" s="200" t="n"/>
      <c r="J18" s="200" t="n"/>
      <c r="K18" s="200" t="n"/>
      <c r="L18" s="200" t="n"/>
    </row>
    <row r="19" ht="15" customHeight="1" s="122">
      <c r="E19" s="170">
        <f>IF(A19="","",IFERROR(xlookup(A19,'FLEET REGISTER'!$B:$B,'FLEET REGISTER'!$D:$D),"Unknown"))</f>
        <v/>
      </c>
      <c r="F19" s="170">
        <f>IF(A19="","",IFERROR(xlookup(A19,'FLEET REGISTER'!$B:$B,'FLEET REGISTER'!$F:$F),"Unknown"))</f>
        <v/>
      </c>
      <c r="G19" s="200" t="n"/>
      <c r="H19" s="200" t="n"/>
      <c r="I19" s="200" t="n"/>
      <c r="J19" s="200" t="n"/>
      <c r="K19" s="200" t="n"/>
      <c r="L19" s="200" t="n"/>
    </row>
    <row r="20" ht="15" customHeight="1" s="122">
      <c r="E20" s="170">
        <f>IF(A20="","",IFERROR(xlookup(A20,'FLEET REGISTER'!$B:$B,'FLEET REGISTER'!$D:$D),"Unknown"))</f>
        <v/>
      </c>
      <c r="F20" s="170">
        <f>IF(A20="","",IFERROR(xlookup(A20,'FLEET REGISTER'!$B:$B,'FLEET REGISTER'!$F:$F),"Unknown"))</f>
        <v/>
      </c>
      <c r="G20" s="200" t="n"/>
      <c r="H20" s="200" t="n"/>
      <c r="I20" s="200" t="n"/>
      <c r="J20" s="200" t="n"/>
      <c r="K20" s="200" t="n"/>
      <c r="L20" s="200" t="n"/>
    </row>
    <row r="21" ht="15" customHeight="1" s="122">
      <c r="E21" s="170">
        <f>IF(A21="","",IFERROR(xlookup(A21,'FLEET REGISTER'!$B:$B,'FLEET REGISTER'!$D:$D),"Unknown"))</f>
        <v/>
      </c>
      <c r="F21" s="170">
        <f>IF(A21="","",IFERROR(xlookup(A21,'FLEET REGISTER'!$B:$B,'FLEET REGISTER'!$F:$F),"Unknown"))</f>
        <v/>
      </c>
      <c r="G21" s="200" t="n"/>
      <c r="H21" s="200" t="n"/>
      <c r="I21" s="200" t="n"/>
      <c r="J21" s="200" t="n"/>
      <c r="K21" s="200" t="n"/>
      <c r="L21" s="200" t="n"/>
    </row>
    <row r="22" ht="15" customHeight="1" s="122">
      <c r="E22" s="170">
        <f>IF(A22="","",IFERROR(xlookup(A22,'FLEET REGISTER'!$B:$B,'FLEET REGISTER'!$D:$D),"Unknown"))</f>
        <v/>
      </c>
      <c r="F22" s="170">
        <f>IF(A22="","",IFERROR(xlookup(A22,'FLEET REGISTER'!$B:$B,'FLEET REGISTER'!$F:$F),"Unknown"))</f>
        <v/>
      </c>
      <c r="G22" s="200" t="n"/>
      <c r="H22" s="200" t="n"/>
      <c r="I22" s="200" t="n"/>
      <c r="J22" s="200" t="n"/>
      <c r="K22" s="200" t="n"/>
      <c r="L22" s="200" t="n"/>
    </row>
    <row r="23" ht="15" customHeight="1" s="122">
      <c r="E23" s="170">
        <f>IF(A23="","",IFERROR(xlookup(A23,'FLEET REGISTER'!$B:$B,'FLEET REGISTER'!$D:$D),"Unknown"))</f>
        <v/>
      </c>
      <c r="F23" s="170">
        <f>IF(A23="","",IFERROR(xlookup(A23,'FLEET REGISTER'!$B:$B,'FLEET REGISTER'!$F:$F),"Unknown"))</f>
        <v/>
      </c>
      <c r="G23" s="200" t="n"/>
      <c r="H23" s="200" t="n"/>
      <c r="I23" s="200" t="n"/>
      <c r="J23" s="200" t="n"/>
      <c r="K23" s="200" t="n"/>
      <c r="L23" s="200" t="n"/>
    </row>
    <row r="24" ht="15" customHeight="1" s="122">
      <c r="E24" s="170">
        <f>IF(A24="","",IFERROR(xlookup(A24,'FLEET REGISTER'!$B:$B,'FLEET REGISTER'!$D:$D),"Unknown"))</f>
        <v/>
      </c>
      <c r="F24" s="170">
        <f>IF(A24="","",IFERROR(xlookup(A24,'FLEET REGISTER'!$B:$B,'FLEET REGISTER'!$F:$F),"Unknown"))</f>
        <v/>
      </c>
      <c r="G24" s="200" t="n"/>
      <c r="H24" s="200" t="n"/>
      <c r="I24" s="200" t="n"/>
      <c r="J24" s="200" t="n"/>
      <c r="K24" s="200" t="n"/>
      <c r="L24" s="200" t="n"/>
    </row>
    <row r="25" ht="15" customHeight="1" s="122">
      <c r="E25" s="170">
        <f>IF(A25="","",IFERROR(xlookup(A25,'FLEET REGISTER'!$B:$B,'FLEET REGISTER'!$D:$D),"Unknown"))</f>
        <v/>
      </c>
      <c r="F25" s="170">
        <f>IF(A25="","",IFERROR(xlookup(A25,'FLEET REGISTER'!$B:$B,'FLEET REGISTER'!$F:$F),"Unknown"))</f>
        <v/>
      </c>
      <c r="G25" s="200" t="n"/>
      <c r="H25" s="200" t="n"/>
      <c r="I25" s="200" t="n"/>
      <c r="J25" s="200" t="n"/>
      <c r="K25" s="200" t="n"/>
      <c r="L25" s="200" t="n"/>
    </row>
    <row r="26" ht="15" customHeight="1" s="122">
      <c r="E26" s="170">
        <f>IF(A26="","",IFERROR(xlookup(A26,'FLEET REGISTER'!$B:$B,'FLEET REGISTER'!$D:$D),"Unknown"))</f>
        <v/>
      </c>
      <c r="F26" s="170">
        <f>IF(A26="","",IFERROR(xlookup(A26,'FLEET REGISTER'!$B:$B,'FLEET REGISTER'!$F:$F),"Unknown"))</f>
        <v/>
      </c>
      <c r="G26" s="200" t="n"/>
      <c r="H26" s="200" t="n"/>
      <c r="I26" s="200" t="n"/>
      <c r="J26" s="200" t="n"/>
      <c r="K26" s="200" t="n"/>
      <c r="L26" s="200" t="n"/>
    </row>
    <row r="27" ht="15" customHeight="1" s="122">
      <c r="E27" s="170">
        <f>IF(A27="","",IFERROR(xlookup(A27,'FLEET REGISTER'!$B:$B,'FLEET REGISTER'!$D:$D),"Unknown"))</f>
        <v/>
      </c>
      <c r="F27" s="170">
        <f>IF(A27="","",IFERROR(xlookup(A27,'FLEET REGISTER'!$B:$B,'FLEET REGISTER'!$F:$F),"Unknown"))</f>
        <v/>
      </c>
      <c r="G27" s="200" t="n"/>
      <c r="H27" s="200" t="n"/>
      <c r="I27" s="200" t="n"/>
      <c r="J27" s="200" t="n"/>
      <c r="K27" s="200" t="n"/>
      <c r="L27" s="200" t="n"/>
    </row>
    <row r="28" ht="15" customHeight="1" s="122">
      <c r="E28" s="170">
        <f>IF(A28="","",IFERROR(xlookup(A28,'FLEET REGISTER'!$B:$B,'FLEET REGISTER'!$D:$D),"Unknown"))</f>
        <v/>
      </c>
      <c r="F28" s="170">
        <f>IF(A28="","",IFERROR(xlookup(A28,'FLEET REGISTER'!$B:$B,'FLEET REGISTER'!$F:$F),"Unknown"))</f>
        <v/>
      </c>
      <c r="G28" s="200" t="n"/>
      <c r="H28" s="200" t="n"/>
      <c r="I28" s="200" t="n"/>
      <c r="J28" s="200" t="n"/>
      <c r="K28" s="200" t="n"/>
      <c r="L28" s="200" t="n"/>
    </row>
    <row r="29" ht="15" customHeight="1" s="122">
      <c r="E29" s="170">
        <f>IF(A29="","",IFERROR(xlookup(A29,'FLEET REGISTER'!$B:$B,'FLEET REGISTER'!$D:$D),"Unknown"))</f>
        <v/>
      </c>
      <c r="F29" s="170">
        <f>IF(A29="","",IFERROR(xlookup(A29,'FLEET REGISTER'!$B:$B,'FLEET REGISTER'!$F:$F),"Unknown"))</f>
        <v/>
      </c>
      <c r="G29" s="200" t="n"/>
      <c r="H29" s="200" t="n"/>
      <c r="I29" s="200" t="n"/>
      <c r="J29" s="200" t="n"/>
      <c r="K29" s="200" t="n"/>
      <c r="L29" s="200" t="n"/>
    </row>
    <row r="30" ht="15" customHeight="1" s="122">
      <c r="E30" s="170">
        <f>IF(A30="","",IFERROR(xlookup(A30,'FLEET REGISTER'!$B:$B,'FLEET REGISTER'!$D:$D),"Unknown"))</f>
        <v/>
      </c>
      <c r="F30" s="170">
        <f>IF(A30="","",IFERROR(xlookup(A30,'FLEET REGISTER'!$B:$B,'FLEET REGISTER'!$F:$F),"Unknown"))</f>
        <v/>
      </c>
      <c r="G30" s="200" t="n"/>
      <c r="H30" s="200" t="n"/>
      <c r="I30" s="200" t="n"/>
      <c r="J30" s="200" t="n"/>
      <c r="K30" s="200" t="n"/>
      <c r="L30" s="200" t="n"/>
    </row>
    <row r="31" ht="15" customHeight="1" s="122">
      <c r="E31" s="170">
        <f>IF(A31="","",IFERROR(xlookup(A31,'FLEET REGISTER'!$B:$B,'FLEET REGISTER'!$D:$D),"Unknown"))</f>
        <v/>
      </c>
      <c r="F31" s="170">
        <f>IF(A31="","",IFERROR(xlookup(A31,'FLEET REGISTER'!$B:$B,'FLEET REGISTER'!$F:$F),"Unknown"))</f>
        <v/>
      </c>
      <c r="G31" s="200" t="n"/>
      <c r="H31" s="200" t="n"/>
      <c r="I31" s="200" t="n"/>
      <c r="J31" s="200" t="n"/>
      <c r="K31" s="200" t="n"/>
      <c r="L31" s="200" t="n"/>
    </row>
    <row r="32" ht="15" customHeight="1" s="122">
      <c r="E32" s="170">
        <f>IF(A32="","",IFERROR(xlookup(A32,'FLEET REGISTER'!$B:$B,'FLEET REGISTER'!$D:$D),"Unknown"))</f>
        <v/>
      </c>
      <c r="F32" s="170">
        <f>IF(A32="","",IFERROR(xlookup(A32,'FLEET REGISTER'!$B:$B,'FLEET REGISTER'!$F:$F),"Unknown"))</f>
        <v/>
      </c>
      <c r="G32" s="200" t="n"/>
      <c r="H32" s="200" t="n"/>
      <c r="I32" s="200" t="n"/>
      <c r="J32" s="200" t="n"/>
      <c r="K32" s="200" t="n"/>
      <c r="L32" s="200" t="n"/>
    </row>
    <row r="33" ht="15" customHeight="1" s="122">
      <c r="E33" s="170">
        <f>IF(A33="","",IFERROR(xlookup(A33,'FLEET REGISTER'!$B:$B,'FLEET REGISTER'!$D:$D),"Unknown"))</f>
        <v/>
      </c>
      <c r="F33" s="170">
        <f>IF(A33="","",IFERROR(xlookup(A33,'FLEET REGISTER'!$B:$B,'FLEET REGISTER'!$F:$F),"Unknown"))</f>
        <v/>
      </c>
      <c r="G33" s="200" t="n"/>
      <c r="H33" s="200" t="n"/>
      <c r="I33" s="200" t="n"/>
      <c r="J33" s="200" t="n"/>
      <c r="K33" s="200" t="n"/>
      <c r="L33" s="200" t="n"/>
    </row>
    <row r="34" ht="15" customHeight="1" s="122">
      <c r="E34" s="170">
        <f>IF(A34="","",IFERROR(xlookup(A34,'FLEET REGISTER'!$B:$B,'FLEET REGISTER'!$D:$D),"Unknown"))</f>
        <v/>
      </c>
      <c r="F34" s="170">
        <f>IF(A34="","",IFERROR(xlookup(A34,'FLEET REGISTER'!$B:$B,'FLEET REGISTER'!$F:$F),"Unknown"))</f>
        <v/>
      </c>
      <c r="G34" s="200" t="n"/>
      <c r="H34" s="200" t="n"/>
      <c r="I34" s="200" t="n"/>
      <c r="J34" s="200" t="n"/>
      <c r="K34" s="200" t="n"/>
      <c r="L34" s="200" t="n"/>
    </row>
    <row r="35" ht="15" customHeight="1" s="122">
      <c r="E35" s="170">
        <f>IF(A35="","",IFERROR(xlookup(A35,'FLEET REGISTER'!$B:$B,'FLEET REGISTER'!$D:$D),"Unknown"))</f>
        <v/>
      </c>
      <c r="F35" s="170">
        <f>IF(A35="","",IFERROR(xlookup(A35,'FLEET REGISTER'!$B:$B,'FLEET REGISTER'!$F:$F),"Unknown"))</f>
        <v/>
      </c>
      <c r="G35" s="200" t="n"/>
      <c r="H35" s="200" t="n"/>
      <c r="I35" s="200" t="n"/>
      <c r="J35" s="200" t="n"/>
      <c r="K35" s="200" t="n"/>
      <c r="L35" s="200" t="n"/>
    </row>
    <row r="36" ht="15" customHeight="1" s="122">
      <c r="E36" s="170">
        <f>IF(A36="","",IFERROR(xlookup(A36,'FLEET REGISTER'!$B:$B,'FLEET REGISTER'!$D:$D),"Unknown"))</f>
        <v/>
      </c>
      <c r="F36" s="170">
        <f>IF(A36="","",IFERROR(xlookup(A36,'FLEET REGISTER'!$B:$B,'FLEET REGISTER'!$F:$F),"Unknown"))</f>
        <v/>
      </c>
      <c r="G36" s="200" t="n"/>
      <c r="H36" s="200" t="n"/>
      <c r="I36" s="200" t="n"/>
      <c r="J36" s="200" t="n"/>
      <c r="K36" s="200" t="n"/>
      <c r="L36" s="200" t="n"/>
    </row>
    <row r="37" ht="15" customHeight="1" s="122">
      <c r="E37" s="170">
        <f>IF(A37="","",IFERROR(xlookup(A37,'FLEET REGISTER'!$B:$B,'FLEET REGISTER'!$D:$D),"Unknown"))</f>
        <v/>
      </c>
      <c r="F37" s="170">
        <f>IF(A37="","",IFERROR(xlookup(A37,'FLEET REGISTER'!$B:$B,'FLEET REGISTER'!$F:$F),"Unknown"))</f>
        <v/>
      </c>
      <c r="G37" s="200" t="n"/>
      <c r="H37" s="200" t="n"/>
      <c r="I37" s="200" t="n"/>
      <c r="J37" s="200" t="n"/>
      <c r="K37" s="200" t="n"/>
      <c r="L37" s="200" t="n"/>
    </row>
    <row r="38" ht="15" customHeight="1" s="122">
      <c r="E38" s="170">
        <f>IF(A38="","",IFERROR(xlookup(A38,'FLEET REGISTER'!$B:$B,'FLEET REGISTER'!$D:$D),"Unknown"))</f>
        <v/>
      </c>
      <c r="F38" s="170">
        <f>IF(A38="","",IFERROR(xlookup(A38,'FLEET REGISTER'!$B:$B,'FLEET REGISTER'!$F:$F),"Unknown"))</f>
        <v/>
      </c>
      <c r="G38" s="200" t="n"/>
      <c r="H38" s="200" t="n"/>
      <c r="I38" s="200" t="n"/>
      <c r="J38" s="200" t="n"/>
      <c r="K38" s="200" t="n"/>
      <c r="L38" s="200" t="n"/>
    </row>
    <row r="39" ht="15" customHeight="1" s="122">
      <c r="E39" s="170">
        <f>IF(A39="","",IFERROR(xlookup(A39,'FLEET REGISTER'!$B:$B,'FLEET REGISTER'!$D:$D),"Unknown"))</f>
        <v/>
      </c>
      <c r="F39" s="170">
        <f>IF(A39="","",IFERROR(xlookup(A39,'FLEET REGISTER'!$B:$B,'FLEET REGISTER'!$F:$F),"Unknown"))</f>
        <v/>
      </c>
      <c r="G39" s="200" t="n"/>
      <c r="H39" s="200" t="n"/>
      <c r="I39" s="200" t="n"/>
      <c r="J39" s="200" t="n"/>
      <c r="K39" s="200" t="n"/>
      <c r="L39" s="200" t="n"/>
    </row>
    <row r="40" ht="15" customHeight="1" s="122">
      <c r="E40" s="170">
        <f>IF(A40="","",IFERROR(xlookup(A40,'FLEET REGISTER'!$B:$B,'FLEET REGISTER'!$D:$D),"Unknown"))</f>
        <v/>
      </c>
      <c r="F40" s="170">
        <f>IF(A40="","",IFERROR(xlookup(A40,'FLEET REGISTER'!$B:$B,'FLEET REGISTER'!$F:$F),"Unknown"))</f>
        <v/>
      </c>
      <c r="G40" s="200" t="n"/>
      <c r="H40" s="200" t="n"/>
      <c r="I40" s="200" t="n"/>
      <c r="J40" s="200" t="n"/>
      <c r="K40" s="200" t="n"/>
      <c r="L40" s="200" t="n"/>
    </row>
    <row r="41" ht="15" customHeight="1" s="122">
      <c r="E41" s="170">
        <f>IF(A41="","",IFERROR(xlookup(A41,'FLEET REGISTER'!$B:$B,'FLEET REGISTER'!$D:$D),"Unknown"))</f>
        <v/>
      </c>
      <c r="F41" s="170">
        <f>IF(A41="","",IFERROR(xlookup(A41,'FLEET REGISTER'!$B:$B,'FLEET REGISTER'!$F:$F),"Unknown"))</f>
        <v/>
      </c>
      <c r="G41" s="200" t="n"/>
      <c r="H41" s="200" t="n"/>
      <c r="I41" s="200" t="n"/>
      <c r="J41" s="200" t="n"/>
      <c r="K41" s="200" t="n"/>
      <c r="L41" s="200" t="n"/>
    </row>
    <row r="42" ht="15" customHeight="1" s="122">
      <c r="E42" s="170">
        <f>IF(A42="","",IFERROR(xlookup(A42,'FLEET REGISTER'!$B:$B,'FLEET REGISTER'!$D:$D),"Unknown"))</f>
        <v/>
      </c>
      <c r="F42" s="170">
        <f>IF(A42="","",IFERROR(xlookup(A42,'FLEET REGISTER'!$B:$B,'FLEET REGISTER'!$F:$F),"Unknown"))</f>
        <v/>
      </c>
      <c r="G42" s="200" t="n"/>
      <c r="H42" s="200" t="n"/>
      <c r="I42" s="200" t="n"/>
      <c r="J42" s="200" t="n"/>
      <c r="K42" s="200" t="n"/>
      <c r="L42" s="200" t="n"/>
    </row>
    <row r="43" ht="15" customHeight="1" s="122">
      <c r="E43" s="170">
        <f>IF(A43="","",IFERROR(xlookup(A43,'FLEET REGISTER'!$B:$B,'FLEET REGISTER'!$D:$D),"Unknown"))</f>
        <v/>
      </c>
      <c r="F43" s="170">
        <f>IF(A43="","",IFERROR(xlookup(A43,'FLEET REGISTER'!$B:$B,'FLEET REGISTER'!$F:$F),"Unknown"))</f>
        <v/>
      </c>
      <c r="G43" s="200" t="n"/>
      <c r="H43" s="200" t="n"/>
      <c r="I43" s="200" t="n"/>
      <c r="J43" s="200" t="n"/>
      <c r="K43" s="200" t="n"/>
      <c r="L43" s="200" t="n"/>
    </row>
    <row r="44" ht="15" customHeight="1" s="122">
      <c r="E44" s="170">
        <f>IF(A44="","",IFERROR(xlookup(A44,'FLEET REGISTER'!$B:$B,'FLEET REGISTER'!$D:$D),"Unknown"))</f>
        <v/>
      </c>
      <c r="F44" s="170">
        <f>IF(A44="","",IFERROR(xlookup(A44,'FLEET REGISTER'!$B:$B,'FLEET REGISTER'!$F:$F),"Unknown"))</f>
        <v/>
      </c>
      <c r="G44" s="200" t="n"/>
      <c r="H44" s="200" t="n"/>
      <c r="I44" s="200" t="n"/>
      <c r="J44" s="200" t="n"/>
      <c r="K44" s="200" t="n"/>
      <c r="L44" s="200" t="n"/>
    </row>
    <row r="45" ht="15" customHeight="1" s="122">
      <c r="E45" s="170">
        <f>IF(A45="","",IFERROR(xlookup(A45,'FLEET REGISTER'!$B:$B,'FLEET REGISTER'!$D:$D),"Unknown"))</f>
        <v/>
      </c>
      <c r="F45" s="170">
        <f>IF(A45="","",IFERROR(xlookup(A45,'FLEET REGISTER'!$B:$B,'FLEET REGISTER'!$F:$F),"Unknown"))</f>
        <v/>
      </c>
      <c r="G45" s="200" t="n"/>
      <c r="H45" s="200" t="n"/>
      <c r="I45" s="200" t="n"/>
      <c r="J45" s="200" t="n"/>
      <c r="K45" s="200" t="n"/>
      <c r="L45" s="200" t="n"/>
    </row>
    <row r="46" ht="15" customHeight="1" s="122">
      <c r="E46" s="170">
        <f>IF(A46="","",IFERROR(xlookup(A46,'FLEET REGISTER'!$B:$B,'FLEET REGISTER'!$D:$D),"Unknown"))</f>
        <v/>
      </c>
      <c r="F46" s="170">
        <f>IF(A46="","",IFERROR(xlookup(A46,'FLEET REGISTER'!$B:$B,'FLEET REGISTER'!$F:$F),"Unknown"))</f>
        <v/>
      </c>
      <c r="G46" s="200" t="n"/>
      <c r="H46" s="200" t="n"/>
      <c r="I46" s="200" t="n"/>
      <c r="J46" s="200" t="n"/>
      <c r="K46" s="200" t="n"/>
      <c r="L46" s="200" t="n"/>
    </row>
    <row r="47" ht="15" customHeight="1" s="122">
      <c r="E47" s="170">
        <f>IF(A47="","",IFERROR(xlookup(A47,'FLEET REGISTER'!$B:$B,'FLEET REGISTER'!$D:$D),"Unknown"))</f>
        <v/>
      </c>
      <c r="F47" s="170">
        <f>IF(A47="","",IFERROR(xlookup(A47,'FLEET REGISTER'!$B:$B,'FLEET REGISTER'!$F:$F),"Unknown"))</f>
        <v/>
      </c>
      <c r="G47" s="200" t="n"/>
      <c r="H47" s="200" t="n"/>
      <c r="I47" s="200" t="n"/>
      <c r="J47" s="200" t="n"/>
      <c r="K47" s="200" t="n"/>
      <c r="L47" s="200" t="n"/>
    </row>
    <row r="48" ht="15" customHeight="1" s="122">
      <c r="E48" s="170">
        <f>IF(A48="","",IFERROR(xlookup(A48,'FLEET REGISTER'!$B:$B,'FLEET REGISTER'!$D:$D),"Unknown"))</f>
        <v/>
      </c>
      <c r="F48" s="170">
        <f>IF(A48="","",IFERROR(xlookup(A48,'FLEET REGISTER'!$B:$B,'FLEET REGISTER'!$F:$F),"Unknown"))</f>
        <v/>
      </c>
      <c r="G48" s="200" t="n"/>
      <c r="H48" s="200" t="n"/>
      <c r="I48" s="200" t="n"/>
      <c r="J48" s="200" t="n"/>
      <c r="K48" s="200" t="n"/>
      <c r="L48" s="200" t="n"/>
    </row>
    <row r="49" ht="15" customHeight="1" s="122">
      <c r="E49" s="170">
        <f>IF(A49="","",IFERROR(xlookup(A49,'FLEET REGISTER'!$B:$B,'FLEET REGISTER'!$D:$D),"Unknown"))</f>
        <v/>
      </c>
      <c r="F49" s="170">
        <f>IF(A49="","",IFERROR(xlookup(A49,'FLEET REGISTER'!$B:$B,'FLEET REGISTER'!$F:$F),"Unknown"))</f>
        <v/>
      </c>
      <c r="G49" s="200" t="n"/>
      <c r="H49" s="200" t="n"/>
      <c r="I49" s="200" t="n"/>
      <c r="J49" s="200" t="n"/>
      <c r="K49" s="200" t="n"/>
      <c r="L49" s="200" t="n"/>
    </row>
    <row r="50" ht="15" customHeight="1" s="122">
      <c r="E50" s="170">
        <f>IF(A50="","",IFERROR(xlookup(A50,'FLEET REGISTER'!$B:$B,'FLEET REGISTER'!$D:$D),"Unknown"))</f>
        <v/>
      </c>
      <c r="F50" s="170">
        <f>IF(A50="","",IFERROR(xlookup(A50,'FLEET REGISTER'!$B:$B,'FLEET REGISTER'!$F:$F),"Unknown"))</f>
        <v/>
      </c>
      <c r="G50" s="200" t="n"/>
      <c r="H50" s="200" t="n"/>
      <c r="I50" s="200" t="n"/>
      <c r="J50" s="200" t="n"/>
      <c r="K50" s="200" t="n"/>
      <c r="L50" s="200" t="n"/>
    </row>
    <row r="51" ht="15" customHeight="1" s="122">
      <c r="E51" s="170">
        <f>IF(A51="","",IFERROR(xlookup(A51,'FLEET REGISTER'!$B:$B,'FLEET REGISTER'!$D:$D),"Unknown"))</f>
        <v/>
      </c>
      <c r="F51" s="170">
        <f>IF(A51="","",IFERROR(xlookup(A51,'FLEET REGISTER'!$B:$B,'FLEET REGISTER'!$F:$F),"Unknown"))</f>
        <v/>
      </c>
      <c r="G51" s="200" t="n"/>
      <c r="H51" s="200" t="n"/>
      <c r="I51" s="200" t="n"/>
      <c r="J51" s="200" t="n"/>
      <c r="K51" s="200" t="n"/>
      <c r="L51" s="200" t="n"/>
    </row>
    <row r="52" ht="15" customHeight="1" s="122">
      <c r="E52" s="170">
        <f>IF(A52="","",IFERROR(xlookup(A52,'FLEET REGISTER'!$B:$B,'FLEET REGISTER'!$D:$D),"Unknown"))</f>
        <v/>
      </c>
      <c r="F52" s="170">
        <f>IF(A52="","",IFERROR(xlookup(A52,'FLEET REGISTER'!$B:$B,'FLEET REGISTER'!$F:$F),"Unknown"))</f>
        <v/>
      </c>
      <c r="G52" s="200" t="n"/>
      <c r="H52" s="200" t="n"/>
      <c r="I52" s="200" t="n"/>
      <c r="J52" s="200" t="n"/>
      <c r="K52" s="200" t="n"/>
      <c r="L52" s="200" t="n"/>
    </row>
    <row r="53" ht="15" customHeight="1" s="122">
      <c r="E53" s="170">
        <f>IF(A53="","",IFERROR(xlookup(A53,'FLEET REGISTER'!$B:$B,'FLEET REGISTER'!$D:$D),"Unknown"))</f>
        <v/>
      </c>
      <c r="F53" s="170">
        <f>IF(A53="","",IFERROR(xlookup(A53,'FLEET REGISTER'!$B:$B,'FLEET REGISTER'!$F:$F),"Unknown"))</f>
        <v/>
      </c>
      <c r="G53" s="200" t="n"/>
      <c r="H53" s="200" t="n"/>
      <c r="I53" s="200" t="n"/>
      <c r="J53" s="200" t="n"/>
      <c r="K53" s="200" t="n"/>
      <c r="L53" s="200" t="n"/>
    </row>
    <row r="54" ht="15" customHeight="1" s="122">
      <c r="E54" s="170">
        <f>IF(A54="","",IFERROR(xlookup(A54,'FLEET REGISTER'!$B:$B,'FLEET REGISTER'!$D:$D),"Unknown"))</f>
        <v/>
      </c>
      <c r="F54" s="170">
        <f>IF(A54="","",IFERROR(xlookup(A54,'FLEET REGISTER'!$B:$B,'FLEET REGISTER'!$F:$F),"Unknown"))</f>
        <v/>
      </c>
      <c r="G54" s="200" t="n"/>
      <c r="H54" s="200" t="n"/>
      <c r="I54" s="200" t="n"/>
      <c r="J54" s="200" t="n"/>
      <c r="K54" s="200" t="n"/>
      <c r="L54" s="200" t="n"/>
    </row>
    <row r="55" ht="15" customHeight="1" s="122">
      <c r="E55" s="170">
        <f>IF(A55="","",IFERROR(xlookup(A55,'FLEET REGISTER'!$B:$B,'FLEET REGISTER'!$D:$D),"Unknown"))</f>
        <v/>
      </c>
      <c r="F55" s="170">
        <f>IF(A55="","",IFERROR(xlookup(A55,'FLEET REGISTER'!$B:$B,'FLEET REGISTER'!$F:$F),"Unknown"))</f>
        <v/>
      </c>
      <c r="G55" s="200" t="n"/>
      <c r="H55" s="200" t="n"/>
      <c r="I55" s="200" t="n"/>
      <c r="J55" s="200" t="n"/>
      <c r="K55" s="200" t="n"/>
      <c r="L55" s="200" t="n"/>
    </row>
    <row r="56" ht="15" customHeight="1" s="122">
      <c r="E56" s="170">
        <f>IF(A56="","",IFERROR(xlookup(A56,'FLEET REGISTER'!$B:$B,'FLEET REGISTER'!$D:$D),"Unknown"))</f>
        <v/>
      </c>
      <c r="F56" s="170">
        <f>IF(A56="","",IFERROR(xlookup(A56,'FLEET REGISTER'!$B:$B,'FLEET REGISTER'!$F:$F),"Unknown"))</f>
        <v/>
      </c>
      <c r="G56" s="200" t="n"/>
      <c r="H56" s="200" t="n"/>
      <c r="I56" s="200" t="n"/>
      <c r="J56" s="200" t="n"/>
      <c r="K56" s="200" t="n"/>
      <c r="L56" s="200" t="n"/>
    </row>
    <row r="57" ht="15" customHeight="1" s="122">
      <c r="E57" s="170">
        <f>IF(A57="","",IFERROR(xlookup(A57,'FLEET REGISTER'!$B:$B,'FLEET REGISTER'!$D:$D),"Unknown"))</f>
        <v/>
      </c>
      <c r="F57" s="170">
        <f>IF(A57="","",IFERROR(xlookup(A57,'FLEET REGISTER'!$B:$B,'FLEET REGISTER'!$F:$F),"Unknown"))</f>
        <v/>
      </c>
      <c r="G57" s="200" t="n"/>
      <c r="H57" s="200" t="n"/>
      <c r="I57" s="200" t="n"/>
      <c r="J57" s="200" t="n"/>
      <c r="K57" s="200" t="n"/>
      <c r="L57" s="200" t="n"/>
    </row>
    <row r="58" ht="15" customHeight="1" s="122">
      <c r="E58" s="170">
        <f>IF(A58="","",IFERROR(xlookup(A58,'FLEET REGISTER'!$B:$B,'FLEET REGISTER'!$D:$D),"Unknown"))</f>
        <v/>
      </c>
      <c r="F58" s="170">
        <f>IF(A58="","",IFERROR(xlookup(A58,'FLEET REGISTER'!$B:$B,'FLEET REGISTER'!$F:$F),"Unknown"))</f>
        <v/>
      </c>
      <c r="G58" s="200" t="n"/>
      <c r="H58" s="200" t="n"/>
      <c r="I58" s="200" t="n"/>
      <c r="J58" s="200" t="n"/>
      <c r="K58" s="200" t="n"/>
      <c r="L58" s="200" t="n"/>
    </row>
    <row r="59" ht="15" customHeight="1" s="122">
      <c r="E59" s="170">
        <f>IF(A59="","",IFERROR(xlookup(A59,'FLEET REGISTER'!$B:$B,'FLEET REGISTER'!$D:$D),"Unknown"))</f>
        <v/>
      </c>
      <c r="F59" s="170">
        <f>IF(A59="","",IFERROR(xlookup(A59,'FLEET REGISTER'!$B:$B,'FLEET REGISTER'!$F:$F),"Unknown"))</f>
        <v/>
      </c>
      <c r="G59" s="200" t="n"/>
      <c r="H59" s="200" t="n"/>
      <c r="I59" s="200" t="n"/>
      <c r="J59" s="200" t="n"/>
      <c r="K59" s="200" t="n"/>
      <c r="L59" s="200" t="n"/>
    </row>
    <row r="60" ht="15" customHeight="1" s="122">
      <c r="E60" s="170">
        <f>IF(A60="","",IFERROR(xlookup(A60,'FLEET REGISTER'!$B:$B,'FLEET REGISTER'!$D:$D),"Unknown"))</f>
        <v/>
      </c>
      <c r="F60" s="170">
        <f>IF(A60="","",IFERROR(xlookup(A60,'FLEET REGISTER'!$B:$B,'FLEET REGISTER'!$F:$F),"Unknown"))</f>
        <v/>
      </c>
      <c r="G60" s="200" t="n"/>
      <c r="H60" s="200" t="n"/>
      <c r="I60" s="200" t="n"/>
      <c r="J60" s="200" t="n"/>
      <c r="K60" s="200" t="n"/>
      <c r="L60" s="200" t="n"/>
    </row>
    <row r="61" ht="15" customHeight="1" s="122">
      <c r="E61" s="170">
        <f>IF(A61="","",IFERROR(xlookup(A61,'FLEET REGISTER'!$B:$B,'FLEET REGISTER'!$D:$D),"Unknown"))</f>
        <v/>
      </c>
      <c r="F61" s="170">
        <f>IF(A61="","",IFERROR(xlookup(A61,'FLEET REGISTER'!$B:$B,'FLEET REGISTER'!$F:$F),"Unknown"))</f>
        <v/>
      </c>
      <c r="G61" s="200" t="n"/>
      <c r="H61" s="200" t="n"/>
      <c r="I61" s="200" t="n"/>
      <c r="J61" s="200" t="n"/>
      <c r="K61" s="200" t="n"/>
      <c r="L61" s="200" t="n"/>
    </row>
    <row r="62" ht="15" customHeight="1" s="122">
      <c r="E62" s="170">
        <f>IF(A62="","",IFERROR(xlookup(A62,'FLEET REGISTER'!$B:$B,'FLEET REGISTER'!$D:$D),"Unknown"))</f>
        <v/>
      </c>
      <c r="F62" s="170">
        <f>IF(A62="","",IFERROR(xlookup(A62,'FLEET REGISTER'!$B:$B,'FLEET REGISTER'!$F:$F),"Unknown"))</f>
        <v/>
      </c>
      <c r="G62" s="200" t="n"/>
      <c r="H62" s="200" t="n"/>
      <c r="I62" s="200" t="n"/>
      <c r="J62" s="200" t="n"/>
      <c r="K62" s="200" t="n"/>
      <c r="L62" s="200" t="n"/>
    </row>
    <row r="63" ht="15" customHeight="1" s="122">
      <c r="E63" s="170">
        <f>IF(A63="","",IFERROR(xlookup(A63,'FLEET REGISTER'!$B:$B,'FLEET REGISTER'!$D:$D),"Unknown"))</f>
        <v/>
      </c>
      <c r="F63" s="170">
        <f>IF(A63="","",IFERROR(xlookup(A63,'FLEET REGISTER'!$B:$B,'FLEET REGISTER'!$F:$F),"Unknown"))</f>
        <v/>
      </c>
      <c r="G63" s="200" t="n"/>
      <c r="H63" s="200" t="n"/>
      <c r="I63" s="200" t="n"/>
      <c r="J63" s="200" t="n"/>
      <c r="K63" s="200" t="n"/>
      <c r="L63" s="200" t="n"/>
    </row>
    <row r="64" ht="15" customHeight="1" s="122">
      <c r="E64" s="170">
        <f>IF(A64="","",IFERROR(xlookup(A64,'FLEET REGISTER'!$B:$B,'FLEET REGISTER'!$D:$D),"Unknown"))</f>
        <v/>
      </c>
      <c r="F64" s="170">
        <f>IF(A64="","",IFERROR(xlookup(A64,'FLEET REGISTER'!$B:$B,'FLEET REGISTER'!$F:$F),"Unknown"))</f>
        <v/>
      </c>
      <c r="G64" s="200" t="n"/>
      <c r="H64" s="200" t="n"/>
      <c r="I64" s="200" t="n"/>
      <c r="J64" s="200" t="n"/>
      <c r="K64" s="200" t="n"/>
      <c r="L64" s="200" t="n"/>
    </row>
    <row r="65" ht="15" customHeight="1" s="122">
      <c r="E65" s="170">
        <f>IF(A65="","",IFERROR(xlookup(A65,'FLEET REGISTER'!$B:$B,'FLEET REGISTER'!$D:$D),"Unknown"))</f>
        <v/>
      </c>
      <c r="F65" s="170">
        <f>IF(A65="","",IFERROR(xlookup(A65,'FLEET REGISTER'!$B:$B,'FLEET REGISTER'!$F:$F),"Unknown"))</f>
        <v/>
      </c>
      <c r="G65" s="200" t="n"/>
      <c r="H65" s="200" t="n"/>
      <c r="I65" s="200" t="n"/>
      <c r="J65" s="200" t="n"/>
      <c r="K65" s="200" t="n"/>
      <c r="L65" s="200" t="n"/>
    </row>
    <row r="66" ht="15" customHeight="1" s="122">
      <c r="E66" s="170">
        <f>IF(A66="","",IFERROR(xlookup(A66,'FLEET REGISTER'!$B:$B,'FLEET REGISTER'!$D:$D),"Unknown"))</f>
        <v/>
      </c>
      <c r="F66" s="170">
        <f>IF(A66="","",IFERROR(xlookup(A66,'FLEET REGISTER'!$B:$B,'FLEET REGISTER'!$F:$F),"Unknown"))</f>
        <v/>
      </c>
      <c r="G66" s="200" t="n"/>
      <c r="H66" s="200" t="n"/>
      <c r="I66" s="200" t="n"/>
      <c r="J66" s="200" t="n"/>
      <c r="K66" s="200" t="n"/>
      <c r="L66" s="200" t="n"/>
    </row>
    <row r="67" ht="15" customHeight="1" s="122">
      <c r="E67" s="170">
        <f>IF(A67="","",IFERROR(xlookup(A67,'FLEET REGISTER'!$B:$B,'FLEET REGISTER'!$D:$D),"Unknown"))</f>
        <v/>
      </c>
      <c r="F67" s="170">
        <f>IF(A67="","",IFERROR(xlookup(A67,'FLEET REGISTER'!$B:$B,'FLEET REGISTER'!$F:$F),"Unknown"))</f>
        <v/>
      </c>
      <c r="G67" s="200" t="n"/>
      <c r="H67" s="200" t="n"/>
      <c r="I67" s="200" t="n"/>
      <c r="J67" s="200" t="n"/>
      <c r="K67" s="200" t="n"/>
      <c r="L67" s="200" t="n"/>
    </row>
    <row r="68" ht="15" customHeight="1" s="122">
      <c r="E68" s="170">
        <f>IF(A68="","",IFERROR(xlookup(A68,'FLEET REGISTER'!$B:$B,'FLEET REGISTER'!$D:$D),"Unknown"))</f>
        <v/>
      </c>
      <c r="F68" s="170">
        <f>IF(A68="","",IFERROR(xlookup(A68,'FLEET REGISTER'!$B:$B,'FLEET REGISTER'!$F:$F),"Unknown"))</f>
        <v/>
      </c>
      <c r="G68" s="200" t="n"/>
      <c r="H68" s="200" t="n"/>
      <c r="I68" s="200" t="n"/>
      <c r="J68" s="200" t="n"/>
      <c r="K68" s="200" t="n"/>
      <c r="L68" s="200" t="n"/>
    </row>
    <row r="69" ht="15" customHeight="1" s="122">
      <c r="E69" s="170">
        <f>IF(A69="","",IFERROR(xlookup(A69,'FLEET REGISTER'!$B:$B,'FLEET REGISTER'!$D:$D),"Unknown"))</f>
        <v/>
      </c>
      <c r="F69" s="170">
        <f>IF(A69="","",IFERROR(xlookup(A69,'FLEET REGISTER'!$B:$B,'FLEET REGISTER'!$F:$F),"Unknown"))</f>
        <v/>
      </c>
      <c r="G69" s="200" t="n"/>
      <c r="H69" s="200" t="n"/>
      <c r="I69" s="200" t="n"/>
      <c r="J69" s="200" t="n"/>
      <c r="K69" s="200" t="n"/>
      <c r="L69" s="200" t="n"/>
    </row>
    <row r="70" ht="15" customHeight="1" s="122">
      <c r="E70" s="170">
        <f>IF(A70="","",IFERROR(xlookup(A70,'FLEET REGISTER'!$B:$B,'FLEET REGISTER'!$D:$D),"Unknown"))</f>
        <v/>
      </c>
      <c r="F70" s="170">
        <f>IF(A70="","",IFERROR(xlookup(A70,'FLEET REGISTER'!$B:$B,'FLEET REGISTER'!$F:$F),"Unknown"))</f>
        <v/>
      </c>
      <c r="G70" s="200" t="n"/>
      <c r="H70" s="200" t="n"/>
      <c r="I70" s="200" t="n"/>
      <c r="J70" s="200" t="n"/>
      <c r="K70" s="200" t="n"/>
      <c r="L70" s="200" t="n"/>
    </row>
    <row r="71" ht="15" customHeight="1" s="122">
      <c r="E71" s="170">
        <f>IF(A71="","",IFERROR(xlookup(A71,'FLEET REGISTER'!$B:$B,'FLEET REGISTER'!$D:$D),"Unknown"))</f>
        <v/>
      </c>
      <c r="F71" s="170">
        <f>IF(A71="","",IFERROR(xlookup(A71,'FLEET REGISTER'!$B:$B,'FLEET REGISTER'!$F:$F),"Unknown"))</f>
        <v/>
      </c>
      <c r="G71" s="200" t="n"/>
      <c r="H71" s="200" t="n"/>
      <c r="I71" s="200" t="n"/>
      <c r="J71" s="200" t="n"/>
      <c r="K71" s="200" t="n"/>
      <c r="L71" s="200" t="n"/>
    </row>
    <row r="72" ht="15" customHeight="1" s="122">
      <c r="E72" s="170">
        <f>IF(A72="","",IFERROR(xlookup(A72,'FLEET REGISTER'!$B:$B,'FLEET REGISTER'!$D:$D),"Unknown"))</f>
        <v/>
      </c>
      <c r="F72" s="170">
        <f>IF(A72="","",IFERROR(xlookup(A72,'FLEET REGISTER'!$B:$B,'FLEET REGISTER'!$F:$F),"Unknown"))</f>
        <v/>
      </c>
      <c r="G72" s="200" t="n"/>
      <c r="H72" s="200" t="n"/>
      <c r="I72" s="200" t="n"/>
      <c r="J72" s="200" t="n"/>
      <c r="K72" s="200" t="n"/>
      <c r="L72" s="200" t="n"/>
    </row>
    <row r="73" ht="15" customHeight="1" s="122">
      <c r="E73" s="170">
        <f>IF(A73="","",IFERROR(xlookup(A73,'FLEET REGISTER'!$B:$B,'FLEET REGISTER'!$D:$D),"Unknown"))</f>
        <v/>
      </c>
      <c r="F73" s="170">
        <f>IF(A73="","",IFERROR(xlookup(A73,'FLEET REGISTER'!$B:$B,'FLEET REGISTER'!$F:$F),"Unknown"))</f>
        <v/>
      </c>
      <c r="G73" s="200" t="n"/>
      <c r="H73" s="200" t="n"/>
      <c r="I73" s="200" t="n"/>
      <c r="J73" s="200" t="n"/>
      <c r="K73" s="200" t="n"/>
      <c r="L73" s="200" t="n"/>
    </row>
    <row r="74" ht="15" customHeight="1" s="122">
      <c r="E74" s="170">
        <f>IF(A74="","",IFERROR(xlookup(A74,'FLEET REGISTER'!$B:$B,'FLEET REGISTER'!$D:$D),"Unknown"))</f>
        <v/>
      </c>
      <c r="F74" s="170">
        <f>IF(A74="","",IFERROR(xlookup(A74,'FLEET REGISTER'!$B:$B,'FLEET REGISTER'!$F:$F),"Unknown"))</f>
        <v/>
      </c>
      <c r="G74" s="200" t="n"/>
      <c r="H74" s="200" t="n"/>
      <c r="I74" s="200" t="n"/>
      <c r="J74" s="200" t="n"/>
      <c r="K74" s="200" t="n"/>
      <c r="L74" s="200" t="n"/>
    </row>
    <row r="75" ht="15" customHeight="1" s="122">
      <c r="E75" s="170">
        <f>IF(A75="","",IFERROR(xlookup(A75,'FLEET REGISTER'!$B:$B,'FLEET REGISTER'!$D:$D),"Unknown"))</f>
        <v/>
      </c>
      <c r="F75" s="170">
        <f>IF(A75="","",IFERROR(xlookup(A75,'FLEET REGISTER'!$B:$B,'FLEET REGISTER'!$F:$F),"Unknown"))</f>
        <v/>
      </c>
      <c r="G75" s="200" t="n"/>
      <c r="H75" s="200" t="n"/>
      <c r="I75" s="200" t="n"/>
      <c r="J75" s="200" t="n"/>
      <c r="K75" s="200" t="n"/>
      <c r="L75" s="200" t="n"/>
    </row>
    <row r="76" ht="15" customHeight="1" s="122">
      <c r="E76" s="170">
        <f>IF(A76="","",IFERROR(xlookup(A76,'FLEET REGISTER'!$B:$B,'FLEET REGISTER'!$D:$D),"Unknown"))</f>
        <v/>
      </c>
      <c r="F76" s="170">
        <f>IF(A76="","",IFERROR(xlookup(A76,'FLEET REGISTER'!$B:$B,'FLEET REGISTER'!$F:$F),"Unknown"))</f>
        <v/>
      </c>
      <c r="G76" s="200" t="n"/>
      <c r="H76" s="200" t="n"/>
      <c r="I76" s="200" t="n"/>
      <c r="J76" s="200" t="n"/>
      <c r="K76" s="200" t="n"/>
      <c r="L76" s="200" t="n"/>
    </row>
    <row r="77" ht="15" customHeight="1" s="122">
      <c r="E77" s="170">
        <f>IF(A77="","",IFERROR(xlookup(A77,'FLEET REGISTER'!$B:$B,'FLEET REGISTER'!$D:$D),"Unknown"))</f>
        <v/>
      </c>
      <c r="F77" s="170">
        <f>IF(A77="","",IFERROR(xlookup(A77,'FLEET REGISTER'!$B:$B,'FLEET REGISTER'!$F:$F),"Unknown"))</f>
        <v/>
      </c>
      <c r="G77" s="200" t="n"/>
      <c r="H77" s="200" t="n"/>
      <c r="I77" s="200" t="n"/>
      <c r="J77" s="200" t="n"/>
      <c r="K77" s="200" t="n"/>
      <c r="L77" s="200" t="n"/>
    </row>
    <row r="78" ht="15" customHeight="1" s="122">
      <c r="E78" s="170">
        <f>IF(A78="","",IFERROR(xlookup(A78,'FLEET REGISTER'!$B:$B,'FLEET REGISTER'!$D:$D),"Unknown"))</f>
        <v/>
      </c>
      <c r="F78" s="170">
        <f>IF(A78="","",IFERROR(xlookup(A78,'FLEET REGISTER'!$B:$B,'FLEET REGISTER'!$F:$F),"Unknown"))</f>
        <v/>
      </c>
      <c r="G78" s="200" t="n"/>
      <c r="H78" s="200" t="n"/>
      <c r="I78" s="200" t="n"/>
      <c r="J78" s="200" t="n"/>
      <c r="K78" s="200" t="n"/>
      <c r="L78" s="200" t="n"/>
    </row>
    <row r="79" ht="15" customHeight="1" s="122">
      <c r="E79" s="170">
        <f>IF(A79="","",IFERROR(xlookup(A79,'FLEET REGISTER'!$B:$B,'FLEET REGISTER'!$D:$D),"Unknown"))</f>
        <v/>
      </c>
      <c r="F79" s="170">
        <f>IF(A79="","",IFERROR(xlookup(A79,'FLEET REGISTER'!$B:$B,'FLEET REGISTER'!$F:$F),"Unknown"))</f>
        <v/>
      </c>
      <c r="G79" s="200" t="n"/>
      <c r="H79" s="200" t="n"/>
      <c r="I79" s="200" t="n"/>
      <c r="J79" s="200" t="n"/>
      <c r="K79" s="200" t="n"/>
      <c r="L79" s="200" t="n"/>
    </row>
    <row r="80" ht="15" customHeight="1" s="122">
      <c r="E80" s="170">
        <f>IF(A80="","",IFERROR(xlookup(A80,'FLEET REGISTER'!$B:$B,'FLEET REGISTER'!$D:$D),"Unknown"))</f>
        <v/>
      </c>
      <c r="F80" s="170">
        <f>IF(A80="","",IFERROR(xlookup(A80,'FLEET REGISTER'!$B:$B,'FLEET REGISTER'!$F:$F),"Unknown"))</f>
        <v/>
      </c>
      <c r="G80" s="200" t="n"/>
      <c r="H80" s="200" t="n"/>
      <c r="I80" s="200" t="n"/>
      <c r="J80" s="200" t="n"/>
      <c r="K80" s="200" t="n"/>
      <c r="L80" s="200" t="n"/>
    </row>
    <row r="81" ht="15" customHeight="1" s="122">
      <c r="E81" s="170">
        <f>IF(A81="","",IFERROR(xlookup(A81,'FLEET REGISTER'!$B:$B,'FLEET REGISTER'!$D:$D),"Unknown"))</f>
        <v/>
      </c>
      <c r="F81" s="170">
        <f>IF(A81="","",IFERROR(xlookup(A81,'FLEET REGISTER'!$B:$B,'FLEET REGISTER'!$F:$F),"Unknown"))</f>
        <v/>
      </c>
      <c r="G81" s="200" t="n"/>
      <c r="H81" s="200" t="n"/>
      <c r="I81" s="200" t="n"/>
      <c r="J81" s="200" t="n"/>
      <c r="K81" s="200" t="n"/>
      <c r="L81" s="200" t="n"/>
    </row>
    <row r="82" ht="15" customHeight="1" s="122">
      <c r="E82" s="170">
        <f>IF(A82="","",IFERROR(xlookup(A82,'FLEET REGISTER'!$B:$B,'FLEET REGISTER'!$D:$D),"Unknown"))</f>
        <v/>
      </c>
      <c r="F82" s="170">
        <f>IF(A82="","",IFERROR(xlookup(A82,'FLEET REGISTER'!$B:$B,'FLEET REGISTER'!$F:$F),"Unknown"))</f>
        <v/>
      </c>
      <c r="G82" s="200" t="n"/>
      <c r="H82" s="200" t="n"/>
      <c r="I82" s="200" t="n"/>
      <c r="J82" s="200" t="n"/>
      <c r="K82" s="200" t="n"/>
      <c r="L82" s="200" t="n"/>
    </row>
    <row r="83" ht="15" customHeight="1" s="122">
      <c r="E83" s="170">
        <f>IF(A83="","",IFERROR(xlookup(A83,'FLEET REGISTER'!$B:$B,'FLEET REGISTER'!$D:$D),"Unknown"))</f>
        <v/>
      </c>
      <c r="F83" s="170">
        <f>IF(A83="","",IFERROR(xlookup(A83,'FLEET REGISTER'!$B:$B,'FLEET REGISTER'!$F:$F),"Unknown"))</f>
        <v/>
      </c>
      <c r="G83" s="200" t="n"/>
      <c r="H83" s="200" t="n"/>
      <c r="I83" s="200" t="n"/>
      <c r="J83" s="200" t="n"/>
      <c r="K83" s="200" t="n"/>
      <c r="L83" s="200" t="n"/>
    </row>
    <row r="84" ht="15" customHeight="1" s="122">
      <c r="E84" s="170">
        <f>IF(A84="","",IFERROR(xlookup(A84,'FLEET REGISTER'!$B:$B,'FLEET REGISTER'!$D:$D),"Unknown"))</f>
        <v/>
      </c>
      <c r="F84" s="170">
        <f>IF(A84="","",IFERROR(xlookup(A84,'FLEET REGISTER'!$B:$B,'FLEET REGISTER'!$F:$F),"Unknown"))</f>
        <v/>
      </c>
      <c r="G84" s="200" t="n"/>
      <c r="H84" s="200" t="n"/>
      <c r="I84" s="200" t="n"/>
      <c r="J84" s="200" t="n"/>
      <c r="K84" s="200" t="n"/>
      <c r="L84" s="200" t="n"/>
    </row>
    <row r="85" ht="15" customHeight="1" s="122">
      <c r="E85" s="170">
        <f>IF(A85="","",IFERROR(xlookup(A85,'FLEET REGISTER'!$B:$B,'FLEET REGISTER'!$D:$D),"Unknown"))</f>
        <v/>
      </c>
      <c r="F85" s="170">
        <f>IF(A85="","",IFERROR(xlookup(A85,'FLEET REGISTER'!$B:$B,'FLEET REGISTER'!$F:$F),"Unknown"))</f>
        <v/>
      </c>
      <c r="G85" s="200" t="n"/>
      <c r="H85" s="200" t="n"/>
      <c r="I85" s="200" t="n"/>
      <c r="J85" s="200" t="n"/>
      <c r="K85" s="200" t="n"/>
      <c r="L85" s="200" t="n"/>
    </row>
    <row r="86" ht="15" customHeight="1" s="122">
      <c r="E86" s="170">
        <f>IF(A86="","",IFERROR(xlookup(A86,'FLEET REGISTER'!$B:$B,'FLEET REGISTER'!$D:$D),"Unknown"))</f>
        <v/>
      </c>
      <c r="F86" s="170">
        <f>IF(A86="","",IFERROR(xlookup(A86,'FLEET REGISTER'!$B:$B,'FLEET REGISTER'!$F:$F),"Unknown"))</f>
        <v/>
      </c>
      <c r="G86" s="200" t="n"/>
      <c r="H86" s="200" t="n"/>
      <c r="I86" s="200" t="n"/>
      <c r="J86" s="200" t="n"/>
      <c r="K86" s="200" t="n"/>
      <c r="L86" s="200" t="n"/>
    </row>
    <row r="87" ht="15" customHeight="1" s="122">
      <c r="E87" s="170">
        <f>IF(A87="","",IFERROR(xlookup(A87,'FLEET REGISTER'!$B:$B,'FLEET REGISTER'!$D:$D),"Unknown"))</f>
        <v/>
      </c>
      <c r="F87" s="170">
        <f>IF(A87="","",IFERROR(xlookup(A87,'FLEET REGISTER'!$B:$B,'FLEET REGISTER'!$F:$F),"Unknown"))</f>
        <v/>
      </c>
      <c r="G87" s="200" t="n"/>
      <c r="H87" s="200" t="n"/>
      <c r="I87" s="200" t="n"/>
      <c r="J87" s="200" t="n"/>
      <c r="K87" s="200" t="n"/>
      <c r="L87" s="200" t="n"/>
    </row>
    <row r="88" ht="15" customHeight="1" s="122">
      <c r="E88" s="170">
        <f>IF(A88="","",IFERROR(xlookup(A88,'FLEET REGISTER'!$B:$B,'FLEET REGISTER'!$D:$D),"Unknown"))</f>
        <v/>
      </c>
      <c r="F88" s="170">
        <f>IF(A88="","",IFERROR(xlookup(A88,'FLEET REGISTER'!$B:$B,'FLEET REGISTER'!$F:$F),"Unknown"))</f>
        <v/>
      </c>
      <c r="G88" s="200" t="n"/>
      <c r="H88" s="200" t="n"/>
      <c r="I88" s="200" t="n"/>
      <c r="J88" s="200" t="n"/>
      <c r="K88" s="200" t="n"/>
      <c r="L88" s="200" t="n"/>
    </row>
    <row r="89" ht="15" customHeight="1" s="122">
      <c r="E89" s="170">
        <f>IF(A89="","",IFERROR(xlookup(A89,'FLEET REGISTER'!$B:$B,'FLEET REGISTER'!$D:$D),"Unknown"))</f>
        <v/>
      </c>
      <c r="F89" s="170">
        <f>IF(A89="","",IFERROR(xlookup(A89,'FLEET REGISTER'!$B:$B,'FLEET REGISTER'!$F:$F),"Unknown"))</f>
        <v/>
      </c>
      <c r="G89" s="200" t="n"/>
      <c r="H89" s="200" t="n"/>
      <c r="I89" s="200" t="n"/>
      <c r="J89" s="200" t="n"/>
      <c r="K89" s="200" t="n"/>
      <c r="L89" s="200" t="n"/>
    </row>
    <row r="90" ht="15" customHeight="1" s="122">
      <c r="E90" s="170">
        <f>IF(A90="","",IFERROR(xlookup(A90,'FLEET REGISTER'!$B:$B,'FLEET REGISTER'!$D:$D),"Unknown"))</f>
        <v/>
      </c>
      <c r="F90" s="170">
        <f>IF(A90="","",IFERROR(xlookup(A90,'FLEET REGISTER'!$B:$B,'FLEET REGISTER'!$F:$F),"Unknown"))</f>
        <v/>
      </c>
      <c r="G90" s="200" t="n"/>
      <c r="H90" s="200" t="n"/>
      <c r="I90" s="200" t="n"/>
      <c r="J90" s="200" t="n"/>
      <c r="K90" s="200" t="n"/>
      <c r="L90" s="200" t="n"/>
    </row>
    <row r="91" ht="15" customHeight="1" s="122">
      <c r="E91" s="170">
        <f>IF(A91="","",IFERROR(xlookup(A91,'FLEET REGISTER'!$B:$B,'FLEET REGISTER'!$D:$D),"Unknown"))</f>
        <v/>
      </c>
      <c r="F91" s="170">
        <f>IF(A91="","",IFERROR(xlookup(A91,'FLEET REGISTER'!$B:$B,'FLEET REGISTER'!$F:$F),"Unknown"))</f>
        <v/>
      </c>
      <c r="G91" s="200" t="n"/>
      <c r="H91" s="200" t="n"/>
      <c r="I91" s="200" t="n"/>
      <c r="J91" s="200" t="n"/>
      <c r="K91" s="200" t="n"/>
      <c r="L91" s="200" t="n"/>
    </row>
    <row r="92" ht="15" customHeight="1" s="122">
      <c r="E92" s="170">
        <f>IF(A92="","",IFERROR(xlookup(A92,'FLEET REGISTER'!$B:$B,'FLEET REGISTER'!$D:$D),"Unknown"))</f>
        <v/>
      </c>
      <c r="F92" s="170">
        <f>IF(A92="","",IFERROR(xlookup(A92,'FLEET REGISTER'!$B:$B,'FLEET REGISTER'!$F:$F),"Unknown"))</f>
        <v/>
      </c>
      <c r="G92" s="200" t="n"/>
      <c r="H92" s="200" t="n"/>
      <c r="I92" s="200" t="n"/>
      <c r="J92" s="200" t="n"/>
      <c r="K92" s="200" t="n"/>
      <c r="L92" s="200" t="n"/>
    </row>
    <row r="93" ht="15" customHeight="1" s="122">
      <c r="E93" s="170">
        <f>IF(A93="","",IFERROR(xlookup(A93,'FLEET REGISTER'!$B:$B,'FLEET REGISTER'!$D:$D),"Unknown"))</f>
        <v/>
      </c>
      <c r="F93" s="170">
        <f>IF(A93="","",IFERROR(xlookup(A93,'FLEET REGISTER'!$B:$B,'FLEET REGISTER'!$F:$F),"Unknown"))</f>
        <v/>
      </c>
      <c r="G93" s="200" t="n"/>
      <c r="H93" s="200" t="n"/>
      <c r="I93" s="200" t="n"/>
      <c r="J93" s="200" t="n"/>
      <c r="K93" s="200" t="n"/>
      <c r="L93" s="200" t="n"/>
    </row>
    <row r="94" ht="15" customHeight="1" s="122">
      <c r="E94" s="170">
        <f>IF(A94="","",IFERROR(xlookup(A94,'FLEET REGISTER'!$B:$B,'FLEET REGISTER'!$D:$D),"Unknown"))</f>
        <v/>
      </c>
      <c r="F94" s="170">
        <f>IF(A94="","",IFERROR(xlookup(A94,'FLEET REGISTER'!$B:$B,'FLEET REGISTER'!$F:$F),"Unknown"))</f>
        <v/>
      </c>
      <c r="G94" s="200" t="n"/>
      <c r="H94" s="200" t="n"/>
      <c r="I94" s="200" t="n"/>
      <c r="J94" s="200" t="n"/>
      <c r="K94" s="200" t="n"/>
      <c r="L94" s="200" t="n"/>
    </row>
    <row r="95" ht="15" customHeight="1" s="122">
      <c r="E95" s="170">
        <f>IF(A95="","",IFERROR(xlookup(A95,'FLEET REGISTER'!$B:$B,'FLEET REGISTER'!$D:$D),"Unknown"))</f>
        <v/>
      </c>
      <c r="F95" s="170">
        <f>IF(A95="","",IFERROR(xlookup(A95,'FLEET REGISTER'!$B:$B,'FLEET REGISTER'!$F:$F),"Unknown"))</f>
        <v/>
      </c>
      <c r="G95" s="200" t="n"/>
      <c r="H95" s="200" t="n"/>
      <c r="I95" s="200" t="n"/>
      <c r="J95" s="200" t="n"/>
      <c r="K95" s="200" t="n"/>
      <c r="L95" s="200" t="n"/>
    </row>
    <row r="96" ht="15" customHeight="1" s="122">
      <c r="E96" s="170">
        <f>IF(A96="","",IFERROR(xlookup(A96,'FLEET REGISTER'!$B:$B,'FLEET REGISTER'!$D:$D),"Unknown"))</f>
        <v/>
      </c>
      <c r="F96" s="170">
        <f>IF(A96="","",IFERROR(xlookup(A96,'FLEET REGISTER'!$B:$B,'FLEET REGISTER'!$F:$F),"Unknown"))</f>
        <v/>
      </c>
      <c r="G96" s="200" t="n"/>
      <c r="H96" s="200" t="n"/>
      <c r="I96" s="200" t="n"/>
      <c r="J96" s="200" t="n"/>
      <c r="K96" s="200" t="n"/>
      <c r="L96" s="200" t="n"/>
    </row>
    <row r="97" ht="15" customHeight="1" s="122">
      <c r="E97" s="170">
        <f>IF(A97="","",IFERROR(xlookup(A97,'FLEET REGISTER'!$B:$B,'FLEET REGISTER'!$D:$D),"Unknown"))</f>
        <v/>
      </c>
      <c r="F97" s="170">
        <f>IF(A97="","",IFERROR(xlookup(A97,'FLEET REGISTER'!$B:$B,'FLEET REGISTER'!$F:$F),"Unknown"))</f>
        <v/>
      </c>
      <c r="G97" s="200" t="n"/>
      <c r="H97" s="200" t="n"/>
      <c r="I97" s="200" t="n"/>
      <c r="J97" s="200" t="n"/>
      <c r="K97" s="200" t="n"/>
      <c r="L97" s="200" t="n"/>
    </row>
    <row r="98" ht="15" customHeight="1" s="122">
      <c r="E98" s="170">
        <f>IF(A98="","",IFERROR(xlookup(A98,'FLEET REGISTER'!$B:$B,'FLEET REGISTER'!$D:$D),"Unknown"))</f>
        <v/>
      </c>
      <c r="F98" s="170">
        <f>IF(A98="","",IFERROR(xlookup(A98,'FLEET REGISTER'!$B:$B,'FLEET REGISTER'!$F:$F),"Unknown"))</f>
        <v/>
      </c>
      <c r="G98" s="200" t="n"/>
      <c r="H98" s="200" t="n"/>
      <c r="I98" s="200" t="n"/>
      <c r="J98" s="200" t="n"/>
      <c r="K98" s="200" t="n"/>
      <c r="L98" s="200" t="n"/>
    </row>
    <row r="99" ht="15" customHeight="1" s="122">
      <c r="E99" s="170">
        <f>IF(A99="","",IFERROR(xlookup(A99,'FLEET REGISTER'!$B:$B,'FLEET REGISTER'!$D:$D),"Unknown"))</f>
        <v/>
      </c>
      <c r="F99" s="170">
        <f>IF(A99="","",IFERROR(xlookup(A99,'FLEET REGISTER'!$B:$B,'FLEET REGISTER'!$F:$F),"Unknown"))</f>
        <v/>
      </c>
      <c r="G99" s="200" t="n"/>
      <c r="H99" s="200" t="n"/>
      <c r="I99" s="200" t="n"/>
      <c r="J99" s="200" t="n"/>
      <c r="K99" s="200" t="n"/>
      <c r="L99" s="200" t="n"/>
    </row>
    <row r="100" ht="15" customHeight="1" s="122">
      <c r="E100" s="170">
        <f>IF(A100="","",IFERROR(xlookup(A100,'FLEET REGISTER'!$B:$B,'FLEET REGISTER'!$D:$D),"Unknown"))</f>
        <v/>
      </c>
      <c r="F100" s="170">
        <f>IF(A100="","",IFERROR(xlookup(A100,'FLEET REGISTER'!$B:$B,'FLEET REGISTER'!$F:$F),"Unknown"))</f>
        <v/>
      </c>
      <c r="G100" s="200" t="n"/>
      <c r="H100" s="200" t="n"/>
      <c r="I100" s="200" t="n"/>
      <c r="J100" s="200" t="n"/>
      <c r="K100" s="200" t="n"/>
      <c r="L100" s="200" t="n"/>
    </row>
    <row r="101" ht="15" customHeight="1" s="122">
      <c r="E101" s="170">
        <f>IF(A101="","",IFERROR(xlookup(A101,'FLEET REGISTER'!$B:$B,'FLEET REGISTER'!$D:$D),"Unknown"))</f>
        <v/>
      </c>
      <c r="F101" s="170">
        <f>IF(A101="","",IFERROR(xlookup(A101,'FLEET REGISTER'!$B:$B,'FLEET REGISTER'!$F:$F),"Unknown"))</f>
        <v/>
      </c>
      <c r="G101" s="200" t="n"/>
      <c r="H101" s="200" t="n"/>
      <c r="I101" s="200" t="n"/>
      <c r="J101" s="200" t="n"/>
      <c r="K101" s="200" t="n"/>
      <c r="L101" s="200" t="n"/>
    </row>
    <row r="102" ht="15" customHeight="1" s="122">
      <c r="E102" s="170">
        <f>IF(A102="","",IFERROR(xlookup(A102,'FLEET REGISTER'!$B:$B,'FLEET REGISTER'!$D:$D),"Unknown"))</f>
        <v/>
      </c>
      <c r="F102" s="170">
        <f>IF(A102="","",IFERROR(xlookup(A102,'FLEET REGISTER'!$B:$B,'FLEET REGISTER'!$F:$F),"Unknown"))</f>
        <v/>
      </c>
      <c r="G102" s="200" t="n"/>
      <c r="H102" s="200" t="n"/>
      <c r="I102" s="200" t="n"/>
      <c r="J102" s="200" t="n"/>
      <c r="K102" s="200" t="n"/>
      <c r="L102" s="200" t="n"/>
    </row>
    <row r="103" ht="15" customHeight="1" s="122">
      <c r="E103" s="170">
        <f>IF(A103="","",IFERROR(xlookup(A103,'FLEET REGISTER'!$B:$B,'FLEET REGISTER'!$D:$D),"Unknown"))</f>
        <v/>
      </c>
      <c r="F103" s="170">
        <f>IF(A103="","",IFERROR(xlookup(A103,'FLEET REGISTER'!$B:$B,'FLEET REGISTER'!$F:$F),"Unknown"))</f>
        <v/>
      </c>
      <c r="G103" s="200" t="n"/>
      <c r="H103" s="200" t="n"/>
      <c r="I103" s="200" t="n"/>
      <c r="J103" s="200" t="n"/>
      <c r="K103" s="200" t="n"/>
      <c r="L103" s="200" t="n"/>
    </row>
    <row r="104" ht="15" customHeight="1" s="122">
      <c r="E104" s="170">
        <f>IF(A104="","",IFERROR(xlookup(A104,'FLEET REGISTER'!$B:$B,'FLEET REGISTER'!$D:$D),"Unknown"))</f>
        <v/>
      </c>
      <c r="F104" s="170">
        <f>IF(A104="","",IFERROR(xlookup(A104,'FLEET REGISTER'!$B:$B,'FLEET REGISTER'!$F:$F),"Unknown"))</f>
        <v/>
      </c>
      <c r="G104" s="200" t="n"/>
      <c r="H104" s="200" t="n"/>
      <c r="I104" s="200" t="n"/>
      <c r="J104" s="200" t="n"/>
      <c r="K104" s="200" t="n"/>
      <c r="L104" s="200" t="n"/>
    </row>
    <row r="105" ht="15" customHeight="1" s="122">
      <c r="E105" s="170">
        <f>IF(A105="","",IFERROR(xlookup(A105,'FLEET REGISTER'!$B:$B,'FLEET REGISTER'!$D:$D),"Unknown"))</f>
        <v/>
      </c>
      <c r="F105" s="170">
        <f>IF(A105="","",IFERROR(xlookup(A105,'FLEET REGISTER'!$B:$B,'FLEET REGISTER'!$F:$F),"Unknown"))</f>
        <v/>
      </c>
      <c r="G105" s="200" t="n"/>
      <c r="H105" s="200" t="n"/>
      <c r="I105" s="200" t="n"/>
      <c r="J105" s="200" t="n"/>
      <c r="K105" s="200" t="n"/>
      <c r="L105" s="200" t="n"/>
    </row>
    <row r="106" ht="15" customHeight="1" s="122">
      <c r="E106" s="170">
        <f>IF(A106="","",IFERROR(xlookup(A106,'FLEET REGISTER'!$B:$B,'FLEET REGISTER'!$D:$D),"Unknown"))</f>
        <v/>
      </c>
      <c r="F106" s="170">
        <f>IF(A106="","",IFERROR(xlookup(A106,'FLEET REGISTER'!$B:$B,'FLEET REGISTER'!$F:$F),"Unknown"))</f>
        <v/>
      </c>
      <c r="G106" s="200" t="n"/>
      <c r="H106" s="200" t="n"/>
      <c r="I106" s="200" t="n"/>
      <c r="J106" s="200" t="n"/>
      <c r="K106" s="200" t="n"/>
      <c r="L106" s="200" t="n"/>
    </row>
    <row r="107" ht="15" customHeight="1" s="122">
      <c r="E107" s="170">
        <f>IF(A107="","",IFERROR(xlookup(A107,'FLEET REGISTER'!$B:$B,'FLEET REGISTER'!$D:$D),"Unknown"))</f>
        <v/>
      </c>
      <c r="F107" s="170">
        <f>IF(A107="","",IFERROR(xlookup(A107,'FLEET REGISTER'!$B:$B,'FLEET REGISTER'!$F:$F),"Unknown"))</f>
        <v/>
      </c>
      <c r="G107" s="200" t="n"/>
      <c r="H107" s="200" t="n"/>
      <c r="I107" s="200" t="n"/>
      <c r="J107" s="200" t="n"/>
      <c r="K107" s="200" t="n"/>
      <c r="L107" s="200" t="n"/>
    </row>
    <row r="108" ht="15" customHeight="1" s="122">
      <c r="E108" s="170">
        <f>IF(A108="","",IFERROR(xlookup(A108,'FLEET REGISTER'!$B:$B,'FLEET REGISTER'!$D:$D),"Unknown"))</f>
        <v/>
      </c>
      <c r="F108" s="170">
        <f>IF(A108="","",IFERROR(xlookup(A108,'FLEET REGISTER'!$B:$B,'FLEET REGISTER'!$F:$F),"Unknown"))</f>
        <v/>
      </c>
      <c r="G108" s="200" t="n"/>
      <c r="H108" s="200" t="n"/>
      <c r="I108" s="200" t="n"/>
      <c r="J108" s="200" t="n"/>
      <c r="K108" s="200" t="n"/>
      <c r="L108" s="200" t="n"/>
    </row>
    <row r="109" ht="15" customHeight="1" s="122">
      <c r="E109" s="170">
        <f>IF(A109="","",IFERROR(xlookup(A109,'FLEET REGISTER'!$B:$B,'FLEET REGISTER'!$D:$D),"Unknown"))</f>
        <v/>
      </c>
      <c r="F109" s="170">
        <f>IF(A109="","",IFERROR(xlookup(A109,'FLEET REGISTER'!$B:$B,'FLEET REGISTER'!$F:$F),"Unknown"))</f>
        <v/>
      </c>
      <c r="G109" s="200" t="n"/>
      <c r="H109" s="200" t="n"/>
      <c r="I109" s="200" t="n"/>
      <c r="J109" s="200" t="n"/>
      <c r="K109" s="200" t="n"/>
      <c r="L109" s="200" t="n"/>
    </row>
    <row r="110" ht="15" customHeight="1" s="122">
      <c r="E110" s="170">
        <f>IF(A110="","",IFERROR(xlookup(A110,'FLEET REGISTER'!$B:$B,'FLEET REGISTER'!$D:$D),"Unknown"))</f>
        <v/>
      </c>
      <c r="F110" s="170">
        <f>IF(A110="","",IFERROR(xlookup(A110,'FLEET REGISTER'!$B:$B,'FLEET REGISTER'!$F:$F),"Unknown"))</f>
        <v/>
      </c>
      <c r="G110" s="200" t="n"/>
      <c r="H110" s="200" t="n"/>
      <c r="I110" s="200" t="n"/>
      <c r="J110" s="200" t="n"/>
      <c r="K110" s="200" t="n"/>
      <c r="L110" s="200" t="n"/>
    </row>
    <row r="111" ht="15" customHeight="1" s="122">
      <c r="E111" s="170">
        <f>IF(A111="","",IFERROR(xlookup(A111,'FLEET REGISTER'!$B:$B,'FLEET REGISTER'!$D:$D),"Unknown"))</f>
        <v/>
      </c>
      <c r="F111" s="170">
        <f>IF(A111="","",IFERROR(xlookup(A111,'FLEET REGISTER'!$B:$B,'FLEET REGISTER'!$F:$F),"Unknown"))</f>
        <v/>
      </c>
      <c r="G111" s="200" t="n"/>
      <c r="H111" s="200" t="n"/>
      <c r="I111" s="200" t="n"/>
      <c r="J111" s="200" t="n"/>
      <c r="K111" s="200" t="n"/>
      <c r="L111" s="200" t="n"/>
    </row>
    <row r="112" ht="15" customHeight="1" s="122">
      <c r="E112" s="170">
        <f>IF(A112="","",IFERROR(xlookup(A112,'FLEET REGISTER'!$B:$B,'FLEET REGISTER'!$D:$D),"Unknown"))</f>
        <v/>
      </c>
      <c r="F112" s="170">
        <f>IF(A112="","",IFERROR(xlookup(A112,'FLEET REGISTER'!$B:$B,'FLEET REGISTER'!$F:$F),"Unknown"))</f>
        <v/>
      </c>
      <c r="G112" s="200" t="n"/>
      <c r="H112" s="200" t="n"/>
      <c r="I112" s="200" t="n"/>
      <c r="J112" s="200" t="n"/>
      <c r="K112" s="200" t="n"/>
      <c r="L112" s="200" t="n"/>
    </row>
    <row r="113" ht="15" customHeight="1" s="122">
      <c r="E113" s="170">
        <f>IF(A113="","",IFERROR(xlookup(A113,'FLEET REGISTER'!$B:$B,'FLEET REGISTER'!$D:$D),"Unknown"))</f>
        <v/>
      </c>
      <c r="F113" s="170">
        <f>IF(A113="","",IFERROR(xlookup(A113,'FLEET REGISTER'!$B:$B,'FLEET REGISTER'!$F:$F),"Unknown"))</f>
        <v/>
      </c>
      <c r="G113" s="200" t="n"/>
      <c r="H113" s="200" t="n"/>
      <c r="I113" s="200" t="n"/>
      <c r="J113" s="200" t="n"/>
      <c r="K113" s="200" t="n"/>
      <c r="L113" s="200" t="n"/>
    </row>
    <row r="114" ht="15" customHeight="1" s="122">
      <c r="E114" s="170">
        <f>IF(A114="","",IFERROR(xlookup(A114,'FLEET REGISTER'!$B:$B,'FLEET REGISTER'!$D:$D),"Unknown"))</f>
        <v/>
      </c>
      <c r="F114" s="170">
        <f>IF(A114="","",IFERROR(xlookup(A114,'FLEET REGISTER'!$B:$B,'FLEET REGISTER'!$F:$F),"Unknown"))</f>
        <v/>
      </c>
      <c r="G114" s="200" t="n"/>
      <c r="H114" s="200" t="n"/>
      <c r="I114" s="200" t="n"/>
      <c r="J114" s="200" t="n"/>
      <c r="K114" s="200" t="n"/>
      <c r="L114" s="200" t="n"/>
    </row>
    <row r="115" ht="15" customHeight="1" s="122">
      <c r="E115" s="170">
        <f>IF(A115="","",IFERROR(xlookup(A115,'FLEET REGISTER'!$B:$B,'FLEET REGISTER'!$D:$D),"Unknown"))</f>
        <v/>
      </c>
      <c r="F115" s="170">
        <f>IF(A115="","",IFERROR(xlookup(A115,'FLEET REGISTER'!$B:$B,'FLEET REGISTER'!$F:$F),"Unknown"))</f>
        <v/>
      </c>
      <c r="G115" s="200" t="n"/>
      <c r="H115" s="200" t="n"/>
      <c r="I115" s="200" t="n"/>
      <c r="J115" s="200" t="n"/>
      <c r="K115" s="200" t="n"/>
      <c r="L115" s="200" t="n"/>
    </row>
    <row r="116" ht="15" customHeight="1" s="122">
      <c r="E116" s="170">
        <f>IF(A116="","",IFERROR(xlookup(A116,'FLEET REGISTER'!$B:$B,'FLEET REGISTER'!$D:$D),"Unknown"))</f>
        <v/>
      </c>
      <c r="F116" s="170">
        <f>IF(A116="","",IFERROR(xlookup(A116,'FLEET REGISTER'!$B:$B,'FLEET REGISTER'!$F:$F),"Unknown"))</f>
        <v/>
      </c>
      <c r="G116" s="200" t="n"/>
      <c r="H116" s="200" t="n"/>
      <c r="I116" s="200" t="n"/>
      <c r="J116" s="200" t="n"/>
      <c r="K116" s="200" t="n"/>
      <c r="L116" s="200" t="n"/>
    </row>
    <row r="117" ht="15" customHeight="1" s="122">
      <c r="E117" s="170">
        <f>IF(A117="","",IFERROR(xlookup(A117,'FLEET REGISTER'!$B:$B,'FLEET REGISTER'!$D:$D),"Unknown"))</f>
        <v/>
      </c>
      <c r="F117" s="170">
        <f>IF(A117="","",IFERROR(xlookup(A117,'FLEET REGISTER'!$B:$B,'FLEET REGISTER'!$F:$F),"Unknown"))</f>
        <v/>
      </c>
      <c r="G117" s="200" t="n"/>
      <c r="H117" s="200" t="n"/>
      <c r="I117" s="200" t="n"/>
      <c r="J117" s="200" t="n"/>
      <c r="K117" s="200" t="n"/>
      <c r="L117" s="200" t="n"/>
    </row>
    <row r="118" ht="15" customHeight="1" s="122">
      <c r="E118" s="170">
        <f>IF(A118="","",IFERROR(xlookup(A118,'FLEET REGISTER'!$B:$B,'FLEET REGISTER'!$D:$D),"Unknown"))</f>
        <v/>
      </c>
      <c r="F118" s="170">
        <f>IF(A118="","",IFERROR(xlookup(A118,'FLEET REGISTER'!$B:$B,'FLEET REGISTER'!$F:$F),"Unknown"))</f>
        <v/>
      </c>
      <c r="G118" s="200" t="n"/>
      <c r="H118" s="200" t="n"/>
      <c r="I118" s="200" t="n"/>
      <c r="J118" s="200" t="n"/>
      <c r="K118" s="200" t="n"/>
      <c r="L118" s="200" t="n"/>
    </row>
    <row r="119" ht="15" customHeight="1" s="122">
      <c r="E119" s="170">
        <f>IF(A119="","",IFERROR(xlookup(A119,'FLEET REGISTER'!$B:$B,'FLEET REGISTER'!$D:$D),"Unknown"))</f>
        <v/>
      </c>
      <c r="F119" s="170">
        <f>IF(A119="","",IFERROR(xlookup(A119,'FLEET REGISTER'!$B:$B,'FLEET REGISTER'!$F:$F),"Unknown"))</f>
        <v/>
      </c>
      <c r="G119" s="200" t="n"/>
      <c r="H119" s="200" t="n"/>
      <c r="I119" s="200" t="n"/>
      <c r="J119" s="200" t="n"/>
      <c r="K119" s="200" t="n"/>
      <c r="L119" s="200" t="n"/>
    </row>
    <row r="120" ht="15" customHeight="1" s="122">
      <c r="E120" s="170">
        <f>IF(A120="","",IFERROR(xlookup(A120,'FLEET REGISTER'!$B:$B,'FLEET REGISTER'!$D:$D),"Unknown"))</f>
        <v/>
      </c>
      <c r="F120" s="170">
        <f>IF(A120="","",IFERROR(xlookup(A120,'FLEET REGISTER'!$B:$B,'FLEET REGISTER'!$F:$F),"Unknown"))</f>
        <v/>
      </c>
      <c r="G120" s="200" t="n"/>
      <c r="H120" s="200" t="n"/>
      <c r="I120" s="200" t="n"/>
      <c r="J120" s="200" t="n"/>
      <c r="K120" s="200" t="n"/>
      <c r="L120" s="200" t="n"/>
    </row>
    <row r="121" ht="15" customHeight="1" s="122">
      <c r="E121" s="170">
        <f>IF(A121="","",IFERROR(xlookup(A121,'FLEET REGISTER'!$B:$B,'FLEET REGISTER'!$D:$D),"Unknown"))</f>
        <v/>
      </c>
      <c r="F121" s="170">
        <f>IF(A121="","",IFERROR(xlookup(A121,'FLEET REGISTER'!$B:$B,'FLEET REGISTER'!$F:$F),"Unknown"))</f>
        <v/>
      </c>
      <c r="G121" s="200" t="n"/>
      <c r="H121" s="200" t="n"/>
      <c r="I121" s="200" t="n"/>
      <c r="J121" s="200" t="n"/>
      <c r="K121" s="200" t="n"/>
      <c r="L121" s="200" t="n"/>
    </row>
    <row r="122" ht="15" customHeight="1" s="122">
      <c r="E122" s="170">
        <f>IF(A122="","",IFERROR(xlookup(A122,'FLEET REGISTER'!$B:$B,'FLEET REGISTER'!$D:$D),"Unknown"))</f>
        <v/>
      </c>
      <c r="F122" s="170">
        <f>IF(A122="","",IFERROR(xlookup(A122,'FLEET REGISTER'!$B:$B,'FLEET REGISTER'!$F:$F),"Unknown"))</f>
        <v/>
      </c>
      <c r="G122" s="200" t="n"/>
      <c r="H122" s="200" t="n"/>
      <c r="I122" s="200" t="n"/>
      <c r="J122" s="200" t="n"/>
      <c r="K122" s="200" t="n"/>
      <c r="L122" s="200" t="n"/>
    </row>
    <row r="123" ht="15" customHeight="1" s="122">
      <c r="E123" s="170">
        <f>IF(A123="","",IFERROR(xlookup(A123,'FLEET REGISTER'!$B:$B,'FLEET REGISTER'!$D:$D),"Unknown"))</f>
        <v/>
      </c>
      <c r="F123" s="170">
        <f>IF(A123="","",IFERROR(xlookup(A123,'FLEET REGISTER'!$B:$B,'FLEET REGISTER'!$F:$F),"Unknown"))</f>
        <v/>
      </c>
      <c r="G123" s="200" t="n"/>
      <c r="H123" s="200" t="n"/>
      <c r="I123" s="200" t="n"/>
      <c r="J123" s="200" t="n"/>
      <c r="K123" s="200" t="n"/>
      <c r="L123" s="200" t="n"/>
    </row>
    <row r="124" ht="15" customHeight="1" s="122">
      <c r="E124" s="170">
        <f>IF(A124="","",IFERROR(xlookup(A124,'FLEET REGISTER'!$B:$B,'FLEET REGISTER'!$D:$D),"Unknown"))</f>
        <v/>
      </c>
      <c r="F124" s="170">
        <f>IF(A124="","",IFERROR(xlookup(A124,'FLEET REGISTER'!$B:$B,'FLEET REGISTER'!$F:$F),"Unknown"))</f>
        <v/>
      </c>
      <c r="G124" s="200" t="n"/>
      <c r="H124" s="200" t="n"/>
      <c r="I124" s="200" t="n"/>
      <c r="J124" s="200" t="n"/>
      <c r="K124" s="200" t="n"/>
      <c r="L124" s="200" t="n"/>
    </row>
    <row r="125" ht="15" customHeight="1" s="122">
      <c r="E125" s="170">
        <f>IF(A125="","",IFERROR(xlookup(A125,'FLEET REGISTER'!$B:$B,'FLEET REGISTER'!$D:$D),"Unknown"))</f>
        <v/>
      </c>
      <c r="F125" s="170">
        <f>IF(A125="","",IFERROR(xlookup(A125,'FLEET REGISTER'!$B:$B,'FLEET REGISTER'!$F:$F),"Unknown"))</f>
        <v/>
      </c>
      <c r="G125" s="200" t="n"/>
      <c r="H125" s="200" t="n"/>
      <c r="I125" s="200" t="n"/>
      <c r="J125" s="200" t="n"/>
      <c r="K125" s="200" t="n"/>
      <c r="L125" s="200" t="n"/>
    </row>
    <row r="126" ht="15" customHeight="1" s="122">
      <c r="E126" s="170">
        <f>IF(A126="","",IFERROR(xlookup(A126,'FLEET REGISTER'!$B:$B,'FLEET REGISTER'!$D:$D),"Unknown"))</f>
        <v/>
      </c>
      <c r="F126" s="170">
        <f>IF(A126="","",IFERROR(xlookup(A126,'FLEET REGISTER'!$B:$B,'FLEET REGISTER'!$F:$F),"Unknown"))</f>
        <v/>
      </c>
      <c r="G126" s="200" t="n"/>
      <c r="H126" s="200" t="n"/>
      <c r="I126" s="200" t="n"/>
      <c r="J126" s="200" t="n"/>
      <c r="K126" s="200" t="n"/>
      <c r="L126" s="200" t="n"/>
    </row>
    <row r="127" ht="15" customHeight="1" s="122">
      <c r="E127" s="170">
        <f>IF(A127="","",IFERROR(xlookup(A127,'FLEET REGISTER'!$B:$B,'FLEET REGISTER'!$D:$D),"Unknown"))</f>
        <v/>
      </c>
      <c r="F127" s="170">
        <f>IF(A127="","",IFERROR(xlookup(A127,'FLEET REGISTER'!$B:$B,'FLEET REGISTER'!$F:$F),"Unknown"))</f>
        <v/>
      </c>
      <c r="G127" s="200" t="n"/>
      <c r="H127" s="200" t="n"/>
      <c r="I127" s="200" t="n"/>
      <c r="J127" s="200" t="n"/>
      <c r="K127" s="200" t="n"/>
      <c r="L127" s="200" t="n"/>
    </row>
    <row r="128" ht="15" customHeight="1" s="122">
      <c r="E128" s="170">
        <f>IF(A128="","",IFERROR(xlookup(A128,'FLEET REGISTER'!$B:$B,'FLEET REGISTER'!$D:$D),"Unknown"))</f>
        <v/>
      </c>
      <c r="F128" s="170">
        <f>IF(A128="","",IFERROR(xlookup(A128,'FLEET REGISTER'!$B:$B,'FLEET REGISTER'!$F:$F),"Unknown"))</f>
        <v/>
      </c>
      <c r="G128" s="200" t="n"/>
      <c r="H128" s="200" t="n"/>
      <c r="I128" s="200" t="n"/>
      <c r="J128" s="200" t="n"/>
      <c r="K128" s="200" t="n"/>
      <c r="L128" s="200" t="n"/>
    </row>
    <row r="129" ht="15" customHeight="1" s="122">
      <c r="E129" s="170">
        <f>IF(A129="","",IFERROR(xlookup(A129,'FLEET REGISTER'!$B:$B,'FLEET REGISTER'!$D:$D),"Unknown"))</f>
        <v/>
      </c>
      <c r="F129" s="170">
        <f>IF(A129="","",IFERROR(xlookup(A129,'FLEET REGISTER'!$B:$B,'FLEET REGISTER'!$F:$F),"Unknown"))</f>
        <v/>
      </c>
      <c r="G129" s="200" t="n"/>
      <c r="H129" s="200" t="n"/>
      <c r="I129" s="200" t="n"/>
      <c r="J129" s="200" t="n"/>
      <c r="K129" s="200" t="n"/>
      <c r="L129" s="200" t="n"/>
    </row>
    <row r="130" ht="15" customHeight="1" s="122">
      <c r="E130" s="170">
        <f>IF(A130="","",IFERROR(xlookup(A130,'FLEET REGISTER'!$B:$B,'FLEET REGISTER'!$D:$D),"Unknown"))</f>
        <v/>
      </c>
      <c r="F130" s="170">
        <f>IF(A130="","",IFERROR(xlookup(A130,'FLEET REGISTER'!$B:$B,'FLEET REGISTER'!$F:$F),"Unknown"))</f>
        <v/>
      </c>
      <c r="G130" s="200" t="n"/>
      <c r="H130" s="200" t="n"/>
      <c r="I130" s="200" t="n"/>
      <c r="J130" s="200" t="n"/>
      <c r="K130" s="200" t="n"/>
      <c r="L130" s="200" t="n"/>
    </row>
    <row r="131" ht="15" customHeight="1" s="122">
      <c r="E131" s="170">
        <f>IF(A131="","",IFERROR(xlookup(A131,'FLEET REGISTER'!$B:$B,'FLEET REGISTER'!$D:$D),"Unknown"))</f>
        <v/>
      </c>
      <c r="F131" s="170">
        <f>IF(A131="","",IFERROR(xlookup(A131,'FLEET REGISTER'!$B:$B,'FLEET REGISTER'!$F:$F),"Unknown"))</f>
        <v/>
      </c>
      <c r="G131" s="200" t="n"/>
      <c r="H131" s="200" t="n"/>
      <c r="I131" s="200" t="n"/>
      <c r="J131" s="200" t="n"/>
      <c r="K131" s="200" t="n"/>
      <c r="L131" s="200" t="n"/>
    </row>
    <row r="132" ht="15" customHeight="1" s="122">
      <c r="E132" s="170">
        <f>IF(A132="","",IFERROR(xlookup(A132,'FLEET REGISTER'!$B:$B,'FLEET REGISTER'!$D:$D),"Unknown"))</f>
        <v/>
      </c>
      <c r="F132" s="170">
        <f>IF(A132="","",IFERROR(xlookup(A132,'FLEET REGISTER'!$B:$B,'FLEET REGISTER'!$F:$F),"Unknown"))</f>
        <v/>
      </c>
      <c r="G132" s="200" t="n"/>
      <c r="H132" s="200" t="n"/>
      <c r="I132" s="200" t="n"/>
      <c r="J132" s="200" t="n"/>
      <c r="K132" s="200" t="n"/>
      <c r="L132" s="200" t="n"/>
    </row>
    <row r="133" ht="15" customHeight="1" s="122">
      <c r="E133" s="170">
        <f>IF(A133="","",IFERROR(xlookup(A133,'FLEET REGISTER'!$B:$B,'FLEET REGISTER'!$D:$D),"Unknown"))</f>
        <v/>
      </c>
      <c r="F133" s="170">
        <f>IF(A133="","",IFERROR(xlookup(A133,'FLEET REGISTER'!$B:$B,'FLEET REGISTER'!$F:$F),"Unknown"))</f>
        <v/>
      </c>
      <c r="G133" s="200" t="n"/>
      <c r="H133" s="200" t="n"/>
      <c r="I133" s="200" t="n"/>
      <c r="J133" s="200" t="n"/>
      <c r="K133" s="200" t="n"/>
      <c r="L133" s="200" t="n"/>
    </row>
    <row r="134" ht="15" customHeight="1" s="122">
      <c r="E134" s="170">
        <f>IF(A134="","",IFERROR(xlookup(A134,'FLEET REGISTER'!$B:$B,'FLEET REGISTER'!$D:$D),"Unknown"))</f>
        <v/>
      </c>
      <c r="F134" s="170">
        <f>IF(A134="","",IFERROR(xlookup(A134,'FLEET REGISTER'!$B:$B,'FLEET REGISTER'!$F:$F),"Unknown"))</f>
        <v/>
      </c>
      <c r="G134" s="200" t="n"/>
      <c r="H134" s="200" t="n"/>
      <c r="I134" s="200" t="n"/>
      <c r="J134" s="200" t="n"/>
      <c r="K134" s="200" t="n"/>
      <c r="L134" s="200" t="n"/>
    </row>
    <row r="135" ht="15" customHeight="1" s="122">
      <c r="E135" s="170">
        <f>IF(A135="","",IFERROR(xlookup(A135,'FLEET REGISTER'!$B:$B,'FLEET REGISTER'!$D:$D),"Unknown"))</f>
        <v/>
      </c>
      <c r="F135" s="170">
        <f>IF(A135="","",IFERROR(xlookup(A135,'FLEET REGISTER'!$B:$B,'FLEET REGISTER'!$F:$F),"Unknown"))</f>
        <v/>
      </c>
      <c r="G135" s="200" t="n"/>
      <c r="H135" s="200" t="n"/>
      <c r="I135" s="200" t="n"/>
      <c r="J135" s="200" t="n"/>
      <c r="K135" s="200" t="n"/>
      <c r="L135" s="200" t="n"/>
    </row>
    <row r="136" ht="15" customHeight="1" s="122">
      <c r="E136" s="170">
        <f>IF(A136="","",IFERROR(xlookup(A136,'FLEET REGISTER'!$B:$B,'FLEET REGISTER'!$D:$D),"Unknown"))</f>
        <v/>
      </c>
      <c r="F136" s="170">
        <f>IF(A136="","",IFERROR(xlookup(A136,'FLEET REGISTER'!$B:$B,'FLEET REGISTER'!$F:$F),"Unknown"))</f>
        <v/>
      </c>
      <c r="G136" s="200" t="n"/>
      <c r="H136" s="200" t="n"/>
      <c r="I136" s="200" t="n"/>
      <c r="J136" s="200" t="n"/>
      <c r="K136" s="200" t="n"/>
      <c r="L136" s="200" t="n"/>
    </row>
    <row r="137" ht="15" customHeight="1" s="122">
      <c r="E137" s="170">
        <f>IF(A137="","",IFERROR(xlookup(A137,'FLEET REGISTER'!$B:$B,'FLEET REGISTER'!$D:$D),"Unknown"))</f>
        <v/>
      </c>
      <c r="F137" s="170">
        <f>IF(A137="","",IFERROR(xlookup(A137,'FLEET REGISTER'!$B:$B,'FLEET REGISTER'!$F:$F),"Unknown"))</f>
        <v/>
      </c>
      <c r="G137" s="200" t="n"/>
      <c r="H137" s="200" t="n"/>
      <c r="I137" s="200" t="n"/>
      <c r="J137" s="200" t="n"/>
      <c r="K137" s="200" t="n"/>
      <c r="L137" s="200" t="n"/>
    </row>
    <row r="138" ht="15" customHeight="1" s="122">
      <c r="E138" s="170">
        <f>IF(A138="","",IFERROR(xlookup(A138,'FLEET REGISTER'!$B:$B,'FLEET REGISTER'!$D:$D),"Unknown"))</f>
        <v/>
      </c>
      <c r="F138" s="170">
        <f>IF(A138="","",IFERROR(xlookup(A138,'FLEET REGISTER'!$B:$B,'FLEET REGISTER'!$F:$F),"Unknown"))</f>
        <v/>
      </c>
      <c r="G138" s="200" t="n"/>
      <c r="H138" s="200" t="n"/>
      <c r="I138" s="200" t="n"/>
      <c r="J138" s="200" t="n"/>
      <c r="K138" s="200" t="n"/>
      <c r="L138" s="200" t="n"/>
    </row>
    <row r="139" ht="15" customHeight="1" s="122">
      <c r="E139" s="170">
        <f>IF(A139="","",IFERROR(xlookup(A139,'FLEET REGISTER'!$B:$B,'FLEET REGISTER'!$D:$D),"Unknown"))</f>
        <v/>
      </c>
      <c r="F139" s="170">
        <f>IF(A139="","",IFERROR(xlookup(A139,'FLEET REGISTER'!$B:$B,'FLEET REGISTER'!$F:$F),"Unknown"))</f>
        <v/>
      </c>
      <c r="G139" s="200" t="n"/>
      <c r="H139" s="200" t="n"/>
      <c r="I139" s="200" t="n"/>
      <c r="J139" s="200" t="n"/>
      <c r="K139" s="200" t="n"/>
      <c r="L139" s="200" t="n"/>
    </row>
    <row r="140" ht="15" customHeight="1" s="122">
      <c r="E140" s="170">
        <f>IF(A140="","",IFERROR(xlookup(A140,'FLEET REGISTER'!$B:$B,'FLEET REGISTER'!$D:$D),"Unknown"))</f>
        <v/>
      </c>
      <c r="F140" s="170">
        <f>IF(A140="","",IFERROR(xlookup(A140,'FLEET REGISTER'!$B:$B,'FLEET REGISTER'!$F:$F),"Unknown"))</f>
        <v/>
      </c>
      <c r="G140" s="200" t="n"/>
      <c r="H140" s="200" t="n"/>
      <c r="I140" s="200" t="n"/>
      <c r="J140" s="200" t="n"/>
      <c r="K140" s="200" t="n"/>
      <c r="L140" s="200" t="n"/>
    </row>
    <row r="141" ht="15" customHeight="1" s="122">
      <c r="E141" s="170">
        <f>IF(A141="","",IFERROR(xlookup(A141,'FLEET REGISTER'!$B:$B,'FLEET REGISTER'!$D:$D),"Unknown"))</f>
        <v/>
      </c>
      <c r="F141" s="170">
        <f>IF(A141="","",IFERROR(xlookup(A141,'FLEET REGISTER'!$B:$B,'FLEET REGISTER'!$F:$F),"Unknown"))</f>
        <v/>
      </c>
      <c r="G141" s="200" t="n"/>
      <c r="H141" s="200" t="n"/>
      <c r="I141" s="200" t="n"/>
      <c r="J141" s="200" t="n"/>
      <c r="K141" s="200" t="n"/>
      <c r="L141" s="200" t="n"/>
    </row>
    <row r="142" ht="15" customHeight="1" s="122">
      <c r="E142" s="170">
        <f>IF(A142="","",IFERROR(xlookup(A142,'FLEET REGISTER'!$B:$B,'FLEET REGISTER'!$D:$D),"Unknown"))</f>
        <v/>
      </c>
      <c r="F142" s="170">
        <f>IF(A142="","",IFERROR(xlookup(A142,'FLEET REGISTER'!$B:$B,'FLEET REGISTER'!$F:$F),"Unknown"))</f>
        <v/>
      </c>
      <c r="G142" s="200" t="n"/>
      <c r="H142" s="200" t="n"/>
      <c r="I142" s="200" t="n"/>
      <c r="J142" s="200" t="n"/>
      <c r="K142" s="200" t="n"/>
      <c r="L142" s="200" t="n"/>
    </row>
    <row r="143" ht="15" customHeight="1" s="122">
      <c r="E143" s="170">
        <f>IF(A143="","",IFERROR(xlookup(A143,'FLEET REGISTER'!$B:$B,'FLEET REGISTER'!$D:$D),"Unknown"))</f>
        <v/>
      </c>
      <c r="F143" s="170">
        <f>IF(A143="","",IFERROR(xlookup(A143,'FLEET REGISTER'!$B:$B,'FLEET REGISTER'!$F:$F),"Unknown"))</f>
        <v/>
      </c>
      <c r="G143" s="200" t="n"/>
      <c r="H143" s="200" t="n"/>
      <c r="I143" s="200" t="n"/>
      <c r="J143" s="200" t="n"/>
      <c r="K143" s="200" t="n"/>
      <c r="L143" s="200" t="n"/>
    </row>
    <row r="144" ht="15" customHeight="1" s="122">
      <c r="E144" s="170">
        <f>IF(A144="","",IFERROR(xlookup(A144,'FLEET REGISTER'!$B:$B,'FLEET REGISTER'!$D:$D),"Unknown"))</f>
        <v/>
      </c>
      <c r="F144" s="170">
        <f>IF(A144="","",IFERROR(xlookup(A144,'FLEET REGISTER'!$B:$B,'FLEET REGISTER'!$F:$F),"Unknown"))</f>
        <v/>
      </c>
      <c r="G144" s="200" t="n"/>
      <c r="H144" s="200" t="n"/>
      <c r="I144" s="200" t="n"/>
      <c r="J144" s="200" t="n"/>
      <c r="K144" s="200" t="n"/>
      <c r="L144" s="200" t="n"/>
    </row>
    <row r="145" ht="15" customHeight="1" s="122">
      <c r="E145" s="170">
        <f>IF(A145="","",IFERROR(xlookup(A145,'FLEET REGISTER'!$B:$B,'FLEET REGISTER'!$D:$D),"Unknown"))</f>
        <v/>
      </c>
      <c r="F145" s="170">
        <f>IF(A145="","",IFERROR(xlookup(A145,'FLEET REGISTER'!$B:$B,'FLEET REGISTER'!$F:$F),"Unknown"))</f>
        <v/>
      </c>
      <c r="G145" s="200" t="n"/>
      <c r="H145" s="200" t="n"/>
      <c r="I145" s="200" t="n"/>
      <c r="J145" s="200" t="n"/>
      <c r="K145" s="200" t="n"/>
      <c r="L145" s="200" t="n"/>
    </row>
    <row r="146" ht="15" customHeight="1" s="122">
      <c r="E146" s="170">
        <f>IF(A146="","",IFERROR(xlookup(A146,'FLEET REGISTER'!$B:$B,'FLEET REGISTER'!$D:$D),"Unknown"))</f>
        <v/>
      </c>
      <c r="F146" s="170">
        <f>IF(A146="","",IFERROR(xlookup(A146,'FLEET REGISTER'!$B:$B,'FLEET REGISTER'!$F:$F),"Unknown"))</f>
        <v/>
      </c>
      <c r="G146" s="200" t="n"/>
      <c r="H146" s="200" t="n"/>
      <c r="I146" s="200" t="n"/>
      <c r="J146" s="200" t="n"/>
      <c r="K146" s="200" t="n"/>
      <c r="L146" s="200" t="n"/>
    </row>
    <row r="147" ht="15" customHeight="1" s="122">
      <c r="E147" s="170">
        <f>IF(A147="","",IFERROR(xlookup(A147,'FLEET REGISTER'!$B:$B,'FLEET REGISTER'!$D:$D),"Unknown"))</f>
        <v/>
      </c>
      <c r="F147" s="170">
        <f>IF(A147="","",IFERROR(xlookup(A147,'FLEET REGISTER'!$B:$B,'FLEET REGISTER'!$F:$F),"Unknown"))</f>
        <v/>
      </c>
      <c r="G147" s="200" t="n"/>
      <c r="H147" s="200" t="n"/>
      <c r="I147" s="200" t="n"/>
      <c r="J147" s="200" t="n"/>
      <c r="K147" s="200" t="n"/>
      <c r="L147" s="200" t="n"/>
    </row>
    <row r="148" ht="15" customHeight="1" s="122">
      <c r="E148" s="170">
        <f>IF(A148="","",IFERROR(xlookup(A148,'FLEET REGISTER'!$B:$B,'FLEET REGISTER'!$D:$D),"Unknown"))</f>
        <v/>
      </c>
      <c r="F148" s="170">
        <f>IF(A148="","",IFERROR(xlookup(A148,'FLEET REGISTER'!$B:$B,'FLEET REGISTER'!$F:$F),"Unknown"))</f>
        <v/>
      </c>
      <c r="G148" s="200" t="n"/>
      <c r="H148" s="200" t="n"/>
      <c r="I148" s="200" t="n"/>
      <c r="J148" s="200" t="n"/>
      <c r="K148" s="200" t="n"/>
      <c r="L148" s="200" t="n"/>
    </row>
    <row r="149" ht="15" customHeight="1" s="122">
      <c r="E149" s="170">
        <f>IF(A149="","",IFERROR(xlookup(A149,'FLEET REGISTER'!$B:$B,'FLEET REGISTER'!$D:$D),"Unknown"))</f>
        <v/>
      </c>
      <c r="F149" s="170">
        <f>IF(A149="","",IFERROR(xlookup(A149,'FLEET REGISTER'!$B:$B,'FLEET REGISTER'!$F:$F),"Unknown"))</f>
        <v/>
      </c>
      <c r="G149" s="200" t="n"/>
      <c r="H149" s="200" t="n"/>
      <c r="I149" s="200" t="n"/>
      <c r="J149" s="200" t="n"/>
      <c r="K149" s="200" t="n"/>
      <c r="L149" s="200" t="n"/>
    </row>
    <row r="150" ht="15" customHeight="1" s="122">
      <c r="E150" s="170">
        <f>IF(A150="","",IFERROR(xlookup(A150,'FLEET REGISTER'!$B:$B,'FLEET REGISTER'!$D:$D),"Unknown"))</f>
        <v/>
      </c>
      <c r="F150" s="170">
        <f>IF(A150="","",IFERROR(xlookup(A150,'FLEET REGISTER'!$B:$B,'FLEET REGISTER'!$F:$F),"Unknown"))</f>
        <v/>
      </c>
      <c r="G150" s="200" t="n"/>
      <c r="H150" s="200" t="n"/>
      <c r="I150" s="200" t="n"/>
      <c r="J150" s="200" t="n"/>
      <c r="K150" s="200" t="n"/>
      <c r="L150" s="200" t="n"/>
    </row>
    <row r="151" ht="15" customHeight="1" s="122">
      <c r="E151" s="170">
        <f>IF(A151="","",IFERROR(xlookup(A151,'FLEET REGISTER'!$B:$B,'FLEET REGISTER'!$D:$D),"Unknown"))</f>
        <v/>
      </c>
      <c r="F151" s="170">
        <f>IF(A151="","",IFERROR(xlookup(A151,'FLEET REGISTER'!$B:$B,'FLEET REGISTER'!$F:$F),"Unknown"))</f>
        <v/>
      </c>
      <c r="G151" s="200" t="n"/>
      <c r="H151" s="200" t="n"/>
      <c r="I151" s="200" t="n"/>
      <c r="J151" s="200" t="n"/>
      <c r="K151" s="200" t="n"/>
      <c r="L151" s="200" t="n"/>
    </row>
    <row r="152" ht="15" customHeight="1" s="122">
      <c r="E152" s="170">
        <f>IF(A152="","",IFERROR(xlookup(A152,'FLEET REGISTER'!$B:$B,'FLEET REGISTER'!$D:$D),"Unknown"))</f>
        <v/>
      </c>
      <c r="F152" s="170">
        <f>IF(A152="","",IFERROR(xlookup(A152,'FLEET REGISTER'!$B:$B,'FLEET REGISTER'!$F:$F),"Unknown"))</f>
        <v/>
      </c>
      <c r="G152" s="200" t="n"/>
      <c r="H152" s="200" t="n"/>
      <c r="I152" s="200" t="n"/>
      <c r="J152" s="200" t="n"/>
      <c r="K152" s="200" t="n"/>
      <c r="L152" s="200" t="n"/>
    </row>
    <row r="153" ht="15" customHeight="1" s="122">
      <c r="E153" s="170">
        <f>IF(A153="","",IFERROR(xlookup(A153,'FLEET REGISTER'!$B:$B,'FLEET REGISTER'!$D:$D),"Unknown"))</f>
        <v/>
      </c>
      <c r="F153" s="170">
        <f>IF(A153="","",IFERROR(xlookup(A153,'FLEET REGISTER'!$B:$B,'FLEET REGISTER'!$F:$F),"Unknown"))</f>
        <v/>
      </c>
      <c r="G153" s="200" t="n"/>
      <c r="H153" s="200" t="n"/>
      <c r="I153" s="200" t="n"/>
      <c r="J153" s="200" t="n"/>
      <c r="K153" s="200" t="n"/>
      <c r="L153" s="200" t="n"/>
    </row>
    <row r="154" ht="15" customHeight="1" s="122">
      <c r="E154" s="170">
        <f>IF(A154="","",IFERROR(xlookup(A154,'FLEET REGISTER'!$B:$B,'FLEET REGISTER'!$D:$D),"Unknown"))</f>
        <v/>
      </c>
      <c r="F154" s="170">
        <f>IF(A154="","",IFERROR(xlookup(A154,'FLEET REGISTER'!$B:$B,'FLEET REGISTER'!$F:$F),"Unknown"))</f>
        <v/>
      </c>
      <c r="G154" s="200" t="n"/>
      <c r="H154" s="200" t="n"/>
      <c r="I154" s="200" t="n"/>
      <c r="J154" s="200" t="n"/>
      <c r="K154" s="200" t="n"/>
      <c r="L154" s="200" t="n"/>
    </row>
    <row r="155" ht="15" customHeight="1" s="122">
      <c r="E155" s="170">
        <f>IF(A155="","",IFERROR(xlookup(A155,'FLEET REGISTER'!$B:$B,'FLEET REGISTER'!$D:$D),"Unknown"))</f>
        <v/>
      </c>
      <c r="F155" s="170">
        <f>IF(A155="","",IFERROR(xlookup(A155,'FLEET REGISTER'!$B:$B,'FLEET REGISTER'!$F:$F),"Unknown"))</f>
        <v/>
      </c>
      <c r="G155" s="200" t="n"/>
      <c r="H155" s="200" t="n"/>
      <c r="I155" s="200" t="n"/>
      <c r="J155" s="200" t="n"/>
      <c r="K155" s="200" t="n"/>
      <c r="L155" s="200" t="n"/>
    </row>
    <row r="156" ht="15" customHeight="1" s="122">
      <c r="E156" s="170">
        <f>IF(A156="","",IFERROR(xlookup(A156,'FLEET REGISTER'!$B:$B,'FLEET REGISTER'!$D:$D),"Unknown"))</f>
        <v/>
      </c>
      <c r="F156" s="170">
        <f>IF(A156="","",IFERROR(xlookup(A156,'FLEET REGISTER'!$B:$B,'FLEET REGISTER'!$F:$F),"Unknown"))</f>
        <v/>
      </c>
      <c r="G156" s="200" t="n"/>
      <c r="H156" s="200" t="n"/>
      <c r="I156" s="200" t="n"/>
      <c r="J156" s="200" t="n"/>
      <c r="K156" s="200" t="n"/>
      <c r="L156" s="200" t="n"/>
    </row>
    <row r="157" ht="15" customHeight="1" s="122">
      <c r="E157" s="170">
        <f>IF(A157="","",IFERROR(xlookup(A157,'FLEET REGISTER'!$B:$B,'FLEET REGISTER'!$D:$D),"Unknown"))</f>
        <v/>
      </c>
      <c r="F157" s="170">
        <f>IF(A157="","",IFERROR(xlookup(A157,'FLEET REGISTER'!$B:$B,'FLEET REGISTER'!$F:$F),"Unknown"))</f>
        <v/>
      </c>
      <c r="G157" s="200" t="n"/>
      <c r="H157" s="200" t="n"/>
      <c r="I157" s="200" t="n"/>
      <c r="J157" s="200" t="n"/>
      <c r="K157" s="200" t="n"/>
      <c r="L157" s="200" t="n"/>
    </row>
    <row r="158" ht="15" customHeight="1" s="122">
      <c r="E158" s="170">
        <f>IF(A158="","",IFERROR(xlookup(A158,'FLEET REGISTER'!$B:$B,'FLEET REGISTER'!$D:$D),"Unknown"))</f>
        <v/>
      </c>
      <c r="F158" s="170">
        <f>IF(A158="","",IFERROR(xlookup(A158,'FLEET REGISTER'!$B:$B,'FLEET REGISTER'!$F:$F),"Unknown"))</f>
        <v/>
      </c>
      <c r="G158" s="200" t="n"/>
      <c r="H158" s="200" t="n"/>
      <c r="I158" s="200" t="n"/>
      <c r="J158" s="200" t="n"/>
      <c r="K158" s="200" t="n"/>
      <c r="L158" s="200" t="n"/>
    </row>
    <row r="159" ht="15" customHeight="1" s="122">
      <c r="E159" s="170">
        <f>IF(A159="","",IFERROR(xlookup(A159,'FLEET REGISTER'!$B:$B,'FLEET REGISTER'!$D:$D),"Unknown"))</f>
        <v/>
      </c>
      <c r="F159" s="170">
        <f>IF(A159="","",IFERROR(xlookup(A159,'FLEET REGISTER'!$B:$B,'FLEET REGISTER'!$F:$F),"Unknown"))</f>
        <v/>
      </c>
      <c r="G159" s="200" t="n"/>
      <c r="H159" s="200" t="n"/>
      <c r="I159" s="200" t="n"/>
      <c r="J159" s="200" t="n"/>
      <c r="K159" s="200" t="n"/>
      <c r="L159" s="200" t="n"/>
    </row>
    <row r="160" ht="15" customHeight="1" s="122">
      <c r="E160" s="170">
        <f>IF(A160="","",IFERROR(xlookup(A160,'FLEET REGISTER'!$B:$B,'FLEET REGISTER'!$D:$D),"Unknown"))</f>
        <v/>
      </c>
      <c r="F160" s="170">
        <f>IF(A160="","",IFERROR(xlookup(A160,'FLEET REGISTER'!$B:$B,'FLEET REGISTER'!$F:$F),"Unknown"))</f>
        <v/>
      </c>
      <c r="G160" s="200" t="n"/>
      <c r="H160" s="200" t="n"/>
      <c r="I160" s="200" t="n"/>
      <c r="J160" s="200" t="n"/>
      <c r="K160" s="200" t="n"/>
      <c r="L160" s="200" t="n"/>
    </row>
    <row r="161" ht="15" customHeight="1" s="122">
      <c r="E161" s="170">
        <f>IF(A161="","",IFERROR(xlookup(A161,'FLEET REGISTER'!$B:$B,'FLEET REGISTER'!$D:$D),"Unknown"))</f>
        <v/>
      </c>
      <c r="F161" s="170">
        <f>IF(A161="","",IFERROR(xlookup(A161,'FLEET REGISTER'!$B:$B,'FLEET REGISTER'!$F:$F),"Unknown"))</f>
        <v/>
      </c>
      <c r="G161" s="200" t="n"/>
      <c r="H161" s="200" t="n"/>
      <c r="I161" s="200" t="n"/>
      <c r="J161" s="200" t="n"/>
      <c r="K161" s="200" t="n"/>
      <c r="L161" s="200" t="n"/>
    </row>
    <row r="162" ht="15" customHeight="1" s="122">
      <c r="E162" s="170">
        <f>IF(A162="","",IFERROR(xlookup(A162,'FLEET REGISTER'!$B:$B,'FLEET REGISTER'!$D:$D),"Unknown"))</f>
        <v/>
      </c>
      <c r="F162" s="170">
        <f>IF(A162="","",IFERROR(xlookup(A162,'FLEET REGISTER'!$B:$B,'FLEET REGISTER'!$F:$F),"Unknown"))</f>
        <v/>
      </c>
      <c r="G162" s="200" t="n"/>
      <c r="H162" s="200" t="n"/>
      <c r="I162" s="200" t="n"/>
      <c r="J162" s="200" t="n"/>
      <c r="K162" s="200" t="n"/>
      <c r="L162" s="200" t="n"/>
    </row>
    <row r="163" ht="15" customHeight="1" s="122">
      <c r="E163" s="170">
        <f>IF(A163="","",IFERROR(xlookup(A163,'FLEET REGISTER'!$B:$B,'FLEET REGISTER'!$D:$D),"Unknown"))</f>
        <v/>
      </c>
      <c r="F163" s="170">
        <f>IF(A163="","",IFERROR(xlookup(A163,'FLEET REGISTER'!$B:$B,'FLEET REGISTER'!$F:$F),"Unknown"))</f>
        <v/>
      </c>
      <c r="G163" s="200" t="n"/>
      <c r="H163" s="200" t="n"/>
      <c r="I163" s="200" t="n"/>
      <c r="J163" s="200" t="n"/>
      <c r="K163" s="200" t="n"/>
      <c r="L163" s="200" t="n"/>
    </row>
    <row r="164" ht="15" customHeight="1" s="122">
      <c r="E164" s="170">
        <f>IF(A164="","",IFERROR(xlookup(A164,'FLEET REGISTER'!$B:$B,'FLEET REGISTER'!$D:$D),"Unknown"))</f>
        <v/>
      </c>
      <c r="F164" s="170">
        <f>IF(A164="","",IFERROR(xlookup(A164,'FLEET REGISTER'!$B:$B,'FLEET REGISTER'!$F:$F),"Unknown"))</f>
        <v/>
      </c>
      <c r="G164" s="200" t="n"/>
      <c r="H164" s="200" t="n"/>
      <c r="I164" s="200" t="n"/>
      <c r="J164" s="200" t="n"/>
      <c r="K164" s="200" t="n"/>
      <c r="L164" s="200" t="n"/>
    </row>
    <row r="165" ht="15" customHeight="1" s="122">
      <c r="E165" s="170">
        <f>IF(A165="","",IFERROR(xlookup(A165,'FLEET REGISTER'!$B:$B,'FLEET REGISTER'!$D:$D),"Unknown"))</f>
        <v/>
      </c>
      <c r="F165" s="170">
        <f>IF(A165="","",IFERROR(xlookup(A165,'FLEET REGISTER'!$B:$B,'FLEET REGISTER'!$F:$F),"Unknown"))</f>
        <v/>
      </c>
      <c r="G165" s="200" t="n"/>
      <c r="H165" s="200" t="n"/>
      <c r="I165" s="200" t="n"/>
      <c r="J165" s="200" t="n"/>
      <c r="K165" s="200" t="n"/>
      <c r="L165" s="200" t="n"/>
    </row>
    <row r="166" ht="15" customHeight="1" s="122">
      <c r="E166" s="170">
        <f>IF(A166="","",IFERROR(xlookup(A166,'FLEET REGISTER'!$B:$B,'FLEET REGISTER'!$D:$D),"Unknown"))</f>
        <v/>
      </c>
      <c r="F166" s="170">
        <f>IF(A166="","",IFERROR(xlookup(A166,'FLEET REGISTER'!$B:$B,'FLEET REGISTER'!$F:$F),"Unknown"))</f>
        <v/>
      </c>
      <c r="G166" s="200" t="n"/>
      <c r="H166" s="200" t="n"/>
      <c r="I166" s="200" t="n"/>
      <c r="J166" s="200" t="n"/>
      <c r="K166" s="200" t="n"/>
      <c r="L166" s="200" t="n"/>
    </row>
    <row r="167" ht="15" customHeight="1" s="122">
      <c r="E167" s="170">
        <f>IF(A167="","",IFERROR(xlookup(A167,'FLEET REGISTER'!$B:$B,'FLEET REGISTER'!$D:$D),"Unknown"))</f>
        <v/>
      </c>
      <c r="F167" s="170">
        <f>IF(A167="","",IFERROR(xlookup(A167,'FLEET REGISTER'!$B:$B,'FLEET REGISTER'!$F:$F),"Unknown"))</f>
        <v/>
      </c>
      <c r="G167" s="200" t="n"/>
      <c r="H167" s="200" t="n"/>
      <c r="I167" s="200" t="n"/>
      <c r="J167" s="200" t="n"/>
      <c r="K167" s="200" t="n"/>
      <c r="L167" s="200" t="n"/>
    </row>
    <row r="168" ht="15" customHeight="1" s="122">
      <c r="E168" s="170">
        <f>IF(A168="","",IFERROR(xlookup(A168,'FLEET REGISTER'!$B:$B,'FLEET REGISTER'!$D:$D),"Unknown"))</f>
        <v/>
      </c>
      <c r="F168" s="170">
        <f>IF(A168="","",IFERROR(xlookup(A168,'FLEET REGISTER'!$B:$B,'FLEET REGISTER'!$F:$F),"Unknown"))</f>
        <v/>
      </c>
      <c r="G168" s="200" t="n"/>
      <c r="H168" s="200" t="n"/>
      <c r="I168" s="200" t="n"/>
      <c r="J168" s="200" t="n"/>
      <c r="K168" s="200" t="n"/>
      <c r="L168" s="200" t="n"/>
    </row>
    <row r="169" ht="15" customHeight="1" s="122">
      <c r="E169" s="170">
        <f>IF(A169="","",IFERROR(xlookup(A169,'FLEET REGISTER'!$B:$B,'FLEET REGISTER'!$D:$D),"Unknown"))</f>
        <v/>
      </c>
      <c r="F169" s="170">
        <f>IF(A169="","",IFERROR(xlookup(A169,'FLEET REGISTER'!$B:$B,'FLEET REGISTER'!$F:$F),"Unknown"))</f>
        <v/>
      </c>
      <c r="G169" s="200" t="n"/>
      <c r="H169" s="200" t="n"/>
      <c r="I169" s="200" t="n"/>
      <c r="J169" s="200" t="n"/>
      <c r="K169" s="200" t="n"/>
      <c r="L169" s="200" t="n"/>
    </row>
    <row r="170" ht="15" customHeight="1" s="122">
      <c r="E170" s="170">
        <f>IF(A170="","",IFERROR(xlookup(A170,'FLEET REGISTER'!$B:$B,'FLEET REGISTER'!$D:$D),"Unknown"))</f>
        <v/>
      </c>
      <c r="F170" s="170">
        <f>IF(A170="","",IFERROR(xlookup(A170,'FLEET REGISTER'!$B:$B,'FLEET REGISTER'!$F:$F),"Unknown"))</f>
        <v/>
      </c>
      <c r="G170" s="200" t="n"/>
      <c r="H170" s="200" t="n"/>
      <c r="I170" s="200" t="n"/>
      <c r="J170" s="200" t="n"/>
      <c r="K170" s="200" t="n"/>
      <c r="L170" s="200" t="n"/>
    </row>
    <row r="171" ht="15" customHeight="1" s="122">
      <c r="E171" s="170">
        <f>IF(A171="","",IFERROR(xlookup(A171,'FLEET REGISTER'!$B:$B,'FLEET REGISTER'!$D:$D),"Unknown"))</f>
        <v/>
      </c>
      <c r="F171" s="170">
        <f>IF(A171="","",IFERROR(xlookup(A171,'FLEET REGISTER'!$B:$B,'FLEET REGISTER'!$F:$F),"Unknown"))</f>
        <v/>
      </c>
      <c r="G171" s="200" t="n"/>
      <c r="H171" s="200" t="n"/>
      <c r="I171" s="200" t="n"/>
      <c r="J171" s="200" t="n"/>
      <c r="K171" s="200" t="n"/>
      <c r="L171" s="200" t="n"/>
    </row>
    <row r="172" ht="15" customHeight="1" s="122">
      <c r="E172" s="170">
        <f>IF(A172="","",IFERROR(xlookup(A172,'FLEET REGISTER'!$B:$B,'FLEET REGISTER'!$D:$D),"Unknown"))</f>
        <v/>
      </c>
      <c r="F172" s="170">
        <f>IF(A172="","",IFERROR(xlookup(A172,'FLEET REGISTER'!$B:$B,'FLEET REGISTER'!$F:$F),"Unknown"))</f>
        <v/>
      </c>
      <c r="G172" s="200" t="n"/>
      <c r="H172" s="200" t="n"/>
      <c r="I172" s="200" t="n"/>
      <c r="J172" s="200" t="n"/>
      <c r="K172" s="200" t="n"/>
      <c r="L172" s="200" t="n"/>
    </row>
    <row r="173" ht="15" customHeight="1" s="122">
      <c r="E173" s="170">
        <f>IF(A173="","",IFERROR(xlookup(A173,'FLEET REGISTER'!$B:$B,'FLEET REGISTER'!$D:$D),"Unknown"))</f>
        <v/>
      </c>
      <c r="F173" s="170">
        <f>IF(A173="","",IFERROR(xlookup(A173,'FLEET REGISTER'!$B:$B,'FLEET REGISTER'!$F:$F),"Unknown"))</f>
        <v/>
      </c>
      <c r="G173" s="200" t="n"/>
      <c r="H173" s="200" t="n"/>
      <c r="I173" s="200" t="n"/>
      <c r="J173" s="200" t="n"/>
      <c r="K173" s="200" t="n"/>
      <c r="L173" s="200" t="n"/>
    </row>
    <row r="174" ht="15" customHeight="1" s="122">
      <c r="E174" s="170">
        <f>IF(A174="","",IFERROR(xlookup(A174,'FLEET REGISTER'!$B:$B,'FLEET REGISTER'!$D:$D),"Unknown"))</f>
        <v/>
      </c>
      <c r="F174" s="170">
        <f>IF(A174="","",IFERROR(xlookup(A174,'FLEET REGISTER'!$B:$B,'FLEET REGISTER'!$F:$F),"Unknown"))</f>
        <v/>
      </c>
      <c r="G174" s="200" t="n"/>
      <c r="H174" s="200" t="n"/>
      <c r="I174" s="200" t="n"/>
      <c r="J174" s="200" t="n"/>
      <c r="K174" s="200" t="n"/>
      <c r="L174" s="200" t="n"/>
    </row>
    <row r="175" ht="15" customHeight="1" s="122">
      <c r="E175" s="170">
        <f>IF(A175="","",IFERROR(xlookup(A175,'FLEET REGISTER'!$B:$B,'FLEET REGISTER'!$D:$D),"Unknown"))</f>
        <v/>
      </c>
      <c r="F175" s="170">
        <f>IF(A175="","",IFERROR(xlookup(A175,'FLEET REGISTER'!$B:$B,'FLEET REGISTER'!$F:$F),"Unknown"))</f>
        <v/>
      </c>
      <c r="G175" s="200" t="n"/>
      <c r="H175" s="200" t="n"/>
      <c r="I175" s="200" t="n"/>
      <c r="J175" s="200" t="n"/>
      <c r="K175" s="200" t="n"/>
      <c r="L175" s="200" t="n"/>
    </row>
    <row r="176" ht="15" customHeight="1" s="122">
      <c r="E176" s="170">
        <f>IF(A176="","",IFERROR(xlookup(A176,'FLEET REGISTER'!$B:$B,'FLEET REGISTER'!$D:$D),"Unknown"))</f>
        <v/>
      </c>
      <c r="F176" s="170">
        <f>IF(A176="","",IFERROR(xlookup(A176,'FLEET REGISTER'!$B:$B,'FLEET REGISTER'!$F:$F),"Unknown"))</f>
        <v/>
      </c>
      <c r="G176" s="200" t="n"/>
      <c r="H176" s="200" t="n"/>
      <c r="I176" s="200" t="n"/>
      <c r="J176" s="200" t="n"/>
      <c r="K176" s="200" t="n"/>
      <c r="L176" s="200" t="n"/>
    </row>
    <row r="177" ht="15" customHeight="1" s="122">
      <c r="E177" s="170">
        <f>IF(A177="","",IFERROR(xlookup(A177,'FLEET REGISTER'!$B:$B,'FLEET REGISTER'!$D:$D),"Unknown"))</f>
        <v/>
      </c>
      <c r="F177" s="170">
        <f>IF(A177="","",IFERROR(xlookup(A177,'FLEET REGISTER'!$B:$B,'FLEET REGISTER'!$F:$F),"Unknown"))</f>
        <v/>
      </c>
      <c r="G177" s="200" t="n"/>
      <c r="H177" s="200" t="n"/>
      <c r="I177" s="200" t="n"/>
      <c r="J177" s="200" t="n"/>
      <c r="K177" s="200" t="n"/>
      <c r="L177" s="200" t="n"/>
    </row>
    <row r="178" ht="15" customHeight="1" s="122">
      <c r="E178" s="170">
        <f>IF(A178="","",IFERROR(xlookup(A178,'FLEET REGISTER'!$B:$B,'FLEET REGISTER'!$D:$D),"Unknown"))</f>
        <v/>
      </c>
      <c r="F178" s="170">
        <f>IF(A178="","",IFERROR(xlookup(A178,'FLEET REGISTER'!$B:$B,'FLEET REGISTER'!$F:$F),"Unknown"))</f>
        <v/>
      </c>
      <c r="G178" s="200" t="n"/>
      <c r="H178" s="200" t="n"/>
      <c r="I178" s="200" t="n"/>
      <c r="J178" s="200" t="n"/>
      <c r="K178" s="200" t="n"/>
      <c r="L178" s="200" t="n"/>
    </row>
    <row r="179" ht="15" customHeight="1" s="122">
      <c r="E179" s="170">
        <f>IF(A179="","",IFERROR(xlookup(A179,'FLEET REGISTER'!$B:$B,'FLEET REGISTER'!$D:$D),"Unknown"))</f>
        <v/>
      </c>
      <c r="F179" s="170">
        <f>IF(A179="","",IFERROR(xlookup(A179,'FLEET REGISTER'!$B:$B,'FLEET REGISTER'!$F:$F),"Unknown"))</f>
        <v/>
      </c>
      <c r="G179" s="200" t="n"/>
      <c r="H179" s="200" t="n"/>
      <c r="I179" s="200" t="n"/>
      <c r="J179" s="200" t="n"/>
      <c r="K179" s="200" t="n"/>
      <c r="L179" s="200" t="n"/>
    </row>
    <row r="180" ht="15" customHeight="1" s="122">
      <c r="E180" s="170">
        <f>IF(A180="","",IFERROR(xlookup(A180,'FLEET REGISTER'!$B:$B,'FLEET REGISTER'!$D:$D),"Unknown"))</f>
        <v/>
      </c>
      <c r="F180" s="170">
        <f>IF(A180="","",IFERROR(xlookup(A180,'FLEET REGISTER'!$B:$B,'FLEET REGISTER'!$F:$F),"Unknown"))</f>
        <v/>
      </c>
      <c r="G180" s="200" t="n"/>
      <c r="H180" s="200" t="n"/>
      <c r="I180" s="200" t="n"/>
      <c r="J180" s="200" t="n"/>
      <c r="K180" s="200" t="n"/>
      <c r="L180" s="200" t="n"/>
    </row>
    <row r="181" ht="15" customHeight="1" s="122">
      <c r="E181" s="170">
        <f>IF(A181="","",IFERROR(xlookup(A181,'FLEET REGISTER'!$B:$B,'FLEET REGISTER'!$D:$D),"Unknown"))</f>
        <v/>
      </c>
      <c r="F181" s="170">
        <f>IF(A181="","",IFERROR(xlookup(A181,'FLEET REGISTER'!$B:$B,'FLEET REGISTER'!$F:$F),"Unknown"))</f>
        <v/>
      </c>
      <c r="G181" s="200" t="n"/>
      <c r="H181" s="200" t="n"/>
      <c r="I181" s="200" t="n"/>
      <c r="J181" s="200" t="n"/>
      <c r="K181" s="200" t="n"/>
      <c r="L181" s="200" t="n"/>
    </row>
    <row r="182" ht="15" customHeight="1" s="122">
      <c r="E182" s="170">
        <f>IF(A182="","",IFERROR(xlookup(A182,'FLEET REGISTER'!$B:$B,'FLEET REGISTER'!$D:$D),"Unknown"))</f>
        <v/>
      </c>
      <c r="F182" s="170">
        <f>IF(A182="","",IFERROR(xlookup(A182,'FLEET REGISTER'!$B:$B,'FLEET REGISTER'!$F:$F),"Unknown"))</f>
        <v/>
      </c>
      <c r="G182" s="200" t="n"/>
      <c r="H182" s="200" t="n"/>
      <c r="I182" s="200" t="n"/>
      <c r="J182" s="200" t="n"/>
      <c r="K182" s="200" t="n"/>
      <c r="L182" s="200" t="n"/>
    </row>
    <row r="183" ht="15" customHeight="1" s="122">
      <c r="E183" s="170">
        <f>IF(A183="","",IFERROR(xlookup(A183,'FLEET REGISTER'!$B:$B,'FLEET REGISTER'!$D:$D),"Unknown"))</f>
        <v/>
      </c>
      <c r="F183" s="170">
        <f>IF(A183="","",IFERROR(xlookup(A183,'FLEET REGISTER'!$B:$B,'FLEET REGISTER'!$F:$F),"Unknown"))</f>
        <v/>
      </c>
      <c r="G183" s="200" t="n"/>
      <c r="H183" s="200" t="n"/>
      <c r="I183" s="200" t="n"/>
      <c r="J183" s="200" t="n"/>
      <c r="K183" s="200" t="n"/>
      <c r="L183" s="200" t="n"/>
    </row>
    <row r="184" ht="15" customHeight="1" s="122">
      <c r="E184" s="170">
        <f>IF(A184="","",IFERROR(xlookup(A184,'FLEET REGISTER'!$B:$B,'FLEET REGISTER'!$D:$D),"Unknown"))</f>
        <v/>
      </c>
      <c r="F184" s="170">
        <f>IF(A184="","",IFERROR(xlookup(A184,'FLEET REGISTER'!$B:$B,'FLEET REGISTER'!$F:$F),"Unknown"))</f>
        <v/>
      </c>
      <c r="G184" s="200" t="n"/>
      <c r="H184" s="200" t="n"/>
      <c r="I184" s="200" t="n"/>
      <c r="J184" s="200" t="n"/>
      <c r="K184" s="200" t="n"/>
      <c r="L184" s="200" t="n"/>
    </row>
    <row r="185" ht="15" customHeight="1" s="122">
      <c r="E185" s="170">
        <f>IF(A185="","",IFERROR(xlookup(A185,'FLEET REGISTER'!$B:$B,'FLEET REGISTER'!$D:$D),"Unknown"))</f>
        <v/>
      </c>
      <c r="F185" s="170">
        <f>IF(A185="","",IFERROR(xlookup(A185,'FLEET REGISTER'!$B:$B,'FLEET REGISTER'!$F:$F),"Unknown"))</f>
        <v/>
      </c>
      <c r="G185" s="200" t="n"/>
      <c r="H185" s="200" t="n"/>
      <c r="I185" s="200" t="n"/>
      <c r="J185" s="200" t="n"/>
      <c r="K185" s="200" t="n"/>
      <c r="L185" s="200" t="n"/>
    </row>
    <row r="186" ht="15" customHeight="1" s="122">
      <c r="E186" s="170">
        <f>IF(A186="","",IFERROR(xlookup(A186,'FLEET REGISTER'!$B:$B,'FLEET REGISTER'!$D:$D),"Unknown"))</f>
        <v/>
      </c>
      <c r="F186" s="170">
        <f>IF(A186="","",IFERROR(xlookup(A186,'FLEET REGISTER'!$B:$B,'FLEET REGISTER'!$F:$F),"Unknown"))</f>
        <v/>
      </c>
      <c r="G186" s="200" t="n"/>
      <c r="H186" s="200" t="n"/>
      <c r="I186" s="200" t="n"/>
      <c r="J186" s="200" t="n"/>
      <c r="K186" s="200" t="n"/>
      <c r="L186" s="200" t="n"/>
    </row>
    <row r="187" ht="15" customHeight="1" s="122">
      <c r="E187" s="170">
        <f>IF(A187="","",IFERROR(xlookup(A187,'FLEET REGISTER'!$B:$B,'FLEET REGISTER'!$D:$D),"Unknown"))</f>
        <v/>
      </c>
      <c r="F187" s="170">
        <f>IF(A187="","",IFERROR(xlookup(A187,'FLEET REGISTER'!$B:$B,'FLEET REGISTER'!$F:$F),"Unknown"))</f>
        <v/>
      </c>
      <c r="G187" s="200" t="n"/>
      <c r="H187" s="200" t="n"/>
      <c r="I187" s="200" t="n"/>
      <c r="J187" s="200" t="n"/>
      <c r="K187" s="200" t="n"/>
      <c r="L187" s="200" t="n"/>
    </row>
    <row r="188" ht="15" customHeight="1" s="122">
      <c r="E188" s="170">
        <f>IF(A188="","",IFERROR(xlookup(A188,'FLEET REGISTER'!$B:$B,'FLEET REGISTER'!$D:$D),"Unknown"))</f>
        <v/>
      </c>
      <c r="F188" s="170">
        <f>IF(A188="","",IFERROR(xlookup(A188,'FLEET REGISTER'!$B:$B,'FLEET REGISTER'!$F:$F),"Unknown"))</f>
        <v/>
      </c>
      <c r="G188" s="200" t="n"/>
      <c r="H188" s="200" t="n"/>
      <c r="I188" s="200" t="n"/>
      <c r="J188" s="200" t="n"/>
      <c r="K188" s="200" t="n"/>
      <c r="L188" s="200" t="n"/>
    </row>
    <row r="189" ht="15" customHeight="1" s="122">
      <c r="E189" s="170">
        <f>IF(A189="","",IFERROR(xlookup(A189,'FLEET REGISTER'!$B:$B,'FLEET REGISTER'!$D:$D),"Unknown"))</f>
        <v/>
      </c>
      <c r="F189" s="170">
        <f>IF(A189="","",IFERROR(xlookup(A189,'FLEET REGISTER'!$B:$B,'FLEET REGISTER'!$F:$F),"Unknown"))</f>
        <v/>
      </c>
      <c r="G189" s="200" t="n"/>
      <c r="H189" s="200" t="n"/>
      <c r="I189" s="200" t="n"/>
      <c r="J189" s="200" t="n"/>
      <c r="K189" s="200" t="n"/>
      <c r="L189" s="200" t="n"/>
    </row>
    <row r="190" ht="15" customHeight="1" s="122">
      <c r="E190" s="170">
        <f>IF(A190="","",IFERROR(xlookup(A190,'FLEET REGISTER'!$B:$B,'FLEET REGISTER'!$D:$D),"Unknown"))</f>
        <v/>
      </c>
      <c r="F190" s="170">
        <f>IF(A190="","",IFERROR(xlookup(A190,'FLEET REGISTER'!$B:$B,'FLEET REGISTER'!$F:$F),"Unknown"))</f>
        <v/>
      </c>
      <c r="G190" s="200" t="n"/>
      <c r="H190" s="200" t="n"/>
      <c r="I190" s="200" t="n"/>
      <c r="J190" s="200" t="n"/>
      <c r="K190" s="200" t="n"/>
      <c r="L190" s="200" t="n"/>
    </row>
    <row r="191" ht="15" customHeight="1" s="122">
      <c r="E191" s="170">
        <f>IF(A191="","",IFERROR(xlookup(A191,'FLEET REGISTER'!$B:$B,'FLEET REGISTER'!$D:$D),"Unknown"))</f>
        <v/>
      </c>
      <c r="F191" s="170">
        <f>IF(A191="","",IFERROR(xlookup(A191,'FLEET REGISTER'!$B:$B,'FLEET REGISTER'!$F:$F),"Unknown"))</f>
        <v/>
      </c>
      <c r="G191" s="200" t="n"/>
      <c r="H191" s="200" t="n"/>
      <c r="I191" s="200" t="n"/>
      <c r="J191" s="200" t="n"/>
      <c r="K191" s="200" t="n"/>
      <c r="L191" s="200" t="n"/>
    </row>
    <row r="192" ht="15" customHeight="1" s="122">
      <c r="E192" s="170">
        <f>IF(A192="","",IFERROR(xlookup(A192,'FLEET REGISTER'!$B:$B,'FLEET REGISTER'!$D:$D),"Unknown"))</f>
        <v/>
      </c>
      <c r="F192" s="170">
        <f>IF(A192="","",IFERROR(xlookup(A192,'FLEET REGISTER'!$B:$B,'FLEET REGISTER'!$F:$F),"Unknown"))</f>
        <v/>
      </c>
      <c r="G192" s="200" t="n"/>
      <c r="H192" s="200" t="n"/>
      <c r="I192" s="200" t="n"/>
      <c r="J192" s="200" t="n"/>
      <c r="K192" s="200" t="n"/>
      <c r="L192" s="200" t="n"/>
    </row>
    <row r="193" ht="15" customHeight="1" s="122">
      <c r="E193" s="170">
        <f>IF(A193="","",IFERROR(xlookup(A193,'FLEET REGISTER'!$B:$B,'FLEET REGISTER'!$D:$D),"Unknown"))</f>
        <v/>
      </c>
      <c r="F193" s="170">
        <f>IF(A193="","",IFERROR(xlookup(A193,'FLEET REGISTER'!$B:$B,'FLEET REGISTER'!$F:$F),"Unknown"))</f>
        <v/>
      </c>
      <c r="G193" s="200" t="n"/>
      <c r="H193" s="200" t="n"/>
      <c r="I193" s="200" t="n"/>
      <c r="J193" s="200" t="n"/>
      <c r="K193" s="200" t="n"/>
      <c r="L193" s="200" t="n"/>
    </row>
    <row r="194" ht="15" customHeight="1" s="122">
      <c r="E194" s="170">
        <f>IF(A194="","",IFERROR(xlookup(A194,'FLEET REGISTER'!$B:$B,'FLEET REGISTER'!$D:$D),"Unknown"))</f>
        <v/>
      </c>
      <c r="F194" s="170">
        <f>IF(A194="","",IFERROR(xlookup(A194,'FLEET REGISTER'!$B:$B,'FLEET REGISTER'!$F:$F),"Unknown"))</f>
        <v/>
      </c>
      <c r="G194" s="200" t="n"/>
      <c r="H194" s="200" t="n"/>
      <c r="I194" s="200" t="n"/>
      <c r="J194" s="200" t="n"/>
      <c r="K194" s="200" t="n"/>
      <c r="L194" s="200" t="n"/>
    </row>
    <row r="195" ht="15" customHeight="1" s="122">
      <c r="E195" s="170">
        <f>IF(A195="","",IFERROR(xlookup(A195,'FLEET REGISTER'!$B:$B,'FLEET REGISTER'!$D:$D),"Unknown"))</f>
        <v/>
      </c>
      <c r="F195" s="170">
        <f>IF(A195="","",IFERROR(xlookup(A195,'FLEET REGISTER'!$B:$B,'FLEET REGISTER'!$F:$F),"Unknown"))</f>
        <v/>
      </c>
      <c r="G195" s="200" t="n"/>
      <c r="H195" s="200" t="n"/>
      <c r="I195" s="200" t="n"/>
      <c r="J195" s="200" t="n"/>
      <c r="K195" s="200" t="n"/>
      <c r="L195" s="200" t="n"/>
    </row>
    <row r="196" ht="15" customHeight="1" s="122">
      <c r="E196" s="170">
        <f>IF(A196="","",IFERROR(xlookup(A196,'FLEET REGISTER'!$B:$B,'FLEET REGISTER'!$D:$D),"Unknown"))</f>
        <v/>
      </c>
      <c r="F196" s="170">
        <f>IF(A196="","",IFERROR(xlookup(A196,'FLEET REGISTER'!$B:$B,'FLEET REGISTER'!$F:$F),"Unknown"))</f>
        <v/>
      </c>
      <c r="G196" s="200" t="n"/>
      <c r="H196" s="200" t="n"/>
      <c r="I196" s="200" t="n"/>
      <c r="J196" s="200" t="n"/>
      <c r="K196" s="200" t="n"/>
      <c r="L196" s="200" t="n"/>
    </row>
    <row r="197" ht="15" customHeight="1" s="122">
      <c r="E197" s="170">
        <f>IF(A197="","",IFERROR(xlookup(A197,'FLEET REGISTER'!$B:$B,'FLEET REGISTER'!$D:$D),"Unknown"))</f>
        <v/>
      </c>
      <c r="F197" s="170">
        <f>IF(A197="","",IFERROR(xlookup(A197,'FLEET REGISTER'!$B:$B,'FLEET REGISTER'!$F:$F),"Unknown"))</f>
        <v/>
      </c>
      <c r="G197" s="200" t="n"/>
      <c r="H197" s="200" t="n"/>
      <c r="I197" s="200" t="n"/>
      <c r="J197" s="200" t="n"/>
      <c r="K197" s="200" t="n"/>
      <c r="L197" s="200" t="n"/>
    </row>
    <row r="198" ht="15" customHeight="1" s="122">
      <c r="E198" s="170">
        <f>IF(A198="","",IFERROR(xlookup(A198,'FLEET REGISTER'!$B:$B,'FLEET REGISTER'!$D:$D),"Unknown"))</f>
        <v/>
      </c>
      <c r="F198" s="170">
        <f>IF(A198="","",IFERROR(xlookup(A198,'FLEET REGISTER'!$B:$B,'FLEET REGISTER'!$F:$F),"Unknown"))</f>
        <v/>
      </c>
      <c r="G198" s="200" t="n"/>
      <c r="H198" s="200" t="n"/>
      <c r="I198" s="200" t="n"/>
      <c r="J198" s="200" t="n"/>
      <c r="K198" s="200" t="n"/>
      <c r="L198" s="200" t="n"/>
    </row>
    <row r="199" ht="15" customHeight="1" s="122">
      <c r="E199" s="170">
        <f>IF(A199="","",IFERROR(xlookup(A199,'FLEET REGISTER'!$B:$B,'FLEET REGISTER'!$D:$D),"Unknown"))</f>
        <v/>
      </c>
      <c r="F199" s="170">
        <f>IF(A199="","",IFERROR(xlookup(A199,'FLEET REGISTER'!$B:$B,'FLEET REGISTER'!$F:$F),"Unknown"))</f>
        <v/>
      </c>
      <c r="G199" s="200" t="n"/>
      <c r="H199" s="200" t="n"/>
      <c r="I199" s="200" t="n"/>
      <c r="J199" s="200" t="n"/>
      <c r="K199" s="200" t="n"/>
      <c r="L199" s="200" t="n"/>
    </row>
    <row r="200" ht="15" customHeight="1" s="122">
      <c r="E200" s="170">
        <f>IF(A200="","",IFERROR(xlookup(A200,'FLEET REGISTER'!$B:$B,'FLEET REGISTER'!$D:$D),"Unknown"))</f>
        <v/>
      </c>
      <c r="F200" s="170">
        <f>IF(A200="","",IFERROR(xlookup(A200,'FLEET REGISTER'!$B:$B,'FLEET REGISTER'!$F:$F),"Unknown"))</f>
        <v/>
      </c>
      <c r="G200" s="200" t="n"/>
      <c r="H200" s="200" t="n"/>
      <c r="I200" s="200" t="n"/>
      <c r="J200" s="200" t="n"/>
      <c r="K200" s="200" t="n"/>
      <c r="L200" s="200" t="n"/>
    </row>
    <row r="201" ht="15" customHeight="1" s="122">
      <c r="E201" s="170">
        <f>IF(A201="","",IFERROR(xlookup(A201,'FLEET REGISTER'!$B:$B,'FLEET REGISTER'!$D:$D),"Unknown"))</f>
        <v/>
      </c>
      <c r="F201" s="170">
        <f>IF(A201="","",IFERROR(xlookup(A201,'FLEET REGISTER'!$B:$B,'FLEET REGISTER'!$F:$F),"Unknown"))</f>
        <v/>
      </c>
      <c r="G201" s="200" t="n"/>
      <c r="H201" s="200" t="n"/>
      <c r="I201" s="200" t="n"/>
      <c r="J201" s="200" t="n"/>
      <c r="K201" s="200" t="n"/>
      <c r="L201" s="200" t="n"/>
    </row>
    <row r="202" ht="15" customHeight="1" s="122">
      <c r="E202" s="170">
        <f>IF(A202="","",IFERROR(xlookup(A202,'FLEET REGISTER'!$B:$B,'FLEET REGISTER'!$D:$D),"Unknown"))</f>
        <v/>
      </c>
      <c r="F202" s="170">
        <f>IF(A202="","",IFERROR(xlookup(A202,'FLEET REGISTER'!$B:$B,'FLEET REGISTER'!$F:$F),"Unknown"))</f>
        <v/>
      </c>
      <c r="G202" s="200" t="n"/>
      <c r="H202" s="200" t="n"/>
      <c r="I202" s="200" t="n"/>
      <c r="J202" s="200" t="n"/>
      <c r="K202" s="200" t="n"/>
      <c r="L202" s="200" t="n"/>
    </row>
    <row r="203" ht="15" customHeight="1" s="122">
      <c r="E203" s="170">
        <f>IF(A203="","",IFERROR(xlookup(A203,'FLEET REGISTER'!$B:$B,'FLEET REGISTER'!$D:$D),"Unknown"))</f>
        <v/>
      </c>
      <c r="F203" s="170">
        <f>IF(A203="","",IFERROR(xlookup(A203,'FLEET REGISTER'!$B:$B,'FLEET REGISTER'!$F:$F),"Unknown"))</f>
        <v/>
      </c>
      <c r="G203" s="200" t="n"/>
      <c r="H203" s="200" t="n"/>
      <c r="I203" s="200" t="n"/>
      <c r="J203" s="200" t="n"/>
      <c r="K203" s="200" t="n"/>
      <c r="L203" s="200" t="n"/>
    </row>
    <row r="204" ht="15" customHeight="1" s="122">
      <c r="E204" s="170">
        <f>IF(A204="","",IFERROR(xlookup(A204,'FLEET REGISTER'!$B:$B,'FLEET REGISTER'!$D:$D),"Unknown"))</f>
        <v/>
      </c>
      <c r="F204" s="170">
        <f>IF(A204="","",IFERROR(xlookup(A204,'FLEET REGISTER'!$B:$B,'FLEET REGISTER'!$F:$F),"Unknown"))</f>
        <v/>
      </c>
      <c r="G204" s="200" t="n"/>
      <c r="H204" s="200" t="n"/>
      <c r="I204" s="200" t="n"/>
      <c r="J204" s="200" t="n"/>
      <c r="K204" s="200" t="n"/>
      <c r="L204" s="200" t="n"/>
    </row>
    <row r="205" ht="15" customHeight="1" s="122">
      <c r="E205" s="170">
        <f>IF(A205="","",IFERROR(xlookup(A205,'FLEET REGISTER'!$B:$B,'FLEET REGISTER'!$D:$D),"Unknown"))</f>
        <v/>
      </c>
      <c r="F205" s="170">
        <f>IF(A205="","",IFERROR(xlookup(A205,'FLEET REGISTER'!$B:$B,'FLEET REGISTER'!$F:$F),"Unknown"))</f>
        <v/>
      </c>
      <c r="G205" s="200" t="n"/>
      <c r="H205" s="200" t="n"/>
      <c r="I205" s="200" t="n"/>
      <c r="J205" s="200" t="n"/>
      <c r="K205" s="200" t="n"/>
      <c r="L205" s="200" t="n"/>
    </row>
    <row r="206" ht="15" customHeight="1" s="122">
      <c r="E206" s="170">
        <f>IF(A206="","",IFERROR(xlookup(A206,'FLEET REGISTER'!$B:$B,'FLEET REGISTER'!$D:$D),"Unknown"))</f>
        <v/>
      </c>
      <c r="F206" s="170">
        <f>IF(A206="","",IFERROR(xlookup(A206,'FLEET REGISTER'!$B:$B,'FLEET REGISTER'!$F:$F),"Unknown"))</f>
        <v/>
      </c>
      <c r="G206" s="200" t="n"/>
      <c r="H206" s="200" t="n"/>
      <c r="I206" s="200" t="n"/>
      <c r="J206" s="200" t="n"/>
      <c r="K206" s="200" t="n"/>
      <c r="L206" s="200" t="n"/>
    </row>
    <row r="207" ht="15" customHeight="1" s="122">
      <c r="E207" s="170">
        <f>IF(A207="","",IFERROR(xlookup(A207,'FLEET REGISTER'!$B:$B,'FLEET REGISTER'!$D:$D),"Unknown"))</f>
        <v/>
      </c>
      <c r="F207" s="170">
        <f>IF(A207="","",IFERROR(xlookup(A207,'FLEET REGISTER'!$B:$B,'FLEET REGISTER'!$F:$F),"Unknown"))</f>
        <v/>
      </c>
      <c r="G207" s="200" t="n"/>
      <c r="H207" s="200" t="n"/>
      <c r="I207" s="200" t="n"/>
      <c r="J207" s="200" t="n"/>
      <c r="K207" s="200" t="n"/>
      <c r="L207" s="200" t="n"/>
    </row>
    <row r="208" ht="15" customHeight="1" s="122">
      <c r="E208" s="170">
        <f>IF(A208="","",IFERROR(xlookup(A208,'FLEET REGISTER'!$B:$B,'FLEET REGISTER'!$D:$D),"Unknown"))</f>
        <v/>
      </c>
      <c r="F208" s="170">
        <f>IF(A208="","",IFERROR(xlookup(A208,'FLEET REGISTER'!$B:$B,'FLEET REGISTER'!$F:$F),"Unknown"))</f>
        <v/>
      </c>
      <c r="G208" s="200" t="n"/>
      <c r="H208" s="200" t="n"/>
      <c r="I208" s="200" t="n"/>
      <c r="J208" s="200" t="n"/>
      <c r="K208" s="200" t="n"/>
      <c r="L208" s="200" t="n"/>
    </row>
    <row r="209" ht="15" customHeight="1" s="122">
      <c r="E209" s="170">
        <f>IF(A209="","",IFERROR(xlookup(A209,'FLEET REGISTER'!$B:$B,'FLEET REGISTER'!$D:$D),"Unknown"))</f>
        <v/>
      </c>
      <c r="F209" s="170">
        <f>IF(A209="","",IFERROR(xlookup(A209,'FLEET REGISTER'!$B:$B,'FLEET REGISTER'!$F:$F),"Unknown"))</f>
        <v/>
      </c>
      <c r="G209" s="200" t="n"/>
      <c r="H209" s="200" t="n"/>
      <c r="I209" s="200" t="n"/>
      <c r="J209" s="200" t="n"/>
      <c r="K209" s="200" t="n"/>
      <c r="L209" s="200" t="n"/>
    </row>
    <row r="210" ht="15" customHeight="1" s="122">
      <c r="E210" s="170">
        <f>IF(A210="","",IFERROR(xlookup(A210,'FLEET REGISTER'!$B:$B,'FLEET REGISTER'!$D:$D),"Unknown"))</f>
        <v/>
      </c>
      <c r="F210" s="170">
        <f>IF(A210="","",IFERROR(xlookup(A210,'FLEET REGISTER'!$B:$B,'FLEET REGISTER'!$F:$F),"Unknown"))</f>
        <v/>
      </c>
      <c r="G210" s="200" t="n"/>
      <c r="H210" s="200" t="n"/>
      <c r="I210" s="200" t="n"/>
      <c r="J210" s="200" t="n"/>
      <c r="K210" s="200" t="n"/>
      <c r="L210" s="200" t="n"/>
    </row>
    <row r="211" ht="15" customHeight="1" s="122">
      <c r="E211" s="170">
        <f>IF(A211="","",IFERROR(xlookup(A211,'FLEET REGISTER'!$B:$B,'FLEET REGISTER'!$D:$D),"Unknown"))</f>
        <v/>
      </c>
      <c r="F211" s="170">
        <f>IF(A211="","",IFERROR(xlookup(A211,'FLEET REGISTER'!$B:$B,'FLEET REGISTER'!$F:$F),"Unknown"))</f>
        <v/>
      </c>
      <c r="G211" s="200" t="n"/>
      <c r="H211" s="200" t="n"/>
      <c r="I211" s="200" t="n"/>
      <c r="J211" s="200" t="n"/>
      <c r="K211" s="200" t="n"/>
      <c r="L211" s="200" t="n"/>
    </row>
    <row r="212" ht="15" customHeight="1" s="122">
      <c r="E212" s="170">
        <f>IF(A212="","",IFERROR(xlookup(A212,'FLEET REGISTER'!$B:$B,'FLEET REGISTER'!$D:$D),"Unknown"))</f>
        <v/>
      </c>
      <c r="F212" s="170">
        <f>IF(A212="","",IFERROR(xlookup(A212,'FLEET REGISTER'!$B:$B,'FLEET REGISTER'!$F:$F),"Unknown"))</f>
        <v/>
      </c>
      <c r="G212" s="200" t="n"/>
      <c r="H212" s="200" t="n"/>
      <c r="I212" s="200" t="n"/>
      <c r="J212" s="200" t="n"/>
      <c r="K212" s="200" t="n"/>
      <c r="L212" s="200" t="n"/>
    </row>
    <row r="213" ht="15" customHeight="1" s="122">
      <c r="E213" s="170">
        <f>IF(A213="","",IFERROR(xlookup(A213,'FLEET REGISTER'!$B:$B,'FLEET REGISTER'!$D:$D),"Unknown"))</f>
        <v/>
      </c>
      <c r="F213" s="170">
        <f>IF(A213="","",IFERROR(xlookup(A213,'FLEET REGISTER'!$B:$B,'FLEET REGISTER'!$F:$F),"Unknown"))</f>
        <v/>
      </c>
      <c r="G213" s="200" t="n"/>
      <c r="H213" s="200" t="n"/>
      <c r="I213" s="200" t="n"/>
      <c r="J213" s="200" t="n"/>
      <c r="K213" s="200" t="n"/>
      <c r="L213" s="200" t="n"/>
    </row>
    <row r="214" ht="15" customHeight="1" s="122">
      <c r="E214" s="170">
        <f>IF(A214="","",IFERROR(xlookup(A214,'FLEET REGISTER'!$B:$B,'FLEET REGISTER'!$D:$D),"Unknown"))</f>
        <v/>
      </c>
      <c r="F214" s="170">
        <f>IF(A214="","",IFERROR(xlookup(A214,'FLEET REGISTER'!$B:$B,'FLEET REGISTER'!$F:$F),"Unknown"))</f>
        <v/>
      </c>
      <c r="G214" s="200" t="n"/>
      <c r="H214" s="200" t="n"/>
      <c r="I214" s="200" t="n"/>
      <c r="J214" s="200" t="n"/>
      <c r="K214" s="200" t="n"/>
      <c r="L214" s="200" t="n"/>
    </row>
    <row r="215" ht="15" customHeight="1" s="122">
      <c r="E215" s="170">
        <f>IF(A215="","",IFERROR(xlookup(A215,'FLEET REGISTER'!$B:$B,'FLEET REGISTER'!$D:$D),"Unknown"))</f>
        <v/>
      </c>
      <c r="F215" s="170">
        <f>IF(A215="","",IFERROR(xlookup(A215,'FLEET REGISTER'!$B:$B,'FLEET REGISTER'!$F:$F),"Unknown"))</f>
        <v/>
      </c>
      <c r="G215" s="200" t="n"/>
      <c r="H215" s="200" t="n"/>
      <c r="I215" s="200" t="n"/>
      <c r="J215" s="200" t="n"/>
      <c r="K215" s="200" t="n"/>
      <c r="L215" s="200" t="n"/>
    </row>
    <row r="216" ht="15" customHeight="1" s="122">
      <c r="E216" s="170">
        <f>IF(A216="","",IFERROR(xlookup(A216,'FLEET REGISTER'!$B:$B,'FLEET REGISTER'!$D:$D),"Unknown"))</f>
        <v/>
      </c>
      <c r="F216" s="170">
        <f>IF(A216="","",IFERROR(xlookup(A216,'FLEET REGISTER'!$B:$B,'FLEET REGISTER'!$F:$F),"Unknown"))</f>
        <v/>
      </c>
      <c r="G216" s="200" t="n"/>
      <c r="H216" s="200" t="n"/>
      <c r="I216" s="200" t="n"/>
      <c r="J216" s="200" t="n"/>
      <c r="K216" s="200" t="n"/>
      <c r="L216" s="200" t="n"/>
    </row>
    <row r="217" ht="15" customHeight="1" s="122">
      <c r="E217" s="170">
        <f>IF(A217="","",IFERROR(xlookup(A217,'FLEET REGISTER'!$B:$B,'FLEET REGISTER'!$D:$D),"Unknown"))</f>
        <v/>
      </c>
      <c r="F217" s="170">
        <f>IF(A217="","",IFERROR(xlookup(A217,'FLEET REGISTER'!$B:$B,'FLEET REGISTER'!$F:$F),"Unknown"))</f>
        <v/>
      </c>
      <c r="G217" s="200" t="n"/>
      <c r="H217" s="200" t="n"/>
      <c r="I217" s="200" t="n"/>
      <c r="J217" s="200" t="n"/>
      <c r="K217" s="200" t="n"/>
      <c r="L217" s="200" t="n"/>
    </row>
    <row r="218" ht="15" customHeight="1" s="122">
      <c r="E218" s="170">
        <f>IF(A218="","",IFERROR(xlookup(A218,'FLEET REGISTER'!$B:$B,'FLEET REGISTER'!$D:$D),"Unknown"))</f>
        <v/>
      </c>
      <c r="F218" s="170">
        <f>IF(A218="","",IFERROR(xlookup(A218,'FLEET REGISTER'!$B:$B,'FLEET REGISTER'!$F:$F),"Unknown"))</f>
        <v/>
      </c>
      <c r="G218" s="200" t="n"/>
      <c r="H218" s="200" t="n"/>
      <c r="I218" s="200" t="n"/>
      <c r="J218" s="200" t="n"/>
      <c r="K218" s="200" t="n"/>
      <c r="L218" s="200" t="n"/>
    </row>
    <row r="219" ht="15" customHeight="1" s="122">
      <c r="E219" s="170">
        <f>IF(A219="","",IFERROR(xlookup(A219,'FLEET REGISTER'!$B:$B,'FLEET REGISTER'!$D:$D),"Unknown"))</f>
        <v/>
      </c>
      <c r="F219" s="170">
        <f>IF(A219="","",IFERROR(xlookup(A219,'FLEET REGISTER'!$B:$B,'FLEET REGISTER'!$F:$F),"Unknown"))</f>
        <v/>
      </c>
      <c r="G219" s="200" t="n"/>
      <c r="H219" s="200" t="n"/>
      <c r="I219" s="200" t="n"/>
      <c r="J219" s="200" t="n"/>
      <c r="K219" s="200" t="n"/>
      <c r="L219" s="200" t="n"/>
    </row>
    <row r="220" ht="15" customHeight="1" s="122">
      <c r="E220" s="170">
        <f>IF(A220="","",IFERROR(xlookup(A220,'FLEET REGISTER'!$B:$B,'FLEET REGISTER'!$D:$D),"Unknown"))</f>
        <v/>
      </c>
      <c r="F220" s="170">
        <f>IF(A220="","",IFERROR(xlookup(A220,'FLEET REGISTER'!$B:$B,'FLEET REGISTER'!$F:$F),"Unknown"))</f>
        <v/>
      </c>
      <c r="G220" s="200" t="n"/>
      <c r="H220" s="200" t="n"/>
      <c r="I220" s="200" t="n"/>
      <c r="J220" s="200" t="n"/>
      <c r="K220" s="200" t="n"/>
      <c r="L220" s="200" t="n"/>
    </row>
    <row r="221" ht="15" customHeight="1" s="122">
      <c r="E221" s="170">
        <f>IF(A221="","",IFERROR(xlookup(A221,'FLEET REGISTER'!$B:$B,'FLEET REGISTER'!$D:$D),"Unknown"))</f>
        <v/>
      </c>
      <c r="F221" s="170">
        <f>IF(A221="","",IFERROR(xlookup(A221,'FLEET REGISTER'!$B:$B,'FLEET REGISTER'!$F:$F),"Unknown"))</f>
        <v/>
      </c>
      <c r="G221" s="200" t="n"/>
      <c r="H221" s="200" t="n"/>
      <c r="I221" s="200" t="n"/>
      <c r="J221" s="200" t="n"/>
      <c r="K221" s="200" t="n"/>
      <c r="L221" s="200" t="n"/>
    </row>
    <row r="222" ht="15" customHeight="1" s="122">
      <c r="E222" s="170">
        <f>IF(A222="","",IFERROR(xlookup(A222,'FLEET REGISTER'!$B:$B,'FLEET REGISTER'!$D:$D),"Unknown"))</f>
        <v/>
      </c>
      <c r="F222" s="170">
        <f>IF(A222="","",IFERROR(xlookup(A222,'FLEET REGISTER'!$B:$B,'FLEET REGISTER'!$F:$F),"Unknown"))</f>
        <v/>
      </c>
      <c r="G222" s="200" t="n"/>
      <c r="H222" s="200" t="n"/>
      <c r="I222" s="200" t="n"/>
      <c r="J222" s="200" t="n"/>
      <c r="K222" s="200" t="n"/>
      <c r="L222" s="200" t="n"/>
    </row>
    <row r="223" ht="15" customHeight="1" s="122">
      <c r="E223" s="170">
        <f>IF(A223="","",IFERROR(xlookup(A223,'FLEET REGISTER'!$B:$B,'FLEET REGISTER'!$D:$D),"Unknown"))</f>
        <v/>
      </c>
      <c r="F223" s="170">
        <f>IF(A223="","",IFERROR(xlookup(A223,'FLEET REGISTER'!$B:$B,'FLEET REGISTER'!$F:$F),"Unknown"))</f>
        <v/>
      </c>
      <c r="G223" s="200" t="n"/>
      <c r="H223" s="200" t="n"/>
      <c r="I223" s="200" t="n"/>
      <c r="J223" s="200" t="n"/>
      <c r="K223" s="200" t="n"/>
      <c r="L223" s="200" t="n"/>
    </row>
    <row r="224" ht="15" customHeight="1" s="122">
      <c r="E224" s="170">
        <f>IF(A224="","",IFERROR(xlookup(A224,'FLEET REGISTER'!$B:$B,'FLEET REGISTER'!$D:$D),"Unknown"))</f>
        <v/>
      </c>
      <c r="F224" s="170">
        <f>IF(A224="","",IFERROR(xlookup(A224,'FLEET REGISTER'!$B:$B,'FLEET REGISTER'!$F:$F),"Unknown"))</f>
        <v/>
      </c>
      <c r="G224" s="200" t="n"/>
      <c r="H224" s="200" t="n"/>
      <c r="I224" s="200" t="n"/>
      <c r="J224" s="200" t="n"/>
      <c r="K224" s="200" t="n"/>
      <c r="L224" s="200" t="n"/>
    </row>
    <row r="225" ht="15" customHeight="1" s="122">
      <c r="E225" s="170">
        <f>IF(A225="","",IFERROR(xlookup(A225,'FLEET REGISTER'!$B:$B,'FLEET REGISTER'!$D:$D),"Unknown"))</f>
        <v/>
      </c>
      <c r="F225" s="170">
        <f>IF(A225="","",IFERROR(xlookup(A225,'FLEET REGISTER'!$B:$B,'FLEET REGISTER'!$F:$F),"Unknown"))</f>
        <v/>
      </c>
      <c r="G225" s="200" t="n"/>
      <c r="H225" s="200" t="n"/>
      <c r="I225" s="200" t="n"/>
      <c r="J225" s="200" t="n"/>
      <c r="K225" s="200" t="n"/>
      <c r="L225" s="200" t="n"/>
    </row>
    <row r="226" ht="15" customHeight="1" s="122">
      <c r="E226" s="170">
        <f>IF(A226="","",IFERROR(xlookup(A226,'FLEET REGISTER'!$B:$B,'FLEET REGISTER'!$D:$D),"Unknown"))</f>
        <v/>
      </c>
      <c r="F226" s="170">
        <f>IF(A226="","",IFERROR(xlookup(A226,'FLEET REGISTER'!$B:$B,'FLEET REGISTER'!$F:$F),"Unknown"))</f>
        <v/>
      </c>
      <c r="G226" s="200" t="n"/>
      <c r="H226" s="200" t="n"/>
      <c r="I226" s="200" t="n"/>
      <c r="J226" s="200" t="n"/>
      <c r="K226" s="200" t="n"/>
      <c r="L226" s="200" t="n"/>
    </row>
    <row r="227" ht="15" customHeight="1" s="122">
      <c r="E227" s="170">
        <f>IF(A227="","",IFERROR(xlookup(A227,'FLEET REGISTER'!$B:$B,'FLEET REGISTER'!$D:$D),"Unknown"))</f>
        <v/>
      </c>
      <c r="F227" s="170">
        <f>IF(A227="","",IFERROR(xlookup(A227,'FLEET REGISTER'!$B:$B,'FLEET REGISTER'!$F:$F),"Unknown"))</f>
        <v/>
      </c>
      <c r="G227" s="200" t="n"/>
      <c r="H227" s="200" t="n"/>
      <c r="I227" s="200" t="n"/>
      <c r="J227" s="200" t="n"/>
      <c r="K227" s="200" t="n"/>
      <c r="L227" s="200" t="n"/>
    </row>
    <row r="228" ht="15" customHeight="1" s="122">
      <c r="E228" s="170">
        <f>IF(A228="","",IFERROR(xlookup(A228,'FLEET REGISTER'!$B:$B,'FLEET REGISTER'!$D:$D),"Unknown"))</f>
        <v/>
      </c>
      <c r="F228" s="170">
        <f>IF(A228="","",IFERROR(xlookup(A228,'FLEET REGISTER'!$B:$B,'FLEET REGISTER'!$F:$F),"Unknown"))</f>
        <v/>
      </c>
      <c r="G228" s="200" t="n"/>
      <c r="H228" s="200" t="n"/>
      <c r="I228" s="200" t="n"/>
      <c r="J228" s="200" t="n"/>
      <c r="K228" s="200" t="n"/>
      <c r="L228" s="200" t="n"/>
    </row>
    <row r="229" ht="15" customHeight="1" s="122">
      <c r="E229" s="170">
        <f>IF(A229="","",IFERROR(xlookup(A229,'FLEET REGISTER'!$B:$B,'FLEET REGISTER'!$D:$D),"Unknown"))</f>
        <v/>
      </c>
      <c r="F229" s="170">
        <f>IF(A229="","",IFERROR(xlookup(A229,'FLEET REGISTER'!$B:$B,'FLEET REGISTER'!$F:$F),"Unknown"))</f>
        <v/>
      </c>
      <c r="G229" s="200" t="n"/>
      <c r="H229" s="200" t="n"/>
      <c r="I229" s="200" t="n"/>
      <c r="J229" s="200" t="n"/>
      <c r="K229" s="200" t="n"/>
      <c r="L229" s="200" t="n"/>
    </row>
    <row r="230" ht="15" customHeight="1" s="122">
      <c r="E230" s="170">
        <f>IF(A230="","",IFERROR(xlookup(A230,'FLEET REGISTER'!$B:$B,'FLEET REGISTER'!$D:$D),"Unknown"))</f>
        <v/>
      </c>
      <c r="F230" s="170">
        <f>IF(A230="","",IFERROR(xlookup(A230,'FLEET REGISTER'!$B:$B,'FLEET REGISTER'!$F:$F),"Unknown"))</f>
        <v/>
      </c>
      <c r="G230" s="200" t="n"/>
      <c r="H230" s="200" t="n"/>
      <c r="I230" s="200" t="n"/>
      <c r="J230" s="200" t="n"/>
      <c r="K230" s="200" t="n"/>
      <c r="L230" s="200" t="n"/>
    </row>
    <row r="231" ht="15" customHeight="1" s="122">
      <c r="E231" s="170">
        <f>IF(A231="","",IFERROR(xlookup(A231,'FLEET REGISTER'!$B:$B,'FLEET REGISTER'!$D:$D),"Unknown"))</f>
        <v/>
      </c>
      <c r="F231" s="170">
        <f>IF(A231="","",IFERROR(xlookup(A231,'FLEET REGISTER'!$B:$B,'FLEET REGISTER'!$F:$F),"Unknown"))</f>
        <v/>
      </c>
      <c r="G231" s="200" t="n"/>
      <c r="H231" s="200" t="n"/>
      <c r="I231" s="200" t="n"/>
      <c r="J231" s="200" t="n"/>
      <c r="K231" s="200" t="n"/>
      <c r="L231" s="200" t="n"/>
    </row>
    <row r="232" ht="15" customHeight="1" s="122">
      <c r="E232" s="170">
        <f>IF(A232="","",IFERROR(xlookup(A232,'FLEET REGISTER'!$B:$B,'FLEET REGISTER'!$D:$D),"Unknown"))</f>
        <v/>
      </c>
      <c r="F232" s="170">
        <f>IF(A232="","",IFERROR(xlookup(A232,'FLEET REGISTER'!$B:$B,'FLEET REGISTER'!$F:$F),"Unknown"))</f>
        <v/>
      </c>
      <c r="G232" s="200" t="n"/>
      <c r="H232" s="200" t="n"/>
      <c r="I232" s="200" t="n"/>
      <c r="J232" s="200" t="n"/>
      <c r="K232" s="200" t="n"/>
      <c r="L232" s="200" t="n"/>
    </row>
    <row r="233" ht="15" customHeight="1" s="122">
      <c r="E233" s="170">
        <f>IF(A233="","",IFERROR(xlookup(A233,'FLEET REGISTER'!$B:$B,'FLEET REGISTER'!$D:$D),"Unknown"))</f>
        <v/>
      </c>
      <c r="F233" s="170">
        <f>IF(A233="","",IFERROR(xlookup(A233,'FLEET REGISTER'!$B:$B,'FLEET REGISTER'!$F:$F),"Unknown"))</f>
        <v/>
      </c>
      <c r="G233" s="200" t="n"/>
      <c r="H233" s="200" t="n"/>
      <c r="I233" s="200" t="n"/>
      <c r="J233" s="200" t="n"/>
      <c r="K233" s="200" t="n"/>
      <c r="L233" s="200" t="n"/>
    </row>
    <row r="234" ht="15" customHeight="1" s="122">
      <c r="E234" s="170">
        <f>IF(A234="","",IFERROR(xlookup(A234,'FLEET REGISTER'!$B:$B,'FLEET REGISTER'!$D:$D),"Unknown"))</f>
        <v/>
      </c>
      <c r="F234" s="170">
        <f>IF(A234="","",IFERROR(xlookup(A234,'FLEET REGISTER'!$B:$B,'FLEET REGISTER'!$F:$F),"Unknown"))</f>
        <v/>
      </c>
      <c r="G234" s="200" t="n"/>
      <c r="H234" s="200" t="n"/>
      <c r="I234" s="200" t="n"/>
      <c r="J234" s="200" t="n"/>
      <c r="K234" s="200" t="n"/>
      <c r="L234" s="200" t="n"/>
    </row>
    <row r="235" ht="15" customHeight="1" s="122">
      <c r="E235" s="170">
        <f>IF(A235="","",IFERROR(xlookup(A235,'FLEET REGISTER'!$B:$B,'FLEET REGISTER'!$D:$D),"Unknown"))</f>
        <v/>
      </c>
      <c r="F235" s="170">
        <f>IF(A235="","",IFERROR(xlookup(A235,'FLEET REGISTER'!$B:$B,'FLEET REGISTER'!$F:$F),"Unknown"))</f>
        <v/>
      </c>
      <c r="G235" s="200" t="n"/>
      <c r="H235" s="200" t="n"/>
      <c r="I235" s="200" t="n"/>
      <c r="J235" s="200" t="n"/>
      <c r="K235" s="200" t="n"/>
      <c r="L235" s="200" t="n"/>
    </row>
    <row r="236" ht="15" customHeight="1" s="122">
      <c r="E236" s="170">
        <f>IF(A236="","",IFERROR(xlookup(A236,'FLEET REGISTER'!$B:$B,'FLEET REGISTER'!$D:$D),"Unknown"))</f>
        <v/>
      </c>
      <c r="F236" s="170">
        <f>IF(A236="","",IFERROR(xlookup(A236,'FLEET REGISTER'!$B:$B,'FLEET REGISTER'!$F:$F),"Unknown"))</f>
        <v/>
      </c>
      <c r="G236" s="200" t="n"/>
      <c r="H236" s="200" t="n"/>
      <c r="I236" s="200" t="n"/>
      <c r="J236" s="200" t="n"/>
      <c r="K236" s="200" t="n"/>
      <c r="L236" s="200" t="n"/>
    </row>
    <row r="237" ht="15" customHeight="1" s="122">
      <c r="E237" s="170">
        <f>IF(A237="","",IFERROR(xlookup(A237,'FLEET REGISTER'!$B:$B,'FLEET REGISTER'!$D:$D),"Unknown"))</f>
        <v/>
      </c>
      <c r="F237" s="170">
        <f>IF(A237="","",IFERROR(xlookup(A237,'FLEET REGISTER'!$B:$B,'FLEET REGISTER'!$F:$F),"Unknown"))</f>
        <v/>
      </c>
      <c r="G237" s="200" t="n"/>
      <c r="H237" s="200" t="n"/>
      <c r="I237" s="200" t="n"/>
      <c r="J237" s="200" t="n"/>
      <c r="K237" s="200" t="n"/>
      <c r="L237" s="200" t="n"/>
    </row>
    <row r="238" ht="15" customHeight="1" s="122">
      <c r="E238" s="170">
        <f>IF(A238="","",IFERROR(xlookup(A238,'FLEET REGISTER'!$B:$B,'FLEET REGISTER'!$D:$D),"Unknown"))</f>
        <v/>
      </c>
      <c r="F238" s="170">
        <f>IF(A238="","",IFERROR(xlookup(A238,'FLEET REGISTER'!$B:$B,'FLEET REGISTER'!$F:$F),"Unknown"))</f>
        <v/>
      </c>
      <c r="G238" s="200" t="n"/>
      <c r="H238" s="200" t="n"/>
      <c r="I238" s="200" t="n"/>
      <c r="J238" s="200" t="n"/>
      <c r="K238" s="200" t="n"/>
      <c r="L238" s="200" t="n"/>
    </row>
    <row r="239" ht="15" customHeight="1" s="122">
      <c r="E239" s="170">
        <f>IF(A239="","",IFERROR(xlookup(A239,'FLEET REGISTER'!$B:$B,'FLEET REGISTER'!$D:$D),"Unknown"))</f>
        <v/>
      </c>
      <c r="F239" s="170">
        <f>IF(A239="","",IFERROR(xlookup(A239,'FLEET REGISTER'!$B:$B,'FLEET REGISTER'!$F:$F),"Unknown"))</f>
        <v/>
      </c>
      <c r="G239" s="200" t="n"/>
      <c r="H239" s="200" t="n"/>
      <c r="I239" s="200" t="n"/>
      <c r="J239" s="200" t="n"/>
      <c r="K239" s="200" t="n"/>
      <c r="L239" s="200" t="n"/>
    </row>
    <row r="240" ht="15" customHeight="1" s="122">
      <c r="E240" s="170">
        <f>IF(A240="","",IFERROR(xlookup(A240,'FLEET REGISTER'!$B:$B,'FLEET REGISTER'!$D:$D),"Unknown"))</f>
        <v/>
      </c>
      <c r="F240" s="170">
        <f>IF(A240="","",IFERROR(xlookup(A240,'FLEET REGISTER'!$B:$B,'FLEET REGISTER'!$F:$F),"Unknown"))</f>
        <v/>
      </c>
      <c r="G240" s="200" t="n"/>
      <c r="H240" s="200" t="n"/>
      <c r="I240" s="200" t="n"/>
      <c r="J240" s="200" t="n"/>
      <c r="K240" s="200" t="n"/>
      <c r="L240" s="200" t="n"/>
    </row>
    <row r="241" ht="15" customHeight="1" s="122">
      <c r="E241" s="170">
        <f>IF(A241="","",IFERROR(xlookup(A241,'FLEET REGISTER'!$B:$B,'FLEET REGISTER'!$D:$D),"Unknown"))</f>
        <v/>
      </c>
      <c r="F241" s="170">
        <f>IF(A241="","",IFERROR(xlookup(A241,'FLEET REGISTER'!$B:$B,'FLEET REGISTER'!$F:$F),"Unknown"))</f>
        <v/>
      </c>
      <c r="G241" s="200" t="n"/>
      <c r="H241" s="200" t="n"/>
      <c r="I241" s="200" t="n"/>
      <c r="J241" s="200" t="n"/>
      <c r="K241" s="200" t="n"/>
      <c r="L241" s="200" t="n"/>
    </row>
    <row r="242" ht="15" customHeight="1" s="122">
      <c r="E242" s="170">
        <f>IF(A242="","",IFERROR(xlookup(A242,'FLEET REGISTER'!$B:$B,'FLEET REGISTER'!$D:$D),"Unknown"))</f>
        <v/>
      </c>
      <c r="F242" s="170">
        <f>IF(A242="","",IFERROR(xlookup(A242,'FLEET REGISTER'!$B:$B,'FLEET REGISTER'!$F:$F),"Unknown"))</f>
        <v/>
      </c>
      <c r="G242" s="200" t="n"/>
      <c r="H242" s="200" t="n"/>
      <c r="I242" s="200" t="n"/>
      <c r="J242" s="200" t="n"/>
      <c r="K242" s="200" t="n"/>
      <c r="L242" s="200" t="n"/>
    </row>
    <row r="243" ht="15" customHeight="1" s="122">
      <c r="E243" s="170">
        <f>IF(A243="","",IFERROR(xlookup(A243,'FLEET REGISTER'!$B:$B,'FLEET REGISTER'!$D:$D),"Unknown"))</f>
        <v/>
      </c>
      <c r="F243" s="170">
        <f>IF(A243="","",IFERROR(xlookup(A243,'FLEET REGISTER'!$B:$B,'FLEET REGISTER'!$F:$F),"Unknown"))</f>
        <v/>
      </c>
      <c r="G243" s="200" t="n"/>
      <c r="H243" s="200" t="n"/>
      <c r="I243" s="200" t="n"/>
      <c r="J243" s="200" t="n"/>
      <c r="K243" s="200" t="n"/>
      <c r="L243" s="200" t="n"/>
    </row>
    <row r="244" ht="15" customHeight="1" s="122">
      <c r="E244" s="170">
        <f>IF(A244="","",IFERROR(xlookup(A244,'FLEET REGISTER'!$B:$B,'FLEET REGISTER'!$D:$D),"Unknown"))</f>
        <v/>
      </c>
      <c r="F244" s="170">
        <f>IF(A244="","",IFERROR(xlookup(A244,'FLEET REGISTER'!$B:$B,'FLEET REGISTER'!$F:$F),"Unknown"))</f>
        <v/>
      </c>
      <c r="G244" s="200" t="n"/>
      <c r="H244" s="200" t="n"/>
      <c r="I244" s="200" t="n"/>
      <c r="J244" s="200" t="n"/>
      <c r="K244" s="200" t="n"/>
      <c r="L244" s="200" t="n"/>
    </row>
    <row r="245" ht="15" customHeight="1" s="122">
      <c r="E245" s="170">
        <f>IF(A245="","",IFERROR(xlookup(A245,'FLEET REGISTER'!$B:$B,'FLEET REGISTER'!$D:$D),"Unknown"))</f>
        <v/>
      </c>
      <c r="F245" s="170">
        <f>IF(A245="","",IFERROR(xlookup(A245,'FLEET REGISTER'!$B:$B,'FLEET REGISTER'!$F:$F),"Unknown"))</f>
        <v/>
      </c>
      <c r="G245" s="200" t="n"/>
      <c r="H245" s="200" t="n"/>
      <c r="I245" s="200" t="n"/>
      <c r="J245" s="200" t="n"/>
      <c r="K245" s="200" t="n"/>
      <c r="L245" s="200" t="n"/>
    </row>
    <row r="246" ht="15" customHeight="1" s="122">
      <c r="E246" s="170">
        <f>IF(A246="","",IFERROR(xlookup(A246,'FLEET REGISTER'!$B:$B,'FLEET REGISTER'!$D:$D),"Unknown"))</f>
        <v/>
      </c>
      <c r="F246" s="170">
        <f>IF(A246="","",IFERROR(xlookup(A246,'FLEET REGISTER'!$B:$B,'FLEET REGISTER'!$F:$F),"Unknown"))</f>
        <v/>
      </c>
      <c r="G246" s="200" t="n"/>
      <c r="H246" s="200" t="n"/>
      <c r="I246" s="200" t="n"/>
      <c r="J246" s="200" t="n"/>
      <c r="K246" s="200" t="n"/>
      <c r="L246" s="200" t="n"/>
    </row>
    <row r="247" ht="15" customHeight="1" s="122">
      <c r="E247" s="170">
        <f>IF(A247="","",IFERROR(xlookup(A247,'FLEET REGISTER'!$B:$B,'FLEET REGISTER'!$D:$D),"Unknown"))</f>
        <v/>
      </c>
      <c r="F247" s="170">
        <f>IF(A247="","",IFERROR(xlookup(A247,'FLEET REGISTER'!$B:$B,'FLEET REGISTER'!$F:$F),"Unknown"))</f>
        <v/>
      </c>
      <c r="G247" s="200" t="n"/>
      <c r="H247" s="200" t="n"/>
      <c r="I247" s="200" t="n"/>
      <c r="J247" s="200" t="n"/>
      <c r="K247" s="200" t="n"/>
      <c r="L247" s="200" t="n"/>
    </row>
    <row r="248" ht="15" customHeight="1" s="122">
      <c r="E248" s="170">
        <f>IF(A248="","",IFERROR(xlookup(A248,'FLEET REGISTER'!$B:$B,'FLEET REGISTER'!$D:$D),"Unknown"))</f>
        <v/>
      </c>
      <c r="F248" s="170">
        <f>IF(A248="","",IFERROR(xlookup(A248,'FLEET REGISTER'!$B:$B,'FLEET REGISTER'!$F:$F),"Unknown"))</f>
        <v/>
      </c>
      <c r="G248" s="200" t="n"/>
      <c r="H248" s="200" t="n"/>
      <c r="I248" s="200" t="n"/>
      <c r="J248" s="200" t="n"/>
      <c r="K248" s="200" t="n"/>
      <c r="L248" s="200" t="n"/>
    </row>
    <row r="249" ht="15" customHeight="1" s="122">
      <c r="E249" s="170">
        <f>IF(A249="","",IFERROR(xlookup(A249,'FLEET REGISTER'!$B:$B,'FLEET REGISTER'!$D:$D),"Unknown"))</f>
        <v/>
      </c>
      <c r="F249" s="170">
        <f>IF(A249="","",IFERROR(xlookup(A249,'FLEET REGISTER'!$B:$B,'FLEET REGISTER'!$F:$F),"Unknown"))</f>
        <v/>
      </c>
      <c r="G249" s="200" t="n"/>
      <c r="H249" s="200" t="n"/>
      <c r="I249" s="200" t="n"/>
      <c r="J249" s="200" t="n"/>
      <c r="K249" s="200" t="n"/>
      <c r="L249" s="200" t="n"/>
    </row>
    <row r="250" ht="15" customHeight="1" s="122">
      <c r="E250" s="170">
        <f>IF(A250="","",IFERROR(xlookup(A250,'FLEET REGISTER'!$B:$B,'FLEET REGISTER'!$D:$D),"Unknown"))</f>
        <v/>
      </c>
      <c r="F250" s="170">
        <f>IF(A250="","",IFERROR(xlookup(A250,'FLEET REGISTER'!$B:$B,'FLEET REGISTER'!$F:$F),"Unknown"))</f>
        <v/>
      </c>
      <c r="G250" s="200" t="n"/>
      <c r="H250" s="200" t="n"/>
      <c r="I250" s="200" t="n"/>
      <c r="J250" s="200" t="n"/>
      <c r="K250" s="200" t="n"/>
      <c r="L250" s="200" t="n"/>
    </row>
    <row r="251" ht="15" customHeight="1" s="122">
      <c r="E251" s="170">
        <f>IF(A251="","",IFERROR(xlookup(A251,'FLEET REGISTER'!$B:$B,'FLEET REGISTER'!$D:$D),"Unknown"))</f>
        <v/>
      </c>
      <c r="F251" s="170">
        <f>IF(A251="","",IFERROR(xlookup(A251,'FLEET REGISTER'!$B:$B,'FLEET REGISTER'!$F:$F),"Unknown"))</f>
        <v/>
      </c>
      <c r="G251" s="200" t="n"/>
      <c r="H251" s="200" t="n"/>
      <c r="I251" s="200" t="n"/>
      <c r="J251" s="200" t="n"/>
      <c r="K251" s="200" t="n"/>
      <c r="L251" s="200" t="n"/>
    </row>
    <row r="252" ht="15" customHeight="1" s="122">
      <c r="E252" s="170">
        <f>IF(A252="","",IFERROR(xlookup(A252,'FLEET REGISTER'!$B:$B,'FLEET REGISTER'!$D:$D),"Unknown"))</f>
        <v/>
      </c>
      <c r="F252" s="170">
        <f>IF(A252="","",IFERROR(xlookup(A252,'FLEET REGISTER'!$B:$B,'FLEET REGISTER'!$F:$F),"Unknown"))</f>
        <v/>
      </c>
      <c r="G252" s="200" t="n"/>
      <c r="H252" s="200" t="n"/>
      <c r="I252" s="200" t="n"/>
      <c r="J252" s="200" t="n"/>
      <c r="K252" s="200" t="n"/>
      <c r="L252" s="200" t="n"/>
    </row>
    <row r="253" ht="15" customHeight="1" s="122">
      <c r="E253" s="170">
        <f>IF(A253="","",IFERROR(xlookup(A253,'FLEET REGISTER'!$B:$B,'FLEET REGISTER'!$D:$D),"Unknown"))</f>
        <v/>
      </c>
      <c r="F253" s="170">
        <f>IF(A253="","",IFERROR(xlookup(A253,'FLEET REGISTER'!$B:$B,'FLEET REGISTER'!$F:$F),"Unknown"))</f>
        <v/>
      </c>
      <c r="G253" s="200" t="n"/>
      <c r="H253" s="200" t="n"/>
      <c r="I253" s="200" t="n"/>
      <c r="J253" s="200" t="n"/>
      <c r="K253" s="200" t="n"/>
      <c r="L253" s="200" t="n"/>
    </row>
    <row r="254" ht="15" customHeight="1" s="122">
      <c r="E254" s="170">
        <f>IF(A254="","",IFERROR(xlookup(A254,'FLEET REGISTER'!$B:$B,'FLEET REGISTER'!$D:$D),"Unknown"))</f>
        <v/>
      </c>
      <c r="F254" s="170">
        <f>IF(A254="","",IFERROR(xlookup(A254,'FLEET REGISTER'!$B:$B,'FLEET REGISTER'!$F:$F),"Unknown"))</f>
        <v/>
      </c>
      <c r="G254" s="200" t="n"/>
      <c r="H254" s="200" t="n"/>
      <c r="I254" s="200" t="n"/>
      <c r="J254" s="200" t="n"/>
      <c r="K254" s="200" t="n"/>
      <c r="L254" s="200" t="n"/>
    </row>
    <row r="255" ht="15" customHeight="1" s="122">
      <c r="E255" s="170">
        <f>IF(A255="","",IFERROR(xlookup(A255,'FLEET REGISTER'!$B:$B,'FLEET REGISTER'!$D:$D),"Unknown"))</f>
        <v/>
      </c>
      <c r="F255" s="170">
        <f>IF(A255="","",IFERROR(xlookup(A255,'FLEET REGISTER'!$B:$B,'FLEET REGISTER'!$F:$F),"Unknown"))</f>
        <v/>
      </c>
      <c r="G255" s="200" t="n"/>
      <c r="H255" s="200" t="n"/>
      <c r="I255" s="200" t="n"/>
      <c r="J255" s="200" t="n"/>
      <c r="K255" s="200" t="n"/>
      <c r="L255" s="200" t="n"/>
    </row>
    <row r="256" ht="15" customHeight="1" s="122">
      <c r="E256" s="170">
        <f>IF(A256="","",IFERROR(xlookup(A256,'FLEET REGISTER'!$B:$B,'FLEET REGISTER'!$D:$D),"Unknown"))</f>
        <v/>
      </c>
      <c r="F256" s="170">
        <f>IF(A256="","",IFERROR(xlookup(A256,'FLEET REGISTER'!$B:$B,'FLEET REGISTER'!$F:$F),"Unknown"))</f>
        <v/>
      </c>
      <c r="G256" s="200" t="n"/>
      <c r="H256" s="200" t="n"/>
      <c r="I256" s="200" t="n"/>
      <c r="J256" s="200" t="n"/>
      <c r="K256" s="200" t="n"/>
      <c r="L256" s="200" t="n"/>
    </row>
    <row r="257" ht="15" customHeight="1" s="122">
      <c r="E257" s="170">
        <f>IF(A257="","",IFERROR(xlookup(A257,'FLEET REGISTER'!$B:$B,'FLEET REGISTER'!$D:$D),"Unknown"))</f>
        <v/>
      </c>
      <c r="F257" s="170">
        <f>IF(A257="","",IFERROR(xlookup(A257,'FLEET REGISTER'!$B:$B,'FLEET REGISTER'!$F:$F),"Unknown"))</f>
        <v/>
      </c>
      <c r="G257" s="200" t="n"/>
      <c r="H257" s="200" t="n"/>
      <c r="I257" s="200" t="n"/>
      <c r="J257" s="200" t="n"/>
      <c r="K257" s="200" t="n"/>
      <c r="L257" s="200" t="n"/>
    </row>
    <row r="258" ht="15" customHeight="1" s="122">
      <c r="E258" s="170">
        <f>IF(A258="","",IFERROR(xlookup(A258,'FLEET REGISTER'!$B:$B,'FLEET REGISTER'!$D:$D),"Unknown"))</f>
        <v/>
      </c>
      <c r="F258" s="170">
        <f>IF(A258="","",IFERROR(xlookup(A258,'FLEET REGISTER'!$B:$B,'FLEET REGISTER'!$F:$F),"Unknown"))</f>
        <v/>
      </c>
      <c r="G258" s="200" t="n"/>
      <c r="H258" s="200" t="n"/>
      <c r="I258" s="200" t="n"/>
      <c r="J258" s="200" t="n"/>
      <c r="K258" s="200" t="n"/>
      <c r="L258" s="200" t="n"/>
    </row>
    <row r="259" ht="15" customHeight="1" s="122">
      <c r="E259" s="170">
        <f>IF(A259="","",IFERROR(xlookup(A259,'FLEET REGISTER'!$B:$B,'FLEET REGISTER'!$D:$D),"Unknown"))</f>
        <v/>
      </c>
      <c r="F259" s="170">
        <f>IF(A259="","",IFERROR(xlookup(A259,'FLEET REGISTER'!$B:$B,'FLEET REGISTER'!$F:$F),"Unknown"))</f>
        <v/>
      </c>
      <c r="G259" s="200" t="n"/>
      <c r="H259" s="200" t="n"/>
      <c r="I259" s="200" t="n"/>
      <c r="J259" s="200" t="n"/>
      <c r="K259" s="200" t="n"/>
      <c r="L259" s="200" t="n"/>
    </row>
    <row r="260" ht="15" customHeight="1" s="122">
      <c r="E260" s="170">
        <f>IF(A260="","",IFERROR(xlookup(A260,'FLEET REGISTER'!$B:$B,'FLEET REGISTER'!$D:$D),"Unknown"))</f>
        <v/>
      </c>
      <c r="F260" s="170">
        <f>IF(A260="","",IFERROR(xlookup(A260,'FLEET REGISTER'!$B:$B,'FLEET REGISTER'!$F:$F),"Unknown"))</f>
        <v/>
      </c>
      <c r="G260" s="200" t="n"/>
      <c r="H260" s="200" t="n"/>
      <c r="I260" s="200" t="n"/>
      <c r="J260" s="200" t="n"/>
      <c r="K260" s="200" t="n"/>
      <c r="L260" s="200" t="n"/>
    </row>
    <row r="261" ht="15" customHeight="1" s="122">
      <c r="E261" s="170">
        <f>IF(A261="","",IFERROR(xlookup(A261,'FLEET REGISTER'!$B:$B,'FLEET REGISTER'!$D:$D),"Unknown"))</f>
        <v/>
      </c>
      <c r="F261" s="170">
        <f>IF(A261="","",IFERROR(xlookup(A261,'FLEET REGISTER'!$B:$B,'FLEET REGISTER'!$F:$F),"Unknown"))</f>
        <v/>
      </c>
      <c r="G261" s="200" t="n"/>
      <c r="H261" s="200" t="n"/>
      <c r="I261" s="200" t="n"/>
      <c r="J261" s="200" t="n"/>
      <c r="K261" s="200" t="n"/>
      <c r="L261" s="200" t="n"/>
    </row>
    <row r="262" ht="15" customHeight="1" s="122">
      <c r="E262" s="170">
        <f>IF(A262="","",IFERROR(xlookup(A262,'FLEET REGISTER'!$B:$B,'FLEET REGISTER'!$D:$D),"Unknown"))</f>
        <v/>
      </c>
      <c r="F262" s="170">
        <f>IF(A262="","",IFERROR(xlookup(A262,'FLEET REGISTER'!$B:$B,'FLEET REGISTER'!$F:$F),"Unknown"))</f>
        <v/>
      </c>
      <c r="G262" s="200" t="n"/>
      <c r="H262" s="200" t="n"/>
      <c r="I262" s="200" t="n"/>
      <c r="J262" s="200" t="n"/>
      <c r="K262" s="200" t="n"/>
      <c r="L262" s="200" t="n"/>
    </row>
    <row r="263" ht="15" customHeight="1" s="122">
      <c r="E263" s="170">
        <f>IF(A263="","",IFERROR(xlookup(A263,'FLEET REGISTER'!$B:$B,'FLEET REGISTER'!$D:$D),"Unknown"))</f>
        <v/>
      </c>
      <c r="F263" s="170">
        <f>IF(A263="","",IFERROR(xlookup(A263,'FLEET REGISTER'!$B:$B,'FLEET REGISTER'!$F:$F),"Unknown"))</f>
        <v/>
      </c>
      <c r="G263" s="200" t="n"/>
      <c r="H263" s="200" t="n"/>
      <c r="I263" s="200" t="n"/>
      <c r="J263" s="200" t="n"/>
      <c r="K263" s="200" t="n"/>
      <c r="L263" s="200" t="n"/>
    </row>
    <row r="264" ht="15" customHeight="1" s="122">
      <c r="E264" s="170">
        <f>IF(A264="","",IFERROR(xlookup(A264,'FLEET REGISTER'!$B:$B,'FLEET REGISTER'!$D:$D),"Unknown"))</f>
        <v/>
      </c>
      <c r="F264" s="170">
        <f>IF(A264="","",IFERROR(xlookup(A264,'FLEET REGISTER'!$B:$B,'FLEET REGISTER'!$F:$F),"Unknown"))</f>
        <v/>
      </c>
      <c r="G264" s="200" t="n"/>
      <c r="H264" s="200" t="n"/>
      <c r="I264" s="200" t="n"/>
      <c r="J264" s="200" t="n"/>
      <c r="K264" s="200" t="n"/>
      <c r="L264" s="200" t="n"/>
    </row>
    <row r="265" ht="15" customHeight="1" s="122">
      <c r="E265" s="170">
        <f>IF(A265="","",IFERROR(xlookup(A265,'FLEET REGISTER'!$B:$B,'FLEET REGISTER'!$D:$D),"Unknown"))</f>
        <v/>
      </c>
      <c r="F265" s="170">
        <f>IF(A265="","",IFERROR(xlookup(A265,'FLEET REGISTER'!$B:$B,'FLEET REGISTER'!$F:$F),"Unknown"))</f>
        <v/>
      </c>
      <c r="G265" s="200" t="n"/>
      <c r="H265" s="200" t="n"/>
      <c r="I265" s="200" t="n"/>
      <c r="J265" s="200" t="n"/>
      <c r="K265" s="200" t="n"/>
      <c r="L265" s="200" t="n"/>
    </row>
    <row r="266" ht="15" customHeight="1" s="122">
      <c r="E266" s="170">
        <f>IF(A266="","",IFERROR(xlookup(A266,'FLEET REGISTER'!$B:$B,'FLEET REGISTER'!$D:$D),"Unknown"))</f>
        <v/>
      </c>
      <c r="F266" s="170">
        <f>IF(A266="","",IFERROR(xlookup(A266,'FLEET REGISTER'!$B:$B,'FLEET REGISTER'!$F:$F),"Unknown"))</f>
        <v/>
      </c>
      <c r="G266" s="200" t="n"/>
      <c r="H266" s="200" t="n"/>
      <c r="I266" s="200" t="n"/>
      <c r="J266" s="200" t="n"/>
      <c r="K266" s="200" t="n"/>
      <c r="L266" s="200" t="n"/>
    </row>
    <row r="267" ht="15" customHeight="1" s="122">
      <c r="E267" s="170">
        <f>IF(A267="","",IFERROR(xlookup(A267,'FLEET REGISTER'!$B:$B,'FLEET REGISTER'!$D:$D),"Unknown"))</f>
        <v/>
      </c>
      <c r="F267" s="170">
        <f>IF(A267="","",IFERROR(xlookup(A267,'FLEET REGISTER'!$B:$B,'FLEET REGISTER'!$F:$F),"Unknown"))</f>
        <v/>
      </c>
      <c r="G267" s="200" t="n"/>
      <c r="H267" s="200" t="n"/>
      <c r="I267" s="200" t="n"/>
      <c r="J267" s="200" t="n"/>
      <c r="K267" s="200" t="n"/>
      <c r="L267" s="200" t="n"/>
    </row>
    <row r="268" ht="15" customHeight="1" s="122">
      <c r="E268" s="170">
        <f>IF(A268="","",IFERROR(xlookup(A268,'FLEET REGISTER'!$B:$B,'FLEET REGISTER'!$D:$D),"Unknown"))</f>
        <v/>
      </c>
      <c r="F268" s="170">
        <f>IF(A268="","",IFERROR(xlookup(A268,'FLEET REGISTER'!$B:$B,'FLEET REGISTER'!$F:$F),"Unknown"))</f>
        <v/>
      </c>
      <c r="G268" s="200" t="n"/>
      <c r="H268" s="200" t="n"/>
      <c r="I268" s="200" t="n"/>
      <c r="J268" s="200" t="n"/>
      <c r="K268" s="200" t="n"/>
      <c r="L268" s="200" t="n"/>
    </row>
    <row r="269" ht="15" customHeight="1" s="122">
      <c r="E269" s="170">
        <f>IF(A269="","",IFERROR(xlookup(A269,'FLEET REGISTER'!$B:$B,'FLEET REGISTER'!$D:$D),"Unknown"))</f>
        <v/>
      </c>
      <c r="F269" s="170">
        <f>IF(A269="","",IFERROR(xlookup(A269,'FLEET REGISTER'!$B:$B,'FLEET REGISTER'!$F:$F),"Unknown"))</f>
        <v/>
      </c>
      <c r="G269" s="200" t="n"/>
      <c r="H269" s="200" t="n"/>
      <c r="I269" s="200" t="n"/>
      <c r="J269" s="200" t="n"/>
      <c r="K269" s="200" t="n"/>
      <c r="L269" s="200" t="n"/>
    </row>
    <row r="270" ht="15" customHeight="1" s="122">
      <c r="E270" s="170">
        <f>IF(A270="","",IFERROR(xlookup(A270,'FLEET REGISTER'!$B:$B,'FLEET REGISTER'!$D:$D),"Unknown"))</f>
        <v/>
      </c>
      <c r="F270" s="170">
        <f>IF(A270="","",IFERROR(xlookup(A270,'FLEET REGISTER'!$B:$B,'FLEET REGISTER'!$F:$F),"Unknown"))</f>
        <v/>
      </c>
      <c r="G270" s="200" t="n"/>
      <c r="H270" s="200" t="n"/>
      <c r="I270" s="200" t="n"/>
      <c r="J270" s="200" t="n"/>
      <c r="K270" s="200" t="n"/>
      <c r="L270" s="200" t="n"/>
    </row>
    <row r="271" ht="15" customHeight="1" s="122">
      <c r="E271" s="170">
        <f>IF(A271="","",IFERROR(xlookup(A271,'FLEET REGISTER'!$B:$B,'FLEET REGISTER'!$D:$D),"Unknown"))</f>
        <v/>
      </c>
      <c r="F271" s="170">
        <f>IF(A271="","",IFERROR(xlookup(A271,'FLEET REGISTER'!$B:$B,'FLEET REGISTER'!$F:$F),"Unknown"))</f>
        <v/>
      </c>
      <c r="G271" s="200" t="n"/>
      <c r="H271" s="200" t="n"/>
      <c r="I271" s="200" t="n"/>
      <c r="J271" s="200" t="n"/>
      <c r="K271" s="200" t="n"/>
      <c r="L271" s="200" t="n"/>
    </row>
    <row r="272" ht="15" customHeight="1" s="122">
      <c r="E272" s="170">
        <f>IF(A272="","",IFERROR(xlookup(A272,'FLEET REGISTER'!$B:$B,'FLEET REGISTER'!$D:$D),"Unknown"))</f>
        <v/>
      </c>
      <c r="F272" s="170">
        <f>IF(A272="","",IFERROR(xlookup(A272,'FLEET REGISTER'!$B:$B,'FLEET REGISTER'!$F:$F),"Unknown"))</f>
        <v/>
      </c>
      <c r="G272" s="200" t="n"/>
      <c r="H272" s="200" t="n"/>
      <c r="I272" s="200" t="n"/>
      <c r="J272" s="200" t="n"/>
      <c r="K272" s="200" t="n"/>
      <c r="L272" s="200" t="n"/>
    </row>
    <row r="273" ht="15" customHeight="1" s="122">
      <c r="E273" s="170">
        <f>IF(A273="","",IFERROR(xlookup(A273,'FLEET REGISTER'!$B:$B,'FLEET REGISTER'!$D:$D),"Unknown"))</f>
        <v/>
      </c>
      <c r="F273" s="170">
        <f>IF(A273="","",IFERROR(xlookup(A273,'FLEET REGISTER'!$B:$B,'FLEET REGISTER'!$F:$F),"Unknown"))</f>
        <v/>
      </c>
      <c r="G273" s="200" t="n"/>
      <c r="H273" s="200" t="n"/>
      <c r="I273" s="200" t="n"/>
      <c r="J273" s="200" t="n"/>
      <c r="K273" s="200" t="n"/>
      <c r="L273" s="200" t="n"/>
    </row>
    <row r="274" ht="15" customHeight="1" s="122">
      <c r="E274" s="170">
        <f>IF(A274="","",IFERROR(xlookup(A274,'FLEET REGISTER'!$B:$B,'FLEET REGISTER'!$D:$D),"Unknown"))</f>
        <v/>
      </c>
      <c r="F274" s="170">
        <f>IF(A274="","",IFERROR(xlookup(A274,'FLEET REGISTER'!$B:$B,'FLEET REGISTER'!$F:$F),"Unknown"))</f>
        <v/>
      </c>
      <c r="G274" s="200" t="n"/>
      <c r="H274" s="200" t="n"/>
      <c r="I274" s="200" t="n"/>
      <c r="J274" s="200" t="n"/>
      <c r="K274" s="200" t="n"/>
      <c r="L274" s="200" t="n"/>
    </row>
    <row r="275" ht="15" customHeight="1" s="122">
      <c r="E275" s="170">
        <f>IF(A275="","",IFERROR(xlookup(A275,'FLEET REGISTER'!$B:$B,'FLEET REGISTER'!$D:$D),"Unknown"))</f>
        <v/>
      </c>
      <c r="F275" s="170">
        <f>IF(A275="","",IFERROR(xlookup(A275,'FLEET REGISTER'!$B:$B,'FLEET REGISTER'!$F:$F),"Unknown"))</f>
        <v/>
      </c>
      <c r="G275" s="200" t="n"/>
      <c r="H275" s="200" t="n"/>
      <c r="I275" s="200" t="n"/>
      <c r="J275" s="200" t="n"/>
      <c r="K275" s="200" t="n"/>
      <c r="L275" s="200" t="n"/>
    </row>
    <row r="276" ht="15" customHeight="1" s="122">
      <c r="E276" s="170">
        <f>IF(A276="","",IFERROR(xlookup(A276,'FLEET REGISTER'!$B:$B,'FLEET REGISTER'!$D:$D),"Unknown"))</f>
        <v/>
      </c>
      <c r="F276" s="170">
        <f>IF(A276="","",IFERROR(xlookup(A276,'FLEET REGISTER'!$B:$B,'FLEET REGISTER'!$F:$F),"Unknown"))</f>
        <v/>
      </c>
      <c r="G276" s="200" t="n"/>
      <c r="H276" s="200" t="n"/>
      <c r="I276" s="200" t="n"/>
      <c r="J276" s="200" t="n"/>
      <c r="K276" s="200" t="n"/>
      <c r="L276" s="200" t="n"/>
    </row>
    <row r="277" ht="15" customHeight="1" s="122">
      <c r="E277" s="170">
        <f>IF(A277="","",IFERROR(xlookup(A277,'FLEET REGISTER'!$B:$B,'FLEET REGISTER'!$D:$D),"Unknown"))</f>
        <v/>
      </c>
      <c r="F277" s="170">
        <f>IF(A277="","",IFERROR(xlookup(A277,'FLEET REGISTER'!$B:$B,'FLEET REGISTER'!$F:$F),"Unknown"))</f>
        <v/>
      </c>
      <c r="G277" s="200" t="n"/>
      <c r="H277" s="200" t="n"/>
      <c r="I277" s="200" t="n"/>
      <c r="J277" s="200" t="n"/>
      <c r="K277" s="200" t="n"/>
      <c r="L277" s="200" t="n"/>
    </row>
    <row r="278" ht="15" customHeight="1" s="122">
      <c r="E278" s="170">
        <f>IF(A278="","",IFERROR(xlookup(A278,'FLEET REGISTER'!$B:$B,'FLEET REGISTER'!$D:$D),"Unknown"))</f>
        <v/>
      </c>
      <c r="F278" s="170">
        <f>IF(A278="","",IFERROR(xlookup(A278,'FLEET REGISTER'!$B:$B,'FLEET REGISTER'!$F:$F),"Unknown"))</f>
        <v/>
      </c>
      <c r="G278" s="200" t="n"/>
      <c r="H278" s="200" t="n"/>
      <c r="I278" s="200" t="n"/>
      <c r="J278" s="200" t="n"/>
      <c r="K278" s="200" t="n"/>
      <c r="L278" s="200" t="n"/>
    </row>
    <row r="279" ht="15" customHeight="1" s="122">
      <c r="E279" s="170">
        <f>IF(A279="","",IFERROR(xlookup(A279,'FLEET REGISTER'!$B:$B,'FLEET REGISTER'!$D:$D),"Unknown"))</f>
        <v/>
      </c>
      <c r="F279" s="170">
        <f>IF(A279="","",IFERROR(xlookup(A279,'FLEET REGISTER'!$B:$B,'FLEET REGISTER'!$F:$F),"Unknown"))</f>
        <v/>
      </c>
      <c r="G279" s="200" t="n"/>
      <c r="H279" s="200" t="n"/>
      <c r="I279" s="200" t="n"/>
      <c r="J279" s="200" t="n"/>
      <c r="K279" s="200" t="n"/>
      <c r="L279" s="200" t="n"/>
    </row>
    <row r="280" ht="15" customHeight="1" s="122">
      <c r="E280" s="170">
        <f>IF(A280="","",IFERROR(xlookup(A280,'FLEET REGISTER'!$B:$B,'FLEET REGISTER'!$D:$D),"Unknown"))</f>
        <v/>
      </c>
      <c r="F280" s="170">
        <f>IF(A280="","",IFERROR(xlookup(A280,'FLEET REGISTER'!$B:$B,'FLEET REGISTER'!$F:$F),"Unknown"))</f>
        <v/>
      </c>
      <c r="G280" s="200" t="n"/>
      <c r="H280" s="200" t="n"/>
      <c r="I280" s="200" t="n"/>
      <c r="J280" s="200" t="n"/>
      <c r="K280" s="200" t="n"/>
      <c r="L280" s="200" t="n"/>
    </row>
    <row r="281" ht="15" customHeight="1" s="122">
      <c r="E281" s="170">
        <f>IF(A281="","",IFERROR(xlookup(A281,'FLEET REGISTER'!$B:$B,'FLEET REGISTER'!$D:$D),"Unknown"))</f>
        <v/>
      </c>
      <c r="F281" s="170">
        <f>IF(A281="","",IFERROR(xlookup(A281,'FLEET REGISTER'!$B:$B,'FLEET REGISTER'!$F:$F),"Unknown"))</f>
        <v/>
      </c>
      <c r="G281" s="200" t="n"/>
      <c r="H281" s="200" t="n"/>
      <c r="I281" s="200" t="n"/>
      <c r="J281" s="200" t="n"/>
      <c r="K281" s="200" t="n"/>
      <c r="L281" s="200" t="n"/>
    </row>
    <row r="282" ht="15" customHeight="1" s="122">
      <c r="E282" s="170">
        <f>IF(A282="","",IFERROR(xlookup(A282,'FLEET REGISTER'!$B:$B,'FLEET REGISTER'!$D:$D),"Unknown"))</f>
        <v/>
      </c>
      <c r="F282" s="170">
        <f>IF(A282="","",IFERROR(xlookup(A282,'FLEET REGISTER'!$B:$B,'FLEET REGISTER'!$F:$F),"Unknown"))</f>
        <v/>
      </c>
      <c r="G282" s="200" t="n"/>
      <c r="H282" s="200" t="n"/>
      <c r="I282" s="200" t="n"/>
      <c r="J282" s="200" t="n"/>
      <c r="K282" s="200" t="n"/>
      <c r="L282" s="200" t="n"/>
    </row>
    <row r="283" ht="15" customHeight="1" s="122">
      <c r="E283" s="170">
        <f>IF(A283="","",IFERROR(xlookup(A283,'FLEET REGISTER'!$B:$B,'FLEET REGISTER'!$D:$D),"Unknown"))</f>
        <v/>
      </c>
      <c r="F283" s="170">
        <f>IF(A283="","",IFERROR(xlookup(A283,'FLEET REGISTER'!$B:$B,'FLEET REGISTER'!$F:$F),"Unknown"))</f>
        <v/>
      </c>
      <c r="G283" s="200" t="n"/>
      <c r="H283" s="200" t="n"/>
      <c r="I283" s="200" t="n"/>
      <c r="J283" s="200" t="n"/>
      <c r="K283" s="200" t="n"/>
      <c r="L283" s="200" t="n"/>
    </row>
    <row r="284" ht="15" customHeight="1" s="122">
      <c r="E284" s="170">
        <f>IF(A284="","",IFERROR(xlookup(A284,'FLEET REGISTER'!$B:$B,'FLEET REGISTER'!$D:$D),"Unknown"))</f>
        <v/>
      </c>
      <c r="F284" s="170">
        <f>IF(A284="","",IFERROR(xlookup(A284,'FLEET REGISTER'!$B:$B,'FLEET REGISTER'!$F:$F),"Unknown"))</f>
        <v/>
      </c>
      <c r="G284" s="200" t="n"/>
      <c r="H284" s="200" t="n"/>
      <c r="I284" s="200" t="n"/>
      <c r="J284" s="200" t="n"/>
      <c r="K284" s="200" t="n"/>
      <c r="L284" s="200" t="n"/>
    </row>
    <row r="285" ht="15" customHeight="1" s="122">
      <c r="E285" s="170">
        <f>IF(A285="","",IFERROR(xlookup(A285,'FLEET REGISTER'!$B:$B,'FLEET REGISTER'!$D:$D),"Unknown"))</f>
        <v/>
      </c>
      <c r="F285" s="170">
        <f>IF(A285="","",IFERROR(xlookup(A285,'FLEET REGISTER'!$B:$B,'FLEET REGISTER'!$F:$F),"Unknown"))</f>
        <v/>
      </c>
      <c r="G285" s="200" t="n"/>
      <c r="H285" s="200" t="n"/>
      <c r="I285" s="200" t="n"/>
      <c r="J285" s="200" t="n"/>
      <c r="K285" s="200" t="n"/>
      <c r="L285" s="200" t="n"/>
    </row>
    <row r="286" ht="15" customHeight="1" s="122">
      <c r="E286" s="170">
        <f>IF(A286="","",IFERROR(xlookup(A286,'FLEET REGISTER'!$B:$B,'FLEET REGISTER'!$D:$D),"Unknown"))</f>
        <v/>
      </c>
      <c r="F286" s="170">
        <f>IF(A286="","",IFERROR(xlookup(A286,'FLEET REGISTER'!$B:$B,'FLEET REGISTER'!$F:$F),"Unknown"))</f>
        <v/>
      </c>
      <c r="G286" s="200" t="n"/>
      <c r="H286" s="200" t="n"/>
      <c r="I286" s="200" t="n"/>
      <c r="J286" s="200" t="n"/>
      <c r="K286" s="200" t="n"/>
      <c r="L286" s="200" t="n"/>
    </row>
    <row r="287" ht="15" customHeight="1" s="122">
      <c r="E287" s="170">
        <f>IF(A287="","",IFERROR(xlookup(A287,'FLEET REGISTER'!$B:$B,'FLEET REGISTER'!$D:$D),"Unknown"))</f>
        <v/>
      </c>
      <c r="F287" s="170">
        <f>IF(A287="","",IFERROR(xlookup(A287,'FLEET REGISTER'!$B:$B,'FLEET REGISTER'!$F:$F),"Unknown"))</f>
        <v/>
      </c>
      <c r="G287" s="200" t="n"/>
      <c r="H287" s="200" t="n"/>
      <c r="I287" s="200" t="n"/>
      <c r="J287" s="200" t="n"/>
      <c r="K287" s="200" t="n"/>
      <c r="L287" s="200" t="n"/>
    </row>
    <row r="288" ht="15" customHeight="1" s="122">
      <c r="E288" s="170">
        <f>IF(A288="","",IFERROR(xlookup(A288,'FLEET REGISTER'!$B:$B,'FLEET REGISTER'!$D:$D),"Unknown"))</f>
        <v/>
      </c>
      <c r="F288" s="170">
        <f>IF(A288="","",IFERROR(xlookup(A288,'FLEET REGISTER'!$B:$B,'FLEET REGISTER'!$F:$F),"Unknown"))</f>
        <v/>
      </c>
      <c r="G288" s="200" t="n"/>
      <c r="H288" s="200" t="n"/>
      <c r="I288" s="200" t="n"/>
      <c r="J288" s="200" t="n"/>
      <c r="K288" s="200" t="n"/>
      <c r="L288" s="200" t="n"/>
    </row>
    <row r="289" ht="15" customHeight="1" s="122">
      <c r="E289" s="170">
        <f>IF(A289="","",IFERROR(xlookup(A289,'FLEET REGISTER'!$B:$B,'FLEET REGISTER'!$D:$D),"Unknown"))</f>
        <v/>
      </c>
      <c r="F289" s="170">
        <f>IF(A289="","",IFERROR(xlookup(A289,'FLEET REGISTER'!$B:$B,'FLEET REGISTER'!$F:$F),"Unknown"))</f>
        <v/>
      </c>
      <c r="G289" s="200" t="n"/>
      <c r="H289" s="200" t="n"/>
      <c r="I289" s="200" t="n"/>
      <c r="J289" s="200" t="n"/>
      <c r="K289" s="200" t="n"/>
      <c r="L289" s="200" t="n"/>
    </row>
    <row r="290" ht="15" customHeight="1" s="122">
      <c r="E290" s="170">
        <f>IF(A290="","",IFERROR(xlookup(A290,'FLEET REGISTER'!$B:$B,'FLEET REGISTER'!$D:$D),"Unknown"))</f>
        <v/>
      </c>
      <c r="F290" s="170">
        <f>IF(A290="","",IFERROR(xlookup(A290,'FLEET REGISTER'!$B:$B,'FLEET REGISTER'!$F:$F),"Unknown"))</f>
        <v/>
      </c>
      <c r="G290" s="200" t="n"/>
      <c r="H290" s="200" t="n"/>
      <c r="I290" s="200" t="n"/>
      <c r="J290" s="200" t="n"/>
      <c r="K290" s="200" t="n"/>
      <c r="L290" s="200" t="n"/>
    </row>
    <row r="291" ht="15" customHeight="1" s="122">
      <c r="E291" s="170">
        <f>IF(A291="","",IFERROR(xlookup(A291,'FLEET REGISTER'!$B:$B,'FLEET REGISTER'!$D:$D),"Unknown"))</f>
        <v/>
      </c>
      <c r="F291" s="170">
        <f>IF(A291="","",IFERROR(xlookup(A291,'FLEET REGISTER'!$B:$B,'FLEET REGISTER'!$F:$F),"Unknown"))</f>
        <v/>
      </c>
      <c r="G291" s="200" t="n"/>
      <c r="H291" s="200" t="n"/>
      <c r="I291" s="200" t="n"/>
      <c r="J291" s="200" t="n"/>
      <c r="K291" s="200" t="n"/>
      <c r="L291" s="200" t="n"/>
    </row>
    <row r="292" ht="15" customHeight="1" s="122">
      <c r="E292" s="170">
        <f>IF(A292="","",IFERROR(xlookup(A292,'FLEET REGISTER'!$B:$B,'FLEET REGISTER'!$D:$D),"Unknown"))</f>
        <v/>
      </c>
      <c r="F292" s="170">
        <f>IF(A292="","",IFERROR(xlookup(A292,'FLEET REGISTER'!$B:$B,'FLEET REGISTER'!$F:$F),"Unknown"))</f>
        <v/>
      </c>
      <c r="G292" s="200" t="n"/>
      <c r="H292" s="200" t="n"/>
      <c r="I292" s="200" t="n"/>
      <c r="J292" s="200" t="n"/>
      <c r="K292" s="200" t="n"/>
      <c r="L292" s="200" t="n"/>
    </row>
    <row r="293" ht="15" customHeight="1" s="122">
      <c r="E293" s="170">
        <f>IF(A293="","",IFERROR(xlookup(A293,'FLEET REGISTER'!$B:$B,'FLEET REGISTER'!$D:$D),"Unknown"))</f>
        <v/>
      </c>
      <c r="F293" s="170">
        <f>IF(A293="","",IFERROR(xlookup(A293,'FLEET REGISTER'!$B:$B,'FLEET REGISTER'!$F:$F),"Unknown"))</f>
        <v/>
      </c>
      <c r="G293" s="200" t="n"/>
      <c r="H293" s="200" t="n"/>
      <c r="I293" s="200" t="n"/>
      <c r="J293" s="200" t="n"/>
      <c r="K293" s="200" t="n"/>
      <c r="L293" s="200" t="n"/>
    </row>
    <row r="294" ht="15" customHeight="1" s="122">
      <c r="E294" s="170">
        <f>IF(A294="","",IFERROR(xlookup(A294,'FLEET REGISTER'!$B:$B,'FLEET REGISTER'!$D:$D),"Unknown"))</f>
        <v/>
      </c>
      <c r="F294" s="170">
        <f>IF(A294="","",IFERROR(xlookup(A294,'FLEET REGISTER'!$B:$B,'FLEET REGISTER'!$F:$F),"Unknown"))</f>
        <v/>
      </c>
      <c r="G294" s="200" t="n"/>
      <c r="H294" s="200" t="n"/>
      <c r="I294" s="200" t="n"/>
      <c r="J294" s="200" t="n"/>
      <c r="K294" s="200" t="n"/>
      <c r="L294" s="200" t="n"/>
    </row>
    <row r="295" ht="15" customHeight="1" s="122">
      <c r="E295" s="170">
        <f>IF(A295="","",IFERROR(xlookup(A295,'FLEET REGISTER'!$B:$B,'FLEET REGISTER'!$D:$D),"Unknown"))</f>
        <v/>
      </c>
      <c r="F295" s="170">
        <f>IF(A295="","",IFERROR(xlookup(A295,'FLEET REGISTER'!$B:$B,'FLEET REGISTER'!$F:$F),"Unknown"))</f>
        <v/>
      </c>
      <c r="G295" s="200" t="n"/>
      <c r="H295" s="200" t="n"/>
      <c r="I295" s="200" t="n"/>
      <c r="J295" s="200" t="n"/>
      <c r="K295" s="200" t="n"/>
      <c r="L295" s="200" t="n"/>
    </row>
    <row r="296" ht="15" customHeight="1" s="122">
      <c r="E296" s="170">
        <f>IF(A296="","",IFERROR(xlookup(A296,'FLEET REGISTER'!$B:$B,'FLEET REGISTER'!$D:$D),"Unknown"))</f>
        <v/>
      </c>
      <c r="F296" s="170">
        <f>IF(A296="","",IFERROR(xlookup(A296,'FLEET REGISTER'!$B:$B,'FLEET REGISTER'!$F:$F),"Unknown"))</f>
        <v/>
      </c>
      <c r="G296" s="200" t="n"/>
      <c r="H296" s="200" t="n"/>
      <c r="I296" s="200" t="n"/>
      <c r="J296" s="200" t="n"/>
      <c r="K296" s="200" t="n"/>
      <c r="L296" s="200" t="n"/>
    </row>
    <row r="297" ht="15" customHeight="1" s="122">
      <c r="E297" s="170">
        <f>IF(A297="","",IFERROR(xlookup(A297,'FLEET REGISTER'!$B:$B,'FLEET REGISTER'!$D:$D),"Unknown"))</f>
        <v/>
      </c>
      <c r="F297" s="170">
        <f>IF(A297="","",IFERROR(xlookup(A297,'FLEET REGISTER'!$B:$B,'FLEET REGISTER'!$F:$F),"Unknown"))</f>
        <v/>
      </c>
      <c r="G297" s="200" t="n"/>
      <c r="H297" s="200" t="n"/>
      <c r="I297" s="200" t="n"/>
      <c r="J297" s="200" t="n"/>
      <c r="K297" s="200" t="n"/>
      <c r="L297" s="200" t="n"/>
    </row>
    <row r="298" ht="15" customHeight="1" s="122">
      <c r="E298" s="170">
        <f>IF(A298="","",IFERROR(xlookup(A298,'FLEET REGISTER'!$B:$B,'FLEET REGISTER'!$D:$D),"Unknown"))</f>
        <v/>
      </c>
      <c r="F298" s="170">
        <f>IF(A298="","",IFERROR(xlookup(A298,'FLEET REGISTER'!$B:$B,'FLEET REGISTER'!$F:$F),"Unknown"))</f>
        <v/>
      </c>
      <c r="G298" s="200" t="n"/>
      <c r="H298" s="200" t="n"/>
      <c r="I298" s="200" t="n"/>
      <c r="J298" s="200" t="n"/>
      <c r="K298" s="200" t="n"/>
      <c r="L298" s="200" t="n"/>
    </row>
    <row r="299" ht="15" customHeight="1" s="122">
      <c r="E299" s="170">
        <f>IF(A299="","",IFERROR(xlookup(A299,'FLEET REGISTER'!$B:$B,'FLEET REGISTER'!$D:$D),"Unknown"))</f>
        <v/>
      </c>
      <c r="F299" s="170">
        <f>IF(A299="","",IFERROR(xlookup(A299,'FLEET REGISTER'!$B:$B,'FLEET REGISTER'!$F:$F),"Unknown"))</f>
        <v/>
      </c>
      <c r="G299" s="200" t="n"/>
      <c r="H299" s="200" t="n"/>
      <c r="I299" s="200" t="n"/>
      <c r="J299" s="200" t="n"/>
      <c r="K299" s="200" t="n"/>
      <c r="L299" s="200" t="n"/>
    </row>
    <row r="300" ht="15" customHeight="1" s="122">
      <c r="E300" s="170">
        <f>IF(A300="","",IFERROR(xlookup(A300,'FLEET REGISTER'!$B:$B,'FLEET REGISTER'!$D:$D),"Unknown"))</f>
        <v/>
      </c>
      <c r="F300" s="170">
        <f>IF(A300="","",IFERROR(xlookup(A300,'FLEET REGISTER'!$B:$B,'FLEET REGISTER'!$F:$F),"Unknown"))</f>
        <v/>
      </c>
      <c r="G300" s="200" t="n"/>
      <c r="H300" s="200" t="n"/>
      <c r="I300" s="200" t="n"/>
      <c r="J300" s="200" t="n"/>
      <c r="K300" s="200" t="n"/>
      <c r="L300" s="200" t="n"/>
    </row>
    <row r="301" ht="15" customHeight="1" s="122">
      <c r="E301" s="170">
        <f>IF(A301="","",IFERROR(xlookup(A301,'FLEET REGISTER'!$B:$B,'FLEET REGISTER'!$D:$D),"Unknown"))</f>
        <v/>
      </c>
      <c r="F301" s="170">
        <f>IF(A301="","",IFERROR(xlookup(A301,'FLEET REGISTER'!$B:$B,'FLEET REGISTER'!$F:$F),"Unknown"))</f>
        <v/>
      </c>
      <c r="G301" s="200" t="n"/>
      <c r="H301" s="200" t="n"/>
      <c r="I301" s="200" t="n"/>
      <c r="J301" s="200" t="n"/>
      <c r="K301" s="200" t="n"/>
      <c r="L301" s="200" t="n"/>
    </row>
    <row r="302" ht="15" customHeight="1" s="122">
      <c r="E302" s="170">
        <f>IF(A302="","",IFERROR(xlookup(A302,'FLEET REGISTER'!$B:$B,'FLEET REGISTER'!$D:$D),"Unknown"))</f>
        <v/>
      </c>
      <c r="F302" s="170">
        <f>IF(A302="","",IFERROR(xlookup(A302,'FLEET REGISTER'!$B:$B,'FLEET REGISTER'!$F:$F),"Unknown"))</f>
        <v/>
      </c>
      <c r="G302" s="200" t="n"/>
      <c r="H302" s="200" t="n"/>
      <c r="I302" s="200" t="n"/>
      <c r="J302" s="200" t="n"/>
      <c r="K302" s="200" t="n"/>
      <c r="L302" s="200" t="n"/>
    </row>
    <row r="303" ht="15" customHeight="1" s="122">
      <c r="E303" s="170">
        <f>IF(A303="","",IFERROR(xlookup(A303,'FLEET REGISTER'!$B:$B,'FLEET REGISTER'!$D:$D),"Unknown"))</f>
        <v/>
      </c>
      <c r="F303" s="170">
        <f>IF(A303="","",IFERROR(xlookup(A303,'FLEET REGISTER'!$B:$B,'FLEET REGISTER'!$F:$F),"Unknown"))</f>
        <v/>
      </c>
      <c r="G303" s="200" t="n"/>
      <c r="H303" s="200" t="n"/>
      <c r="I303" s="200" t="n"/>
      <c r="J303" s="200" t="n"/>
      <c r="K303" s="200" t="n"/>
      <c r="L303" s="200" t="n"/>
    </row>
    <row r="304" ht="15" customHeight="1" s="122">
      <c r="E304" s="170">
        <f>IF(A304="","",IFERROR(xlookup(A304,'FLEET REGISTER'!$B:$B,'FLEET REGISTER'!$D:$D),"Unknown"))</f>
        <v/>
      </c>
      <c r="F304" s="170">
        <f>IF(A304="","",IFERROR(xlookup(A304,'FLEET REGISTER'!$B:$B,'FLEET REGISTER'!$F:$F),"Unknown"))</f>
        <v/>
      </c>
      <c r="G304" s="200" t="n"/>
      <c r="H304" s="200" t="n"/>
      <c r="I304" s="200" t="n"/>
      <c r="J304" s="200" t="n"/>
      <c r="K304" s="200" t="n"/>
      <c r="L304" s="200" t="n"/>
    </row>
    <row r="305" ht="15" customHeight="1" s="122">
      <c r="E305" s="170">
        <f>IF(A305="","",IFERROR(xlookup(A305,'FLEET REGISTER'!$B:$B,'FLEET REGISTER'!$D:$D),"Unknown"))</f>
        <v/>
      </c>
      <c r="F305" s="170">
        <f>IF(A305="","",IFERROR(xlookup(A305,'FLEET REGISTER'!$B:$B,'FLEET REGISTER'!$F:$F),"Unknown"))</f>
        <v/>
      </c>
      <c r="G305" s="200" t="n"/>
      <c r="H305" s="200" t="n"/>
      <c r="I305" s="200" t="n"/>
      <c r="J305" s="200" t="n"/>
      <c r="K305" s="200" t="n"/>
      <c r="L305" s="200" t="n"/>
    </row>
    <row r="306" ht="15" customHeight="1" s="122">
      <c r="E306" s="170">
        <f>IF(A306="","",IFERROR(xlookup(A306,'FLEET REGISTER'!$B:$B,'FLEET REGISTER'!$D:$D),"Unknown"))</f>
        <v/>
      </c>
      <c r="F306" s="170">
        <f>IF(A306="","",IFERROR(xlookup(A306,'FLEET REGISTER'!$B:$B,'FLEET REGISTER'!$F:$F),"Unknown"))</f>
        <v/>
      </c>
      <c r="G306" s="200" t="n"/>
      <c r="H306" s="200" t="n"/>
      <c r="I306" s="200" t="n"/>
      <c r="J306" s="200" t="n"/>
      <c r="K306" s="200" t="n"/>
      <c r="L306" s="200" t="n"/>
    </row>
    <row r="307" ht="15" customHeight="1" s="122">
      <c r="E307" s="170">
        <f>IF(A307="","",IFERROR(xlookup(A307,'FLEET REGISTER'!$B:$B,'FLEET REGISTER'!$D:$D),"Unknown"))</f>
        <v/>
      </c>
      <c r="F307" s="170">
        <f>IF(A307="","",IFERROR(xlookup(A307,'FLEET REGISTER'!$B:$B,'FLEET REGISTER'!$F:$F),"Unknown"))</f>
        <v/>
      </c>
      <c r="G307" s="200" t="n"/>
      <c r="H307" s="200" t="n"/>
      <c r="I307" s="200" t="n"/>
      <c r="J307" s="200" t="n"/>
      <c r="K307" s="200" t="n"/>
      <c r="L307" s="200" t="n"/>
    </row>
    <row r="308" ht="15" customHeight="1" s="122">
      <c r="E308" s="170">
        <f>IF(A308="","",IFERROR(xlookup(A308,'FLEET REGISTER'!$B:$B,'FLEET REGISTER'!$D:$D),"Unknown"))</f>
        <v/>
      </c>
      <c r="F308" s="170">
        <f>IF(A308="","",IFERROR(xlookup(A308,'FLEET REGISTER'!$B:$B,'FLEET REGISTER'!$F:$F),"Unknown"))</f>
        <v/>
      </c>
      <c r="G308" s="200" t="n"/>
      <c r="H308" s="200" t="n"/>
      <c r="I308" s="200" t="n"/>
      <c r="J308" s="200" t="n"/>
      <c r="K308" s="200" t="n"/>
      <c r="L308" s="200" t="n"/>
    </row>
    <row r="309" ht="15" customHeight="1" s="122">
      <c r="E309" s="170">
        <f>IF(A309="","",IFERROR(xlookup(A309,'FLEET REGISTER'!$B:$B,'FLEET REGISTER'!$D:$D),"Unknown"))</f>
        <v/>
      </c>
      <c r="F309" s="170">
        <f>IF(A309="","",IFERROR(xlookup(A309,'FLEET REGISTER'!$B:$B,'FLEET REGISTER'!$F:$F),"Unknown"))</f>
        <v/>
      </c>
      <c r="G309" s="200" t="n"/>
      <c r="H309" s="200" t="n"/>
      <c r="I309" s="200" t="n"/>
      <c r="J309" s="200" t="n"/>
      <c r="K309" s="200" t="n"/>
      <c r="L309" s="200" t="n"/>
    </row>
    <row r="310" ht="15" customHeight="1" s="122">
      <c r="E310" s="170">
        <f>IF(A310="","",IFERROR(xlookup(A310,'FLEET REGISTER'!$B:$B,'FLEET REGISTER'!$D:$D),"Unknown"))</f>
        <v/>
      </c>
      <c r="F310" s="170">
        <f>IF(A310="","",IFERROR(xlookup(A310,'FLEET REGISTER'!$B:$B,'FLEET REGISTER'!$F:$F),"Unknown"))</f>
        <v/>
      </c>
      <c r="G310" s="200" t="n"/>
      <c r="H310" s="200" t="n"/>
      <c r="I310" s="200" t="n"/>
      <c r="J310" s="200" t="n"/>
      <c r="K310" s="200" t="n"/>
      <c r="L310" s="200" t="n"/>
    </row>
    <row r="311" ht="15" customHeight="1" s="122">
      <c r="E311" s="170">
        <f>IF(A311="","",IFERROR(xlookup(A311,'FLEET REGISTER'!$B:$B,'FLEET REGISTER'!$D:$D),"Unknown"))</f>
        <v/>
      </c>
      <c r="F311" s="170">
        <f>IF(A311="","",IFERROR(xlookup(A311,'FLEET REGISTER'!$B:$B,'FLEET REGISTER'!$F:$F),"Unknown"))</f>
        <v/>
      </c>
      <c r="G311" s="200" t="n"/>
      <c r="H311" s="200" t="n"/>
      <c r="I311" s="200" t="n"/>
      <c r="J311" s="200" t="n"/>
      <c r="K311" s="200" t="n"/>
      <c r="L311" s="200" t="n"/>
    </row>
    <row r="312" ht="15" customHeight="1" s="122">
      <c r="E312" s="170">
        <f>IF(A312="","",IFERROR(xlookup(A312,'FLEET REGISTER'!$B:$B,'FLEET REGISTER'!$D:$D),"Unknown"))</f>
        <v/>
      </c>
      <c r="F312" s="170">
        <f>IF(A312="","",IFERROR(xlookup(A312,'FLEET REGISTER'!$B:$B,'FLEET REGISTER'!$F:$F),"Unknown"))</f>
        <v/>
      </c>
      <c r="G312" s="200" t="n"/>
      <c r="H312" s="200" t="n"/>
      <c r="I312" s="200" t="n"/>
      <c r="J312" s="200" t="n"/>
      <c r="K312" s="200" t="n"/>
      <c r="L312" s="200" t="n"/>
    </row>
    <row r="313" ht="15" customHeight="1" s="122">
      <c r="E313" s="170">
        <f>IF(A313="","",IFERROR(xlookup(A313,'FLEET REGISTER'!$B:$B,'FLEET REGISTER'!$D:$D),"Unknown"))</f>
        <v/>
      </c>
      <c r="F313" s="170">
        <f>IF(A313="","",IFERROR(xlookup(A313,'FLEET REGISTER'!$B:$B,'FLEET REGISTER'!$F:$F),"Unknown"))</f>
        <v/>
      </c>
      <c r="G313" s="200" t="n"/>
      <c r="H313" s="200" t="n"/>
      <c r="I313" s="200" t="n"/>
      <c r="J313" s="200" t="n"/>
      <c r="K313" s="200" t="n"/>
      <c r="L313" s="200" t="n"/>
    </row>
    <row r="314" ht="15" customHeight="1" s="122">
      <c r="E314" s="170">
        <f>IF(A314="","",IFERROR(xlookup(A314,'FLEET REGISTER'!$B:$B,'FLEET REGISTER'!$D:$D),"Unknown"))</f>
        <v/>
      </c>
      <c r="F314" s="170">
        <f>IF(A314="","",IFERROR(xlookup(A314,'FLEET REGISTER'!$B:$B,'FLEET REGISTER'!$F:$F),"Unknown"))</f>
        <v/>
      </c>
      <c r="G314" s="200" t="n"/>
      <c r="H314" s="200" t="n"/>
      <c r="I314" s="200" t="n"/>
      <c r="J314" s="200" t="n"/>
      <c r="K314" s="200" t="n"/>
      <c r="L314" s="200" t="n"/>
    </row>
    <row r="315" ht="15" customHeight="1" s="122">
      <c r="E315" s="170">
        <f>IF(A315="","",IFERROR(xlookup(A315,'FLEET REGISTER'!$B:$B,'FLEET REGISTER'!$D:$D),"Unknown"))</f>
        <v/>
      </c>
      <c r="F315" s="170">
        <f>IF(A315="","",IFERROR(xlookup(A315,'FLEET REGISTER'!$B:$B,'FLEET REGISTER'!$F:$F),"Unknown"))</f>
        <v/>
      </c>
      <c r="G315" s="200" t="n"/>
      <c r="H315" s="200" t="n"/>
      <c r="I315" s="200" t="n"/>
      <c r="J315" s="200" t="n"/>
      <c r="K315" s="200" t="n"/>
      <c r="L315" s="200" t="n"/>
    </row>
    <row r="316" ht="15" customHeight="1" s="122">
      <c r="E316" s="170">
        <f>IF(A316="","",IFERROR(xlookup(A316,'FLEET REGISTER'!$B:$B,'FLEET REGISTER'!$D:$D),"Unknown"))</f>
        <v/>
      </c>
      <c r="F316" s="170">
        <f>IF(A316="","",IFERROR(xlookup(A316,'FLEET REGISTER'!$B:$B,'FLEET REGISTER'!$F:$F),"Unknown"))</f>
        <v/>
      </c>
      <c r="G316" s="200" t="n"/>
      <c r="H316" s="200" t="n"/>
      <c r="I316" s="200" t="n"/>
      <c r="J316" s="200" t="n"/>
      <c r="K316" s="200" t="n"/>
      <c r="L316" s="200" t="n"/>
    </row>
    <row r="317" ht="15" customHeight="1" s="122">
      <c r="E317" s="170">
        <f>IF(A317="","",IFERROR(xlookup(A317,'FLEET REGISTER'!$B:$B,'FLEET REGISTER'!$D:$D),"Unknown"))</f>
        <v/>
      </c>
      <c r="F317" s="170">
        <f>IF(A317="","",IFERROR(xlookup(A317,'FLEET REGISTER'!$B:$B,'FLEET REGISTER'!$F:$F),"Unknown"))</f>
        <v/>
      </c>
      <c r="G317" s="200" t="n"/>
      <c r="H317" s="200" t="n"/>
      <c r="I317" s="200" t="n"/>
      <c r="J317" s="200" t="n"/>
      <c r="K317" s="200" t="n"/>
      <c r="L317" s="200" t="n"/>
    </row>
    <row r="318" ht="15" customHeight="1" s="122">
      <c r="E318" s="170">
        <f>IF(A318="","",IFERROR(xlookup(A318,'FLEET REGISTER'!$B:$B,'FLEET REGISTER'!$D:$D),"Unknown"))</f>
        <v/>
      </c>
      <c r="F318" s="170">
        <f>IF(A318="","",IFERROR(xlookup(A318,'FLEET REGISTER'!$B:$B,'FLEET REGISTER'!$F:$F),"Unknown"))</f>
        <v/>
      </c>
      <c r="G318" s="200" t="n"/>
      <c r="H318" s="200" t="n"/>
      <c r="I318" s="200" t="n"/>
      <c r="J318" s="200" t="n"/>
      <c r="K318" s="200" t="n"/>
      <c r="L318" s="200" t="n"/>
    </row>
    <row r="319" ht="15" customHeight="1" s="122">
      <c r="E319" s="170">
        <f>IF(A319="","",IFERROR(xlookup(A319,'FLEET REGISTER'!$B:$B,'FLEET REGISTER'!$D:$D),"Unknown"))</f>
        <v/>
      </c>
      <c r="F319" s="170">
        <f>IF(A319="","",IFERROR(xlookup(A319,'FLEET REGISTER'!$B:$B,'FLEET REGISTER'!$F:$F),"Unknown"))</f>
        <v/>
      </c>
      <c r="G319" s="200" t="n"/>
      <c r="H319" s="200" t="n"/>
      <c r="I319" s="200" t="n"/>
      <c r="J319" s="200" t="n"/>
      <c r="K319" s="200" t="n"/>
      <c r="L319" s="200" t="n"/>
    </row>
    <row r="320" ht="15" customHeight="1" s="122">
      <c r="E320" s="170">
        <f>IF(A320="","",IFERROR(xlookup(A320,'FLEET REGISTER'!$B:$B,'FLEET REGISTER'!$D:$D),"Unknown"))</f>
        <v/>
      </c>
      <c r="F320" s="170">
        <f>IF(A320="","",IFERROR(xlookup(A320,'FLEET REGISTER'!$B:$B,'FLEET REGISTER'!$F:$F),"Unknown"))</f>
        <v/>
      </c>
      <c r="G320" s="200" t="n"/>
      <c r="H320" s="200" t="n"/>
      <c r="I320" s="200" t="n"/>
      <c r="J320" s="200" t="n"/>
      <c r="K320" s="200" t="n"/>
      <c r="L320" s="200" t="n"/>
    </row>
    <row r="321" ht="15" customHeight="1" s="122">
      <c r="E321" s="170">
        <f>IF(A321="","",IFERROR(xlookup(A321,'FLEET REGISTER'!$B:$B,'FLEET REGISTER'!$D:$D),"Unknown"))</f>
        <v/>
      </c>
      <c r="F321" s="170">
        <f>IF(A321="","",IFERROR(xlookup(A321,'FLEET REGISTER'!$B:$B,'FLEET REGISTER'!$F:$F),"Unknown"))</f>
        <v/>
      </c>
      <c r="G321" s="200" t="n"/>
      <c r="H321" s="200" t="n"/>
      <c r="I321" s="200" t="n"/>
      <c r="J321" s="200" t="n"/>
      <c r="K321" s="200" t="n"/>
      <c r="L321" s="200" t="n"/>
    </row>
    <row r="322" ht="15" customHeight="1" s="122">
      <c r="E322" s="170">
        <f>IF(A322="","",IFERROR(xlookup(A322,'FLEET REGISTER'!$B:$B,'FLEET REGISTER'!$D:$D),"Unknown"))</f>
        <v/>
      </c>
      <c r="F322" s="170">
        <f>IF(A322="","",IFERROR(xlookup(A322,'FLEET REGISTER'!$B:$B,'FLEET REGISTER'!$F:$F),"Unknown"))</f>
        <v/>
      </c>
      <c r="G322" s="200" t="n"/>
      <c r="H322" s="200" t="n"/>
      <c r="I322" s="200" t="n"/>
      <c r="J322" s="200" t="n"/>
      <c r="K322" s="200" t="n"/>
      <c r="L322" s="200" t="n"/>
    </row>
    <row r="323" ht="15" customHeight="1" s="122">
      <c r="E323" s="170">
        <f>IF(A323="","",IFERROR(xlookup(A323,'FLEET REGISTER'!$B:$B,'FLEET REGISTER'!$D:$D),"Unknown"))</f>
        <v/>
      </c>
      <c r="F323" s="170">
        <f>IF(A323="","",IFERROR(xlookup(A323,'FLEET REGISTER'!$B:$B,'FLEET REGISTER'!$F:$F),"Unknown"))</f>
        <v/>
      </c>
      <c r="G323" s="200" t="n"/>
      <c r="H323" s="200" t="n"/>
      <c r="I323" s="200" t="n"/>
      <c r="J323" s="200" t="n"/>
      <c r="K323" s="200" t="n"/>
      <c r="L323" s="200" t="n"/>
    </row>
    <row r="324" ht="15" customHeight="1" s="122">
      <c r="E324" s="170">
        <f>IF(A324="","",IFERROR(xlookup(A324,'FLEET REGISTER'!$B:$B,'FLEET REGISTER'!$D:$D),"Unknown"))</f>
        <v/>
      </c>
      <c r="F324" s="170">
        <f>IF(A324="","",IFERROR(xlookup(A324,'FLEET REGISTER'!$B:$B,'FLEET REGISTER'!$F:$F),"Unknown"))</f>
        <v/>
      </c>
      <c r="G324" s="200" t="n"/>
      <c r="H324" s="200" t="n"/>
      <c r="I324" s="200" t="n"/>
      <c r="J324" s="200" t="n"/>
      <c r="K324" s="200" t="n"/>
      <c r="L324" s="200" t="n"/>
    </row>
    <row r="325" ht="15" customHeight="1" s="122">
      <c r="E325" s="170">
        <f>IF(A325="","",IFERROR(xlookup(A325,'FLEET REGISTER'!$B:$B,'FLEET REGISTER'!$D:$D),"Unknown"))</f>
        <v/>
      </c>
      <c r="F325" s="170">
        <f>IF(A325="","",IFERROR(xlookup(A325,'FLEET REGISTER'!$B:$B,'FLEET REGISTER'!$F:$F),"Unknown"))</f>
        <v/>
      </c>
      <c r="G325" s="200" t="n"/>
      <c r="H325" s="200" t="n"/>
      <c r="I325" s="200" t="n"/>
      <c r="J325" s="200" t="n"/>
      <c r="K325" s="200" t="n"/>
      <c r="L325" s="200" t="n"/>
    </row>
    <row r="326" ht="15" customHeight="1" s="122">
      <c r="E326" s="170">
        <f>IF(A326="","",IFERROR(xlookup(A326,'FLEET REGISTER'!$B:$B,'FLEET REGISTER'!$D:$D),"Unknown"))</f>
        <v/>
      </c>
      <c r="F326" s="170">
        <f>IF(A326="","",IFERROR(xlookup(A326,'FLEET REGISTER'!$B:$B,'FLEET REGISTER'!$F:$F),"Unknown"))</f>
        <v/>
      </c>
      <c r="G326" s="200" t="n"/>
      <c r="H326" s="200" t="n"/>
      <c r="I326" s="200" t="n"/>
      <c r="J326" s="200" t="n"/>
      <c r="K326" s="200" t="n"/>
      <c r="L326" s="200" t="n"/>
    </row>
    <row r="327" ht="15" customHeight="1" s="122">
      <c r="E327" s="170">
        <f>IF(A327="","",IFERROR(xlookup(A327,'FLEET REGISTER'!$B:$B,'FLEET REGISTER'!$D:$D),"Unknown"))</f>
        <v/>
      </c>
      <c r="F327" s="170">
        <f>IF(A327="","",IFERROR(xlookup(A327,'FLEET REGISTER'!$B:$B,'FLEET REGISTER'!$F:$F),"Unknown"))</f>
        <v/>
      </c>
      <c r="G327" s="200" t="n"/>
      <c r="H327" s="200" t="n"/>
      <c r="I327" s="200" t="n"/>
      <c r="J327" s="200" t="n"/>
      <c r="K327" s="200" t="n"/>
      <c r="L327" s="200" t="n"/>
    </row>
    <row r="328" ht="15" customHeight="1" s="122">
      <c r="E328" s="170">
        <f>IF(A328="","",IFERROR(xlookup(A328,'FLEET REGISTER'!$B:$B,'FLEET REGISTER'!$D:$D),"Unknown"))</f>
        <v/>
      </c>
      <c r="F328" s="170">
        <f>IF(A328="","",IFERROR(xlookup(A328,'FLEET REGISTER'!$B:$B,'FLEET REGISTER'!$F:$F),"Unknown"))</f>
        <v/>
      </c>
      <c r="G328" s="200" t="n"/>
      <c r="H328" s="200" t="n"/>
      <c r="I328" s="200" t="n"/>
      <c r="J328" s="200" t="n"/>
      <c r="K328" s="200" t="n"/>
      <c r="L328" s="200" t="n"/>
    </row>
    <row r="329" ht="15" customHeight="1" s="122">
      <c r="E329" s="170">
        <f>IF(A329="","",IFERROR(xlookup(A329,'FLEET REGISTER'!$B:$B,'FLEET REGISTER'!$D:$D),"Unknown"))</f>
        <v/>
      </c>
      <c r="F329" s="170">
        <f>IF(A329="","",IFERROR(xlookup(A329,'FLEET REGISTER'!$B:$B,'FLEET REGISTER'!$F:$F),"Unknown"))</f>
        <v/>
      </c>
      <c r="G329" s="200" t="n"/>
      <c r="H329" s="200" t="n"/>
      <c r="I329" s="200" t="n"/>
      <c r="J329" s="200" t="n"/>
      <c r="K329" s="200" t="n"/>
      <c r="L329" s="200" t="n"/>
    </row>
    <row r="330" ht="15" customHeight="1" s="122">
      <c r="E330" s="170">
        <f>IF(A330="","",IFERROR(xlookup(A330,'FLEET REGISTER'!$B:$B,'FLEET REGISTER'!$D:$D),"Unknown"))</f>
        <v/>
      </c>
      <c r="F330" s="170">
        <f>IF(A330="","",IFERROR(xlookup(A330,'FLEET REGISTER'!$B:$B,'FLEET REGISTER'!$F:$F),"Unknown"))</f>
        <v/>
      </c>
      <c r="G330" s="200" t="n"/>
      <c r="H330" s="200" t="n"/>
      <c r="I330" s="200" t="n"/>
      <c r="J330" s="200" t="n"/>
      <c r="K330" s="200" t="n"/>
      <c r="L330" s="200" t="n"/>
    </row>
    <row r="331" ht="15" customHeight="1" s="122">
      <c r="E331" s="170">
        <f>IF(A331="","",IFERROR(xlookup(A331,'FLEET REGISTER'!$B:$B,'FLEET REGISTER'!$D:$D),"Unknown"))</f>
        <v/>
      </c>
      <c r="F331" s="170">
        <f>IF(A331="","",IFERROR(xlookup(A331,'FLEET REGISTER'!$B:$B,'FLEET REGISTER'!$F:$F),"Unknown"))</f>
        <v/>
      </c>
      <c r="G331" s="200" t="n"/>
      <c r="H331" s="200" t="n"/>
      <c r="I331" s="200" t="n"/>
      <c r="J331" s="200" t="n"/>
      <c r="K331" s="200" t="n"/>
      <c r="L331" s="200" t="n"/>
    </row>
    <row r="332" ht="15" customHeight="1" s="122">
      <c r="E332" s="170">
        <f>IF(A332="","",IFERROR(xlookup(A332,'FLEET REGISTER'!$B:$B,'FLEET REGISTER'!$D:$D),"Unknown"))</f>
        <v/>
      </c>
      <c r="F332" s="170">
        <f>IF(A332="","",IFERROR(xlookup(A332,'FLEET REGISTER'!$B:$B,'FLEET REGISTER'!$F:$F),"Unknown"))</f>
        <v/>
      </c>
      <c r="G332" s="200" t="n"/>
      <c r="H332" s="200" t="n"/>
      <c r="I332" s="200" t="n"/>
      <c r="J332" s="200" t="n"/>
      <c r="K332" s="200" t="n"/>
      <c r="L332" s="200" t="n"/>
    </row>
    <row r="333" ht="15" customHeight="1" s="122">
      <c r="E333" s="170">
        <f>IF(A333="","",IFERROR(xlookup(A333,'FLEET REGISTER'!$B:$B,'FLEET REGISTER'!$D:$D),"Unknown"))</f>
        <v/>
      </c>
      <c r="F333" s="170">
        <f>IF(A333="","",IFERROR(xlookup(A333,'FLEET REGISTER'!$B:$B,'FLEET REGISTER'!$F:$F),"Unknown"))</f>
        <v/>
      </c>
      <c r="G333" s="200" t="n"/>
      <c r="H333" s="200" t="n"/>
      <c r="I333" s="200" t="n"/>
      <c r="J333" s="200" t="n"/>
      <c r="K333" s="200" t="n"/>
      <c r="L333" s="200" t="n"/>
    </row>
    <row r="334" ht="15" customHeight="1" s="122">
      <c r="E334" s="170">
        <f>IF(A334="","",IFERROR(xlookup(A334,'FLEET REGISTER'!$B:$B,'FLEET REGISTER'!$D:$D),"Unknown"))</f>
        <v/>
      </c>
      <c r="F334" s="170">
        <f>IF(A334="","",IFERROR(xlookup(A334,'FLEET REGISTER'!$B:$B,'FLEET REGISTER'!$F:$F),"Unknown"))</f>
        <v/>
      </c>
      <c r="G334" s="200" t="n"/>
      <c r="H334" s="200" t="n"/>
      <c r="I334" s="200" t="n"/>
      <c r="J334" s="200" t="n"/>
      <c r="K334" s="200" t="n"/>
      <c r="L334" s="200" t="n"/>
    </row>
    <row r="335" ht="15" customHeight="1" s="122">
      <c r="E335" s="170">
        <f>IF(A335="","",IFERROR(xlookup(A335,'FLEET REGISTER'!$B:$B,'FLEET REGISTER'!$D:$D),"Unknown"))</f>
        <v/>
      </c>
      <c r="F335" s="170">
        <f>IF(A335="","",IFERROR(xlookup(A335,'FLEET REGISTER'!$B:$B,'FLEET REGISTER'!$F:$F),"Unknown"))</f>
        <v/>
      </c>
      <c r="G335" s="200" t="n"/>
      <c r="H335" s="200" t="n"/>
      <c r="I335" s="200" t="n"/>
      <c r="J335" s="200" t="n"/>
      <c r="K335" s="200" t="n"/>
      <c r="L335" s="200" t="n"/>
    </row>
    <row r="336" ht="15" customHeight="1" s="122">
      <c r="E336" s="170">
        <f>IF(A336="","",IFERROR(xlookup(A336,'FLEET REGISTER'!$B:$B,'FLEET REGISTER'!$D:$D),"Unknown"))</f>
        <v/>
      </c>
      <c r="F336" s="170">
        <f>IF(A336="","",IFERROR(xlookup(A336,'FLEET REGISTER'!$B:$B,'FLEET REGISTER'!$F:$F),"Unknown"))</f>
        <v/>
      </c>
      <c r="G336" s="200" t="n"/>
      <c r="H336" s="200" t="n"/>
      <c r="I336" s="200" t="n"/>
      <c r="J336" s="200" t="n"/>
      <c r="K336" s="200" t="n"/>
      <c r="L336" s="200" t="n"/>
    </row>
    <row r="337" ht="15" customHeight="1" s="122">
      <c r="E337" s="170">
        <f>IF(A337="","",IFERROR(xlookup(A337,'FLEET REGISTER'!$B:$B,'FLEET REGISTER'!$D:$D),"Unknown"))</f>
        <v/>
      </c>
      <c r="F337" s="170">
        <f>IF(A337="","",IFERROR(xlookup(A337,'FLEET REGISTER'!$B:$B,'FLEET REGISTER'!$F:$F),"Unknown"))</f>
        <v/>
      </c>
      <c r="G337" s="200" t="n"/>
      <c r="H337" s="200" t="n"/>
      <c r="I337" s="200" t="n"/>
      <c r="J337" s="200" t="n"/>
      <c r="K337" s="200" t="n"/>
      <c r="L337" s="200" t="n"/>
    </row>
    <row r="338" ht="15" customHeight="1" s="122">
      <c r="E338" s="170">
        <f>IF(A338="","",IFERROR(xlookup(A338,'FLEET REGISTER'!$B:$B,'FLEET REGISTER'!$D:$D),"Unknown"))</f>
        <v/>
      </c>
      <c r="F338" s="170">
        <f>IF(A338="","",IFERROR(xlookup(A338,'FLEET REGISTER'!$B:$B,'FLEET REGISTER'!$F:$F),"Unknown"))</f>
        <v/>
      </c>
      <c r="G338" s="200" t="n"/>
      <c r="H338" s="200" t="n"/>
      <c r="I338" s="200" t="n"/>
      <c r="J338" s="200" t="n"/>
      <c r="K338" s="200" t="n"/>
      <c r="L338" s="200" t="n"/>
    </row>
    <row r="339" ht="15" customHeight="1" s="122">
      <c r="E339" s="170">
        <f>IF(A339="","",IFERROR(xlookup(A339,'FLEET REGISTER'!$B:$B,'FLEET REGISTER'!$D:$D),"Unknown"))</f>
        <v/>
      </c>
      <c r="F339" s="170">
        <f>IF(A339="","",IFERROR(xlookup(A339,'FLEET REGISTER'!$B:$B,'FLEET REGISTER'!$F:$F),"Unknown"))</f>
        <v/>
      </c>
      <c r="G339" s="200" t="n"/>
      <c r="H339" s="200" t="n"/>
      <c r="I339" s="200" t="n"/>
      <c r="J339" s="200" t="n"/>
      <c r="K339" s="200" t="n"/>
      <c r="L339" s="200" t="n"/>
    </row>
    <row r="340" ht="15" customHeight="1" s="122">
      <c r="E340" s="170">
        <f>IF(A340="","",IFERROR(xlookup(A340,'FLEET REGISTER'!$B:$B,'FLEET REGISTER'!$D:$D),"Unknown"))</f>
        <v/>
      </c>
      <c r="F340" s="170">
        <f>IF(A340="","",IFERROR(xlookup(A340,'FLEET REGISTER'!$B:$B,'FLEET REGISTER'!$F:$F),"Unknown"))</f>
        <v/>
      </c>
      <c r="G340" s="200" t="n"/>
      <c r="H340" s="200" t="n"/>
      <c r="I340" s="200" t="n"/>
      <c r="J340" s="200" t="n"/>
      <c r="K340" s="200" t="n"/>
      <c r="L340" s="200" t="n"/>
    </row>
    <row r="341" ht="15" customHeight="1" s="122">
      <c r="E341" s="170">
        <f>IF(A341="","",IFERROR(xlookup(A341,'FLEET REGISTER'!$B:$B,'FLEET REGISTER'!$D:$D),"Unknown"))</f>
        <v/>
      </c>
      <c r="F341" s="170">
        <f>IF(A341="","",IFERROR(xlookup(A341,'FLEET REGISTER'!$B:$B,'FLEET REGISTER'!$F:$F),"Unknown"))</f>
        <v/>
      </c>
      <c r="G341" s="200" t="n"/>
      <c r="H341" s="200" t="n"/>
      <c r="I341" s="200" t="n"/>
      <c r="J341" s="200" t="n"/>
      <c r="K341" s="200" t="n"/>
      <c r="L341" s="200" t="n"/>
    </row>
    <row r="342" ht="15" customHeight="1" s="122">
      <c r="E342" s="170">
        <f>IF(A342="","",IFERROR(xlookup(A342,'FLEET REGISTER'!$B:$B,'FLEET REGISTER'!$D:$D),"Unknown"))</f>
        <v/>
      </c>
      <c r="F342" s="170">
        <f>IF(A342="","",IFERROR(xlookup(A342,'FLEET REGISTER'!$B:$B,'FLEET REGISTER'!$F:$F),"Unknown"))</f>
        <v/>
      </c>
      <c r="G342" s="200" t="n"/>
      <c r="H342" s="200" t="n"/>
      <c r="I342" s="200" t="n"/>
      <c r="J342" s="200" t="n"/>
      <c r="K342" s="200" t="n"/>
      <c r="L342" s="200" t="n"/>
    </row>
    <row r="343" ht="15" customHeight="1" s="122">
      <c r="E343" s="170">
        <f>IF(A343="","",IFERROR(xlookup(A343,'FLEET REGISTER'!$B:$B,'FLEET REGISTER'!$D:$D),"Unknown"))</f>
        <v/>
      </c>
      <c r="F343" s="170">
        <f>IF(A343="","",IFERROR(xlookup(A343,'FLEET REGISTER'!$B:$B,'FLEET REGISTER'!$F:$F),"Unknown"))</f>
        <v/>
      </c>
      <c r="G343" s="200" t="n"/>
      <c r="H343" s="200" t="n"/>
      <c r="I343" s="200" t="n"/>
      <c r="J343" s="200" t="n"/>
      <c r="K343" s="200" t="n"/>
      <c r="L343" s="200" t="n"/>
    </row>
    <row r="344" ht="15" customHeight="1" s="122">
      <c r="E344" s="170">
        <f>IF(A344="","",IFERROR(xlookup(A344,'FLEET REGISTER'!$B:$B,'FLEET REGISTER'!$D:$D),"Unknown"))</f>
        <v/>
      </c>
      <c r="F344" s="170">
        <f>IF(A344="","",IFERROR(xlookup(A344,'FLEET REGISTER'!$B:$B,'FLEET REGISTER'!$F:$F),"Unknown"))</f>
        <v/>
      </c>
      <c r="G344" s="200" t="n"/>
      <c r="H344" s="200" t="n"/>
      <c r="I344" s="200" t="n"/>
      <c r="J344" s="200" t="n"/>
      <c r="K344" s="200" t="n"/>
      <c r="L344" s="200" t="n"/>
    </row>
    <row r="345" ht="15" customHeight="1" s="122">
      <c r="E345" s="170">
        <f>IF(A345="","",IFERROR(xlookup(A345,'FLEET REGISTER'!$B:$B,'FLEET REGISTER'!$D:$D),"Unknown"))</f>
        <v/>
      </c>
      <c r="F345" s="170">
        <f>IF(A345="","",IFERROR(xlookup(A345,'FLEET REGISTER'!$B:$B,'FLEET REGISTER'!$F:$F),"Unknown"))</f>
        <v/>
      </c>
      <c r="G345" s="200" t="n"/>
      <c r="H345" s="200" t="n"/>
      <c r="I345" s="200" t="n"/>
      <c r="J345" s="200" t="n"/>
      <c r="K345" s="200" t="n"/>
      <c r="L345" s="200" t="n"/>
    </row>
    <row r="346" ht="15" customHeight="1" s="122">
      <c r="E346" s="170">
        <f>IF(A346="","",IFERROR(xlookup(A346,'FLEET REGISTER'!$B:$B,'FLEET REGISTER'!$D:$D),"Unknown"))</f>
        <v/>
      </c>
      <c r="F346" s="170">
        <f>IF(A346="","",IFERROR(xlookup(A346,'FLEET REGISTER'!$B:$B,'FLEET REGISTER'!$F:$F),"Unknown"))</f>
        <v/>
      </c>
      <c r="G346" s="200" t="n"/>
      <c r="H346" s="200" t="n"/>
      <c r="I346" s="200" t="n"/>
      <c r="J346" s="200" t="n"/>
      <c r="K346" s="200" t="n"/>
      <c r="L346" s="200" t="n"/>
    </row>
    <row r="347" ht="15" customHeight="1" s="122">
      <c r="E347" s="170">
        <f>IF(A347="","",IFERROR(xlookup(A347,'FLEET REGISTER'!$B:$B,'FLEET REGISTER'!$D:$D),"Unknown"))</f>
        <v/>
      </c>
      <c r="F347" s="170">
        <f>IF(A347="","",IFERROR(xlookup(A347,'FLEET REGISTER'!$B:$B,'FLEET REGISTER'!$F:$F),"Unknown"))</f>
        <v/>
      </c>
      <c r="G347" s="200" t="n"/>
      <c r="H347" s="200" t="n"/>
      <c r="I347" s="200" t="n"/>
      <c r="J347" s="200" t="n"/>
      <c r="K347" s="200" t="n"/>
      <c r="L347" s="200" t="n"/>
    </row>
    <row r="348" ht="15" customHeight="1" s="122">
      <c r="E348" s="170">
        <f>IF(A348="","",IFERROR(xlookup(A348,'FLEET REGISTER'!$B:$B,'FLEET REGISTER'!$D:$D),"Unknown"))</f>
        <v/>
      </c>
      <c r="F348" s="170">
        <f>IF(A348="","",IFERROR(xlookup(A348,'FLEET REGISTER'!$B:$B,'FLEET REGISTER'!$F:$F),"Unknown"))</f>
        <v/>
      </c>
      <c r="G348" s="200" t="n"/>
      <c r="H348" s="200" t="n"/>
      <c r="I348" s="200" t="n"/>
      <c r="J348" s="200" t="n"/>
      <c r="K348" s="200" t="n"/>
      <c r="L348" s="200" t="n"/>
    </row>
    <row r="349" ht="15" customHeight="1" s="122">
      <c r="E349" s="170">
        <f>IF(A349="","",IFERROR(xlookup(A349,'FLEET REGISTER'!$B:$B,'FLEET REGISTER'!$D:$D),"Unknown"))</f>
        <v/>
      </c>
      <c r="F349" s="170">
        <f>IF(A349="","",IFERROR(xlookup(A349,'FLEET REGISTER'!$B:$B,'FLEET REGISTER'!$F:$F),"Unknown"))</f>
        <v/>
      </c>
      <c r="G349" s="200" t="n"/>
      <c r="H349" s="200" t="n"/>
      <c r="I349" s="200" t="n"/>
      <c r="J349" s="200" t="n"/>
      <c r="K349" s="200" t="n"/>
      <c r="L349" s="200" t="n"/>
    </row>
    <row r="350" ht="15" customHeight="1" s="122">
      <c r="E350" s="170">
        <f>IF(A350="","",IFERROR(xlookup(A350,'FLEET REGISTER'!$B:$B,'FLEET REGISTER'!$D:$D),"Unknown"))</f>
        <v/>
      </c>
      <c r="F350" s="170">
        <f>IF(A350="","",IFERROR(xlookup(A350,'FLEET REGISTER'!$B:$B,'FLEET REGISTER'!$F:$F),"Unknown"))</f>
        <v/>
      </c>
      <c r="G350" s="200" t="n"/>
      <c r="H350" s="200" t="n"/>
      <c r="I350" s="200" t="n"/>
      <c r="J350" s="200" t="n"/>
      <c r="K350" s="200" t="n"/>
      <c r="L350" s="200" t="n"/>
    </row>
    <row r="351" ht="15" customHeight="1" s="122">
      <c r="E351" s="170">
        <f>IF(A351="","",IFERROR(xlookup(A351,'FLEET REGISTER'!$B:$B,'FLEET REGISTER'!$D:$D),"Unknown"))</f>
        <v/>
      </c>
      <c r="F351" s="170">
        <f>IF(A351="","",IFERROR(xlookup(A351,'FLEET REGISTER'!$B:$B,'FLEET REGISTER'!$F:$F),"Unknown"))</f>
        <v/>
      </c>
      <c r="G351" s="200" t="n"/>
      <c r="H351" s="200" t="n"/>
      <c r="I351" s="200" t="n"/>
      <c r="J351" s="200" t="n"/>
      <c r="K351" s="200" t="n"/>
      <c r="L351" s="200" t="n"/>
    </row>
    <row r="352" ht="15" customHeight="1" s="122">
      <c r="E352" s="170">
        <f>IF(A352="","",IFERROR(xlookup(A352,'FLEET REGISTER'!$B:$B,'FLEET REGISTER'!$D:$D),"Unknown"))</f>
        <v/>
      </c>
      <c r="F352" s="170">
        <f>IF(A352="","",IFERROR(xlookup(A352,'FLEET REGISTER'!$B:$B,'FLEET REGISTER'!$F:$F),"Unknown"))</f>
        <v/>
      </c>
      <c r="G352" s="200" t="n"/>
      <c r="H352" s="200" t="n"/>
      <c r="I352" s="200" t="n"/>
      <c r="J352" s="200" t="n"/>
      <c r="K352" s="200" t="n"/>
      <c r="L352" s="200" t="n"/>
    </row>
    <row r="353" ht="15" customHeight="1" s="122">
      <c r="E353" s="170">
        <f>IF(A353="","",IFERROR(xlookup(A353,'FLEET REGISTER'!$B:$B,'FLEET REGISTER'!$D:$D),"Unknown"))</f>
        <v/>
      </c>
      <c r="F353" s="170">
        <f>IF(A353="","",IFERROR(xlookup(A353,'FLEET REGISTER'!$B:$B,'FLEET REGISTER'!$F:$F),"Unknown"))</f>
        <v/>
      </c>
      <c r="G353" s="200" t="n"/>
      <c r="H353" s="200" t="n"/>
      <c r="I353" s="200" t="n"/>
      <c r="J353" s="200" t="n"/>
      <c r="K353" s="200" t="n"/>
      <c r="L353" s="200" t="n"/>
    </row>
    <row r="354" ht="15" customHeight="1" s="122">
      <c r="E354" s="170">
        <f>IF(A354="","",IFERROR(xlookup(A354,'FLEET REGISTER'!$B:$B,'FLEET REGISTER'!$D:$D),"Unknown"))</f>
        <v/>
      </c>
      <c r="F354" s="170">
        <f>IF(A354="","",IFERROR(xlookup(A354,'FLEET REGISTER'!$B:$B,'FLEET REGISTER'!$F:$F),"Unknown"))</f>
        <v/>
      </c>
      <c r="G354" s="200" t="n"/>
      <c r="H354" s="200" t="n"/>
      <c r="I354" s="200" t="n"/>
      <c r="J354" s="200" t="n"/>
      <c r="K354" s="200" t="n"/>
      <c r="L354" s="200" t="n"/>
    </row>
    <row r="355" ht="15" customHeight="1" s="122">
      <c r="E355" s="170">
        <f>IF(A355="","",IFERROR(xlookup(A355,'FLEET REGISTER'!$B:$B,'FLEET REGISTER'!$D:$D),"Unknown"))</f>
        <v/>
      </c>
      <c r="F355" s="170">
        <f>IF(A355="","",IFERROR(xlookup(A355,'FLEET REGISTER'!$B:$B,'FLEET REGISTER'!$F:$F),"Unknown"))</f>
        <v/>
      </c>
      <c r="G355" s="200" t="n"/>
      <c r="H355" s="200" t="n"/>
      <c r="I355" s="200" t="n"/>
      <c r="J355" s="200" t="n"/>
      <c r="K355" s="200" t="n"/>
      <c r="L355" s="200" t="n"/>
    </row>
    <row r="356" ht="15" customHeight="1" s="122">
      <c r="E356" s="170">
        <f>IF(A356="","",IFERROR(xlookup(A356,'FLEET REGISTER'!$B:$B,'FLEET REGISTER'!$D:$D),"Unknown"))</f>
        <v/>
      </c>
      <c r="F356" s="170">
        <f>IF(A356="","",IFERROR(xlookup(A356,'FLEET REGISTER'!$B:$B,'FLEET REGISTER'!$F:$F),"Unknown"))</f>
        <v/>
      </c>
      <c r="G356" s="200" t="n"/>
      <c r="H356" s="200" t="n"/>
      <c r="I356" s="200" t="n"/>
      <c r="J356" s="200" t="n"/>
      <c r="K356" s="200" t="n"/>
      <c r="L356" s="200" t="n"/>
    </row>
    <row r="357" ht="15" customHeight="1" s="122">
      <c r="E357" s="170">
        <f>IF(A357="","",IFERROR(xlookup(A357,'FLEET REGISTER'!$B:$B,'FLEET REGISTER'!$D:$D),"Unknown"))</f>
        <v/>
      </c>
      <c r="F357" s="170">
        <f>IF(A357="","",IFERROR(xlookup(A357,'FLEET REGISTER'!$B:$B,'FLEET REGISTER'!$F:$F),"Unknown"))</f>
        <v/>
      </c>
      <c r="G357" s="200" t="n"/>
      <c r="H357" s="200" t="n"/>
      <c r="I357" s="200" t="n"/>
      <c r="J357" s="200" t="n"/>
      <c r="K357" s="200" t="n"/>
      <c r="L357" s="200" t="n"/>
    </row>
    <row r="358" ht="15" customHeight="1" s="122">
      <c r="E358" s="170">
        <f>IF(A358="","",IFERROR(xlookup(A358,'FLEET REGISTER'!$B:$B,'FLEET REGISTER'!$D:$D),"Unknown"))</f>
        <v/>
      </c>
      <c r="F358" s="170">
        <f>IF(A358="","",IFERROR(xlookup(A358,'FLEET REGISTER'!$B:$B,'FLEET REGISTER'!$F:$F),"Unknown"))</f>
        <v/>
      </c>
      <c r="G358" s="200" t="n"/>
      <c r="H358" s="200" t="n"/>
      <c r="I358" s="200" t="n"/>
      <c r="J358" s="200" t="n"/>
      <c r="K358" s="200" t="n"/>
      <c r="L358" s="200" t="n"/>
    </row>
    <row r="359" ht="15" customHeight="1" s="122">
      <c r="E359" s="170">
        <f>IF(A359="","",IFERROR(xlookup(A359,'FLEET REGISTER'!$B:$B,'FLEET REGISTER'!$D:$D),"Unknown"))</f>
        <v/>
      </c>
      <c r="F359" s="170">
        <f>IF(A359="","",IFERROR(xlookup(A359,'FLEET REGISTER'!$B:$B,'FLEET REGISTER'!$F:$F),"Unknown"))</f>
        <v/>
      </c>
      <c r="G359" s="200" t="n"/>
      <c r="H359" s="200" t="n"/>
      <c r="I359" s="200" t="n"/>
      <c r="J359" s="200" t="n"/>
      <c r="K359" s="200" t="n"/>
      <c r="L359" s="200" t="n"/>
    </row>
    <row r="360" ht="15" customHeight="1" s="122">
      <c r="E360" s="170">
        <f>IF(A360="","",IFERROR(xlookup(A360,'FLEET REGISTER'!$B:$B,'FLEET REGISTER'!$D:$D),"Unknown"))</f>
        <v/>
      </c>
      <c r="F360" s="170">
        <f>IF(A360="","",IFERROR(xlookup(A360,'FLEET REGISTER'!$B:$B,'FLEET REGISTER'!$F:$F),"Unknown"))</f>
        <v/>
      </c>
      <c r="G360" s="200" t="n"/>
      <c r="H360" s="200" t="n"/>
      <c r="I360" s="200" t="n"/>
      <c r="J360" s="200" t="n"/>
      <c r="K360" s="200" t="n"/>
      <c r="L360" s="200" t="n"/>
    </row>
    <row r="361" ht="15" customHeight="1" s="122">
      <c r="E361" s="170">
        <f>IF(A361="","",IFERROR(xlookup(A361,'FLEET REGISTER'!$B:$B,'FLEET REGISTER'!$D:$D),"Unknown"))</f>
        <v/>
      </c>
      <c r="F361" s="170">
        <f>IF(A361="","",IFERROR(xlookup(A361,'FLEET REGISTER'!$B:$B,'FLEET REGISTER'!$F:$F),"Unknown"))</f>
        <v/>
      </c>
      <c r="G361" s="200" t="n"/>
      <c r="H361" s="200" t="n"/>
      <c r="I361" s="200" t="n"/>
      <c r="J361" s="200" t="n"/>
      <c r="K361" s="200" t="n"/>
      <c r="L361" s="200" t="n"/>
    </row>
    <row r="362" ht="15" customHeight="1" s="122">
      <c r="E362" s="170">
        <f>IF(A362="","",IFERROR(xlookup(A362,'FLEET REGISTER'!$B:$B,'FLEET REGISTER'!$D:$D),"Unknown"))</f>
        <v/>
      </c>
      <c r="F362" s="170">
        <f>IF(A362="","",IFERROR(xlookup(A362,'FLEET REGISTER'!$B:$B,'FLEET REGISTER'!$F:$F),"Unknown"))</f>
        <v/>
      </c>
      <c r="G362" s="200" t="n"/>
      <c r="H362" s="200" t="n"/>
      <c r="I362" s="200" t="n"/>
      <c r="J362" s="200" t="n"/>
      <c r="K362" s="200" t="n"/>
      <c r="L362" s="200" t="n"/>
    </row>
    <row r="363" ht="15" customHeight="1" s="122">
      <c r="E363" s="170">
        <f>IF(A363="","",IFERROR(xlookup(A363,'FLEET REGISTER'!$B:$B,'FLEET REGISTER'!$D:$D),"Unknown"))</f>
        <v/>
      </c>
      <c r="F363" s="170">
        <f>IF(A363="","",IFERROR(xlookup(A363,'FLEET REGISTER'!$B:$B,'FLEET REGISTER'!$F:$F),"Unknown"))</f>
        <v/>
      </c>
      <c r="G363" s="200" t="n"/>
      <c r="H363" s="200" t="n"/>
      <c r="I363" s="200" t="n"/>
      <c r="J363" s="200" t="n"/>
      <c r="K363" s="200" t="n"/>
      <c r="L363" s="200" t="n"/>
    </row>
    <row r="364" ht="15" customHeight="1" s="122">
      <c r="E364" s="170">
        <f>IF(A364="","",IFERROR(xlookup(A364,'FLEET REGISTER'!$B:$B,'FLEET REGISTER'!$D:$D),"Unknown"))</f>
        <v/>
      </c>
      <c r="F364" s="170">
        <f>IF(A364="","",IFERROR(xlookup(A364,'FLEET REGISTER'!$B:$B,'FLEET REGISTER'!$F:$F),"Unknown"))</f>
        <v/>
      </c>
      <c r="G364" s="200" t="n"/>
      <c r="H364" s="200" t="n"/>
      <c r="I364" s="200" t="n"/>
      <c r="J364" s="200" t="n"/>
      <c r="K364" s="200" t="n"/>
      <c r="L364" s="200" t="n"/>
    </row>
    <row r="365" ht="15" customHeight="1" s="122">
      <c r="E365" s="170">
        <f>IF(A365="","",IFERROR(xlookup(A365,'FLEET REGISTER'!$B:$B,'FLEET REGISTER'!$D:$D),"Unknown"))</f>
        <v/>
      </c>
      <c r="F365" s="170">
        <f>IF(A365="","",IFERROR(xlookup(A365,'FLEET REGISTER'!$B:$B,'FLEET REGISTER'!$F:$F),"Unknown"))</f>
        <v/>
      </c>
      <c r="G365" s="200" t="n"/>
      <c r="H365" s="200" t="n"/>
      <c r="I365" s="200" t="n"/>
      <c r="J365" s="200" t="n"/>
      <c r="K365" s="200" t="n"/>
      <c r="L365" s="200" t="n"/>
    </row>
    <row r="366" ht="15" customHeight="1" s="122">
      <c r="E366" s="170">
        <f>IF(A366="","",IFERROR(xlookup(A366,'FLEET REGISTER'!$B:$B,'FLEET REGISTER'!$D:$D),"Unknown"))</f>
        <v/>
      </c>
      <c r="F366" s="170">
        <f>IF(A366="","",IFERROR(xlookup(A366,'FLEET REGISTER'!$B:$B,'FLEET REGISTER'!$F:$F),"Unknown"))</f>
        <v/>
      </c>
      <c r="G366" s="200" t="n"/>
      <c r="H366" s="200" t="n"/>
      <c r="I366" s="200" t="n"/>
      <c r="J366" s="200" t="n"/>
      <c r="K366" s="200" t="n"/>
      <c r="L366" s="200" t="n"/>
    </row>
    <row r="367" ht="15" customHeight="1" s="122">
      <c r="E367" s="170">
        <f>IF(A367="","",IFERROR(xlookup(A367,'FLEET REGISTER'!$B:$B,'FLEET REGISTER'!$D:$D),"Unknown"))</f>
        <v/>
      </c>
      <c r="F367" s="170">
        <f>IF(A367="","",IFERROR(xlookup(A367,'FLEET REGISTER'!$B:$B,'FLEET REGISTER'!$F:$F),"Unknown"))</f>
        <v/>
      </c>
      <c r="G367" s="200" t="n"/>
      <c r="H367" s="200" t="n"/>
      <c r="I367" s="200" t="n"/>
      <c r="J367" s="200" t="n"/>
      <c r="K367" s="200" t="n"/>
      <c r="L367" s="200" t="n"/>
    </row>
    <row r="368" ht="15" customHeight="1" s="122">
      <c r="E368" s="170">
        <f>IF(A368="","",IFERROR(xlookup(A368,'FLEET REGISTER'!$B:$B,'FLEET REGISTER'!$D:$D),"Unknown"))</f>
        <v/>
      </c>
      <c r="F368" s="170">
        <f>IF(A368="","",IFERROR(xlookup(A368,'FLEET REGISTER'!$B:$B,'FLEET REGISTER'!$F:$F),"Unknown"))</f>
        <v/>
      </c>
      <c r="G368" s="200" t="n"/>
      <c r="H368" s="200" t="n"/>
      <c r="I368" s="200" t="n"/>
      <c r="J368" s="200" t="n"/>
      <c r="K368" s="200" t="n"/>
      <c r="L368" s="200" t="n"/>
    </row>
    <row r="369" ht="15" customHeight="1" s="122">
      <c r="E369" s="170">
        <f>IF(A369="","",IFERROR(xlookup(A369,'FLEET REGISTER'!$B:$B,'FLEET REGISTER'!$D:$D),"Unknown"))</f>
        <v/>
      </c>
      <c r="F369" s="170">
        <f>IF(A369="","",IFERROR(xlookup(A369,'FLEET REGISTER'!$B:$B,'FLEET REGISTER'!$F:$F),"Unknown"))</f>
        <v/>
      </c>
      <c r="G369" s="200" t="n"/>
      <c r="H369" s="200" t="n"/>
      <c r="I369" s="200" t="n"/>
      <c r="J369" s="200" t="n"/>
      <c r="K369" s="200" t="n"/>
      <c r="L369" s="200" t="n"/>
    </row>
    <row r="370" ht="15" customHeight="1" s="122">
      <c r="E370" s="170">
        <f>IF(A370="","",IFERROR(xlookup(A370,'FLEET REGISTER'!$B:$B,'FLEET REGISTER'!$D:$D),"Unknown"))</f>
        <v/>
      </c>
      <c r="F370" s="170">
        <f>IF(A370="","",IFERROR(xlookup(A370,'FLEET REGISTER'!$B:$B,'FLEET REGISTER'!$F:$F),"Unknown"))</f>
        <v/>
      </c>
      <c r="G370" s="200" t="n"/>
      <c r="H370" s="200" t="n"/>
      <c r="I370" s="200" t="n"/>
      <c r="J370" s="200" t="n"/>
      <c r="K370" s="200" t="n"/>
      <c r="L370" s="200" t="n"/>
    </row>
    <row r="371" ht="15" customHeight="1" s="122">
      <c r="E371" s="170">
        <f>IF(A371="","",IFERROR(xlookup(A371,'FLEET REGISTER'!$B:$B,'FLEET REGISTER'!$D:$D),"Unknown"))</f>
        <v/>
      </c>
      <c r="F371" s="170">
        <f>IF(A371="","",IFERROR(xlookup(A371,'FLEET REGISTER'!$B:$B,'FLEET REGISTER'!$F:$F),"Unknown"))</f>
        <v/>
      </c>
      <c r="G371" s="200" t="n"/>
      <c r="H371" s="200" t="n"/>
      <c r="I371" s="200" t="n"/>
      <c r="J371" s="200" t="n"/>
      <c r="K371" s="200" t="n"/>
      <c r="L371" s="200" t="n"/>
    </row>
    <row r="372" ht="15" customHeight="1" s="122">
      <c r="E372" s="170">
        <f>IF(A372="","",IFERROR(xlookup(A372,'FLEET REGISTER'!$B:$B,'FLEET REGISTER'!$D:$D),"Unknown"))</f>
        <v/>
      </c>
      <c r="F372" s="170">
        <f>IF(A372="","",IFERROR(xlookup(A372,'FLEET REGISTER'!$B:$B,'FLEET REGISTER'!$F:$F),"Unknown"))</f>
        <v/>
      </c>
      <c r="G372" s="200" t="n"/>
      <c r="H372" s="200" t="n"/>
      <c r="I372" s="200" t="n"/>
      <c r="J372" s="200" t="n"/>
      <c r="K372" s="200" t="n"/>
      <c r="L372" s="200" t="n"/>
    </row>
    <row r="373" ht="15" customHeight="1" s="122">
      <c r="E373" s="170">
        <f>IF(A373="","",IFERROR(xlookup(A373,'FLEET REGISTER'!$B:$B,'FLEET REGISTER'!$D:$D),"Unknown"))</f>
        <v/>
      </c>
      <c r="F373" s="170">
        <f>IF(A373="","",IFERROR(xlookup(A373,'FLEET REGISTER'!$B:$B,'FLEET REGISTER'!$F:$F),"Unknown"))</f>
        <v/>
      </c>
      <c r="G373" s="200" t="n"/>
      <c r="H373" s="200" t="n"/>
      <c r="I373" s="200" t="n"/>
      <c r="J373" s="200" t="n"/>
      <c r="K373" s="200" t="n"/>
      <c r="L373" s="200" t="n"/>
    </row>
    <row r="374" ht="15" customHeight="1" s="122">
      <c r="E374" s="170">
        <f>IF(A374="","",IFERROR(xlookup(A374,'FLEET REGISTER'!$B:$B,'FLEET REGISTER'!$D:$D),"Unknown"))</f>
        <v/>
      </c>
      <c r="F374" s="170">
        <f>IF(A374="","",IFERROR(xlookup(A374,'FLEET REGISTER'!$B:$B,'FLEET REGISTER'!$F:$F),"Unknown"))</f>
        <v/>
      </c>
      <c r="G374" s="200" t="n"/>
      <c r="H374" s="200" t="n"/>
      <c r="I374" s="200" t="n"/>
      <c r="J374" s="200" t="n"/>
      <c r="K374" s="200" t="n"/>
      <c r="L374" s="200" t="n"/>
    </row>
    <row r="375" ht="15" customHeight="1" s="122">
      <c r="E375" s="170">
        <f>IF(A375="","",IFERROR(xlookup(A375,'FLEET REGISTER'!$B:$B,'FLEET REGISTER'!$D:$D),"Unknown"))</f>
        <v/>
      </c>
      <c r="F375" s="170">
        <f>IF(A375="","",IFERROR(xlookup(A375,'FLEET REGISTER'!$B:$B,'FLEET REGISTER'!$F:$F),"Unknown"))</f>
        <v/>
      </c>
      <c r="G375" s="200" t="n"/>
      <c r="H375" s="200" t="n"/>
      <c r="I375" s="200" t="n"/>
      <c r="J375" s="200" t="n"/>
      <c r="K375" s="200" t="n"/>
      <c r="L375" s="200" t="n"/>
    </row>
    <row r="376" ht="15" customHeight="1" s="122">
      <c r="E376" s="170">
        <f>IF(A376="","",IFERROR(xlookup(A376,'FLEET REGISTER'!$B:$B,'FLEET REGISTER'!$D:$D),"Unknown"))</f>
        <v/>
      </c>
      <c r="F376" s="170">
        <f>IF(A376="","",IFERROR(xlookup(A376,'FLEET REGISTER'!$B:$B,'FLEET REGISTER'!$F:$F),"Unknown"))</f>
        <v/>
      </c>
      <c r="G376" s="200" t="n"/>
      <c r="H376" s="200" t="n"/>
      <c r="I376" s="200" t="n"/>
      <c r="J376" s="200" t="n"/>
      <c r="K376" s="200" t="n"/>
      <c r="L376" s="200" t="n"/>
    </row>
    <row r="377" ht="15" customHeight="1" s="122">
      <c r="E377" s="170">
        <f>IF(A377="","",IFERROR(xlookup(A377,'FLEET REGISTER'!$B:$B,'FLEET REGISTER'!$D:$D),"Unknown"))</f>
        <v/>
      </c>
      <c r="F377" s="170">
        <f>IF(A377="","",IFERROR(xlookup(A377,'FLEET REGISTER'!$B:$B,'FLEET REGISTER'!$F:$F),"Unknown"))</f>
        <v/>
      </c>
      <c r="G377" s="200" t="n"/>
      <c r="H377" s="200" t="n"/>
      <c r="I377" s="200" t="n"/>
      <c r="J377" s="200" t="n"/>
      <c r="K377" s="200" t="n"/>
      <c r="L377" s="200" t="n"/>
    </row>
    <row r="378" ht="15" customHeight="1" s="122">
      <c r="E378" s="170">
        <f>IF(A378="","",IFERROR(xlookup(A378,'FLEET REGISTER'!$B:$B,'FLEET REGISTER'!$D:$D),"Unknown"))</f>
        <v/>
      </c>
      <c r="F378" s="170">
        <f>IF(A378="","",IFERROR(xlookup(A378,'FLEET REGISTER'!$B:$B,'FLEET REGISTER'!$F:$F),"Unknown"))</f>
        <v/>
      </c>
      <c r="G378" s="200" t="n"/>
      <c r="H378" s="200" t="n"/>
      <c r="I378" s="200" t="n"/>
      <c r="J378" s="200" t="n"/>
      <c r="K378" s="200" t="n"/>
      <c r="L378" s="200" t="n"/>
    </row>
    <row r="379" ht="15" customHeight="1" s="122">
      <c r="E379" s="170">
        <f>IF(A379="","",IFERROR(xlookup(A379,'FLEET REGISTER'!$B:$B,'FLEET REGISTER'!$D:$D),"Unknown"))</f>
        <v/>
      </c>
      <c r="F379" s="170">
        <f>IF(A379="","",IFERROR(xlookup(A379,'FLEET REGISTER'!$B:$B,'FLEET REGISTER'!$F:$F),"Unknown"))</f>
        <v/>
      </c>
      <c r="G379" s="200" t="n"/>
      <c r="H379" s="200" t="n"/>
      <c r="I379" s="200" t="n"/>
      <c r="J379" s="200" t="n"/>
      <c r="K379" s="200" t="n"/>
      <c r="L379" s="200" t="n"/>
    </row>
    <row r="380" ht="15" customHeight="1" s="122">
      <c r="E380" s="170">
        <f>IF(A380="","",IFERROR(xlookup(A380,'FLEET REGISTER'!$B:$B,'FLEET REGISTER'!$D:$D),"Unknown"))</f>
        <v/>
      </c>
      <c r="F380" s="170">
        <f>IF(A380="","",IFERROR(xlookup(A380,'FLEET REGISTER'!$B:$B,'FLEET REGISTER'!$F:$F),"Unknown"))</f>
        <v/>
      </c>
      <c r="G380" s="200" t="n"/>
      <c r="H380" s="200" t="n"/>
      <c r="I380" s="200" t="n"/>
      <c r="J380" s="200" t="n"/>
      <c r="K380" s="200" t="n"/>
      <c r="L380" s="200" t="n"/>
    </row>
    <row r="381" ht="15" customHeight="1" s="122">
      <c r="E381" s="170">
        <f>IF(A381="","",IFERROR(xlookup(A381,'FLEET REGISTER'!$B:$B,'FLEET REGISTER'!$D:$D),"Unknown"))</f>
        <v/>
      </c>
      <c r="F381" s="170">
        <f>IF(A381="","",IFERROR(xlookup(A381,'FLEET REGISTER'!$B:$B,'FLEET REGISTER'!$F:$F),"Unknown"))</f>
        <v/>
      </c>
      <c r="G381" s="200" t="n"/>
      <c r="H381" s="200" t="n"/>
      <c r="I381" s="200" t="n"/>
      <c r="J381" s="200" t="n"/>
      <c r="K381" s="200" t="n"/>
      <c r="L381" s="200" t="n"/>
    </row>
    <row r="382" ht="15" customHeight="1" s="122">
      <c r="E382" s="170">
        <f>IF(A382="","",IFERROR(xlookup(A382,'FLEET REGISTER'!$B:$B,'FLEET REGISTER'!$D:$D),"Unknown"))</f>
        <v/>
      </c>
      <c r="F382" s="170">
        <f>IF(A382="","",IFERROR(xlookup(A382,'FLEET REGISTER'!$B:$B,'FLEET REGISTER'!$F:$F),"Unknown"))</f>
        <v/>
      </c>
      <c r="G382" s="200" t="n"/>
      <c r="H382" s="200" t="n"/>
      <c r="I382" s="200" t="n"/>
      <c r="J382" s="200" t="n"/>
      <c r="K382" s="200" t="n"/>
      <c r="L382" s="200" t="n"/>
    </row>
    <row r="383" ht="15" customHeight="1" s="122">
      <c r="E383" s="170">
        <f>IF(A383="","",IFERROR(xlookup(A383,'FLEET REGISTER'!$B:$B,'FLEET REGISTER'!$D:$D),"Unknown"))</f>
        <v/>
      </c>
      <c r="F383" s="170">
        <f>IF(A383="","",IFERROR(xlookup(A383,'FLEET REGISTER'!$B:$B,'FLEET REGISTER'!$F:$F),"Unknown"))</f>
        <v/>
      </c>
      <c r="G383" s="200" t="n"/>
      <c r="H383" s="200" t="n"/>
      <c r="I383" s="200" t="n"/>
      <c r="J383" s="200" t="n"/>
      <c r="K383" s="200" t="n"/>
      <c r="L383" s="200" t="n"/>
    </row>
    <row r="384" ht="15" customHeight="1" s="122">
      <c r="E384" s="170">
        <f>IF(A384="","",IFERROR(xlookup(A384,'FLEET REGISTER'!$B:$B,'FLEET REGISTER'!$D:$D),"Unknown"))</f>
        <v/>
      </c>
      <c r="F384" s="170">
        <f>IF(A384="","",IFERROR(xlookup(A384,'FLEET REGISTER'!$B:$B,'FLEET REGISTER'!$F:$F),"Unknown"))</f>
        <v/>
      </c>
      <c r="G384" s="200" t="n"/>
      <c r="H384" s="200" t="n"/>
      <c r="I384" s="200" t="n"/>
      <c r="J384" s="200" t="n"/>
      <c r="K384" s="200" t="n"/>
      <c r="L384" s="200" t="n"/>
    </row>
    <row r="385" ht="15" customHeight="1" s="122">
      <c r="E385" s="170">
        <f>IF(A385="","",IFERROR(xlookup(A385,'FLEET REGISTER'!$B:$B,'FLEET REGISTER'!$D:$D),"Unknown"))</f>
        <v/>
      </c>
      <c r="F385" s="170">
        <f>IF(A385="","",IFERROR(xlookup(A385,'FLEET REGISTER'!$B:$B,'FLEET REGISTER'!$F:$F),"Unknown"))</f>
        <v/>
      </c>
      <c r="G385" s="200" t="n"/>
      <c r="H385" s="200" t="n"/>
      <c r="I385" s="200" t="n"/>
      <c r="J385" s="200" t="n"/>
      <c r="K385" s="200" t="n"/>
      <c r="L385" s="200" t="n"/>
    </row>
    <row r="386" ht="15" customHeight="1" s="122">
      <c r="E386" s="170">
        <f>IF(A386="","",IFERROR(xlookup(A386,'FLEET REGISTER'!$B:$B,'FLEET REGISTER'!$D:$D),"Unknown"))</f>
        <v/>
      </c>
      <c r="F386" s="170">
        <f>IF(A386="","",IFERROR(xlookup(A386,'FLEET REGISTER'!$B:$B,'FLEET REGISTER'!$F:$F),"Unknown"))</f>
        <v/>
      </c>
      <c r="G386" s="200" t="n"/>
      <c r="H386" s="200" t="n"/>
      <c r="I386" s="200" t="n"/>
      <c r="J386" s="200" t="n"/>
      <c r="K386" s="200" t="n"/>
      <c r="L386" s="200" t="n"/>
    </row>
    <row r="387" ht="15" customHeight="1" s="122">
      <c r="E387" s="170">
        <f>IF(A387="","",IFERROR(xlookup(A387,'FLEET REGISTER'!$B:$B,'FLEET REGISTER'!$D:$D),"Unknown"))</f>
        <v/>
      </c>
      <c r="F387" s="170">
        <f>IF(A387="","",IFERROR(xlookup(A387,'FLEET REGISTER'!$B:$B,'FLEET REGISTER'!$F:$F),"Unknown"))</f>
        <v/>
      </c>
      <c r="G387" s="200" t="n"/>
      <c r="H387" s="200" t="n"/>
      <c r="I387" s="200" t="n"/>
      <c r="J387" s="200" t="n"/>
      <c r="K387" s="200" t="n"/>
      <c r="L387" s="200" t="n"/>
    </row>
    <row r="388" ht="15" customHeight="1" s="122">
      <c r="E388" s="170">
        <f>IF(A388="","",IFERROR(xlookup(A388,'FLEET REGISTER'!$B:$B,'FLEET REGISTER'!$D:$D),"Unknown"))</f>
        <v/>
      </c>
      <c r="F388" s="170">
        <f>IF(A388="","",IFERROR(xlookup(A388,'FLEET REGISTER'!$B:$B,'FLEET REGISTER'!$F:$F),"Unknown"))</f>
        <v/>
      </c>
      <c r="G388" s="200" t="n"/>
      <c r="H388" s="200" t="n"/>
      <c r="I388" s="200" t="n"/>
      <c r="J388" s="200" t="n"/>
      <c r="K388" s="200" t="n"/>
      <c r="L388" s="200" t="n"/>
    </row>
    <row r="389" ht="15" customHeight="1" s="122">
      <c r="E389" s="170">
        <f>IF(A389="","",IFERROR(xlookup(A389,'FLEET REGISTER'!$B:$B,'FLEET REGISTER'!$D:$D),"Unknown"))</f>
        <v/>
      </c>
      <c r="F389" s="170">
        <f>IF(A389="","",IFERROR(xlookup(A389,'FLEET REGISTER'!$B:$B,'FLEET REGISTER'!$F:$F),"Unknown"))</f>
        <v/>
      </c>
      <c r="G389" s="200" t="n"/>
      <c r="H389" s="200" t="n"/>
      <c r="I389" s="200" t="n"/>
      <c r="J389" s="200" t="n"/>
      <c r="K389" s="200" t="n"/>
      <c r="L389" s="200" t="n"/>
    </row>
    <row r="390" ht="15" customHeight="1" s="122">
      <c r="E390" s="170">
        <f>IF(A390="","",IFERROR(xlookup(A390,'FLEET REGISTER'!$B:$B,'FLEET REGISTER'!$D:$D),"Unknown"))</f>
        <v/>
      </c>
      <c r="F390" s="170">
        <f>IF(A390="","",IFERROR(xlookup(A390,'FLEET REGISTER'!$B:$B,'FLEET REGISTER'!$F:$F),"Unknown"))</f>
        <v/>
      </c>
      <c r="G390" s="200" t="n"/>
      <c r="H390" s="200" t="n"/>
      <c r="I390" s="200" t="n"/>
      <c r="J390" s="200" t="n"/>
      <c r="K390" s="200" t="n"/>
      <c r="L390" s="200" t="n"/>
    </row>
    <row r="391" ht="15" customHeight="1" s="122">
      <c r="E391" s="170">
        <f>IF(A391="","",IFERROR(xlookup(A391,'FLEET REGISTER'!$B:$B,'FLEET REGISTER'!$D:$D),"Unknown"))</f>
        <v/>
      </c>
      <c r="F391" s="170">
        <f>IF(A391="","",IFERROR(xlookup(A391,'FLEET REGISTER'!$B:$B,'FLEET REGISTER'!$F:$F),"Unknown"))</f>
        <v/>
      </c>
      <c r="G391" s="200" t="n"/>
      <c r="H391" s="200" t="n"/>
      <c r="I391" s="200" t="n"/>
      <c r="J391" s="200" t="n"/>
      <c r="K391" s="200" t="n"/>
      <c r="L391" s="200" t="n"/>
    </row>
    <row r="392" ht="15" customHeight="1" s="122">
      <c r="E392" s="170">
        <f>IF(A392="","",IFERROR(xlookup(A392,'FLEET REGISTER'!$B:$B,'FLEET REGISTER'!$D:$D),"Unknown"))</f>
        <v/>
      </c>
      <c r="F392" s="170">
        <f>IF(A392="","",IFERROR(xlookup(A392,'FLEET REGISTER'!$B:$B,'FLEET REGISTER'!$F:$F),"Unknown"))</f>
        <v/>
      </c>
      <c r="G392" s="200" t="n"/>
      <c r="H392" s="200" t="n"/>
      <c r="I392" s="200" t="n"/>
      <c r="J392" s="200" t="n"/>
      <c r="K392" s="200" t="n"/>
      <c r="L392" s="200" t="n"/>
    </row>
    <row r="393" ht="15" customHeight="1" s="122">
      <c r="E393" s="170">
        <f>IF(A393="","",IFERROR(xlookup(A393,'FLEET REGISTER'!$B:$B,'FLEET REGISTER'!$D:$D),"Unknown"))</f>
        <v/>
      </c>
      <c r="F393" s="170">
        <f>IF(A393="","",IFERROR(xlookup(A393,'FLEET REGISTER'!$B:$B,'FLEET REGISTER'!$F:$F),"Unknown"))</f>
        <v/>
      </c>
      <c r="G393" s="200" t="n"/>
      <c r="H393" s="200" t="n"/>
      <c r="I393" s="200" t="n"/>
      <c r="J393" s="200" t="n"/>
      <c r="K393" s="200" t="n"/>
      <c r="L393" s="200" t="n"/>
    </row>
    <row r="394" ht="15" customHeight="1" s="122">
      <c r="E394" s="170">
        <f>IF(A394="","",IFERROR(xlookup(A394,'FLEET REGISTER'!$B:$B,'FLEET REGISTER'!$D:$D),"Unknown"))</f>
        <v/>
      </c>
      <c r="F394" s="170">
        <f>IF(A394="","",IFERROR(xlookup(A394,'FLEET REGISTER'!$B:$B,'FLEET REGISTER'!$F:$F),"Unknown"))</f>
        <v/>
      </c>
      <c r="G394" s="200" t="n"/>
      <c r="H394" s="200" t="n"/>
      <c r="I394" s="200" t="n"/>
      <c r="J394" s="200" t="n"/>
      <c r="K394" s="200" t="n"/>
      <c r="L394" s="200" t="n"/>
    </row>
    <row r="395" ht="15" customHeight="1" s="122">
      <c r="E395" s="170">
        <f>IF(A395="","",IFERROR(xlookup(A395,'FLEET REGISTER'!$B:$B,'FLEET REGISTER'!$D:$D),"Unknown"))</f>
        <v/>
      </c>
      <c r="F395" s="170">
        <f>IF(A395="","",IFERROR(xlookup(A395,'FLEET REGISTER'!$B:$B,'FLEET REGISTER'!$F:$F),"Unknown"))</f>
        <v/>
      </c>
      <c r="G395" s="200" t="n"/>
      <c r="H395" s="200" t="n"/>
      <c r="I395" s="200" t="n"/>
      <c r="J395" s="200" t="n"/>
      <c r="K395" s="200" t="n"/>
      <c r="L395" s="200" t="n"/>
    </row>
    <row r="396" ht="15" customHeight="1" s="122">
      <c r="E396" s="170">
        <f>IF(A396="","",IFERROR(xlookup(A396,'FLEET REGISTER'!$B:$B,'FLEET REGISTER'!$D:$D),"Unknown"))</f>
        <v/>
      </c>
      <c r="F396" s="170">
        <f>IF(A396="","",IFERROR(xlookup(A396,'FLEET REGISTER'!$B:$B,'FLEET REGISTER'!$F:$F),"Unknown"))</f>
        <v/>
      </c>
      <c r="G396" s="200" t="n"/>
      <c r="H396" s="200" t="n"/>
      <c r="I396" s="200" t="n"/>
      <c r="J396" s="200" t="n"/>
      <c r="K396" s="200" t="n"/>
      <c r="L396" s="200" t="n"/>
    </row>
    <row r="397" ht="15" customHeight="1" s="122">
      <c r="E397" s="170">
        <f>IF(A397="","",IFERROR(xlookup(A397,'FLEET REGISTER'!$B:$B,'FLEET REGISTER'!$D:$D),"Unknown"))</f>
        <v/>
      </c>
      <c r="F397" s="170">
        <f>IF(A397="","",IFERROR(xlookup(A397,'FLEET REGISTER'!$B:$B,'FLEET REGISTER'!$F:$F),"Unknown"))</f>
        <v/>
      </c>
      <c r="G397" s="200" t="n"/>
      <c r="H397" s="200" t="n"/>
      <c r="I397" s="200" t="n"/>
      <c r="J397" s="200" t="n"/>
      <c r="K397" s="200" t="n"/>
      <c r="L397" s="200" t="n"/>
    </row>
    <row r="398" ht="15" customHeight="1" s="122">
      <c r="E398" s="170">
        <f>IF(A398="","",IFERROR(xlookup(A398,'FLEET REGISTER'!$B:$B,'FLEET REGISTER'!$D:$D),"Unknown"))</f>
        <v/>
      </c>
      <c r="F398" s="170">
        <f>IF(A398="","",IFERROR(xlookup(A398,'FLEET REGISTER'!$B:$B,'FLEET REGISTER'!$F:$F),"Unknown"))</f>
        <v/>
      </c>
      <c r="G398" s="200" t="n"/>
      <c r="H398" s="200" t="n"/>
      <c r="I398" s="200" t="n"/>
      <c r="J398" s="200" t="n"/>
      <c r="K398" s="200" t="n"/>
      <c r="L398" s="200" t="n"/>
    </row>
    <row r="399" ht="15" customHeight="1" s="122">
      <c r="E399" s="170">
        <f>IF(A399="","",IFERROR(xlookup(A399,'FLEET REGISTER'!$B:$B,'FLEET REGISTER'!$D:$D),"Unknown"))</f>
        <v/>
      </c>
      <c r="F399" s="170">
        <f>IF(A399="","",IFERROR(xlookup(A399,'FLEET REGISTER'!$B:$B,'FLEET REGISTER'!$F:$F),"Unknown"))</f>
        <v/>
      </c>
      <c r="G399" s="200" t="n"/>
      <c r="H399" s="200" t="n"/>
      <c r="I399" s="200" t="n"/>
      <c r="J399" s="200" t="n"/>
      <c r="K399" s="200" t="n"/>
      <c r="L399" s="200" t="n"/>
    </row>
    <row r="400" ht="15" customHeight="1" s="122">
      <c r="E400" s="170">
        <f>IF(A400="","",IFERROR(xlookup(A400,'FLEET REGISTER'!$B:$B,'FLEET REGISTER'!$D:$D),"Unknown"))</f>
        <v/>
      </c>
      <c r="F400" s="170">
        <f>IF(A400="","",IFERROR(xlookup(A400,'FLEET REGISTER'!$B:$B,'FLEET REGISTER'!$F:$F),"Unknown"))</f>
        <v/>
      </c>
      <c r="G400" s="200" t="n"/>
      <c r="H400" s="200" t="n"/>
      <c r="I400" s="200" t="n"/>
      <c r="J400" s="200" t="n"/>
      <c r="K400" s="200" t="n"/>
      <c r="L400" s="200" t="n"/>
    </row>
    <row r="401" ht="15" customHeight="1" s="122">
      <c r="E401" s="170">
        <f>IF(A401="","",IFERROR(xlookup(A401,'FLEET REGISTER'!$B:$B,'FLEET REGISTER'!$D:$D),"Unknown"))</f>
        <v/>
      </c>
      <c r="F401" s="170">
        <f>IF(A401="","",IFERROR(xlookup(A401,'FLEET REGISTER'!$B:$B,'FLEET REGISTER'!$F:$F),"Unknown"))</f>
        <v/>
      </c>
      <c r="G401" s="200" t="n"/>
      <c r="H401" s="200" t="n"/>
      <c r="I401" s="200" t="n"/>
      <c r="J401" s="200" t="n"/>
      <c r="K401" s="200" t="n"/>
      <c r="L401" s="200" t="n"/>
    </row>
    <row r="402" ht="15" customHeight="1" s="122">
      <c r="E402" s="170">
        <f>IF(A402="","",IFERROR(xlookup(A402,'FLEET REGISTER'!$B:$B,'FLEET REGISTER'!$D:$D),"Unknown"))</f>
        <v/>
      </c>
      <c r="F402" s="170">
        <f>IF(A402="","",IFERROR(xlookup(A402,'FLEET REGISTER'!$B:$B,'FLEET REGISTER'!$F:$F),"Unknown"))</f>
        <v/>
      </c>
      <c r="G402" s="200" t="n"/>
      <c r="H402" s="200" t="n"/>
      <c r="I402" s="200" t="n"/>
      <c r="J402" s="200" t="n"/>
      <c r="K402" s="200" t="n"/>
      <c r="L402" s="200" t="n"/>
    </row>
    <row r="403" ht="15" customHeight="1" s="122">
      <c r="E403" s="170">
        <f>IF(A403="","",IFERROR(xlookup(A403,'FLEET REGISTER'!$B:$B,'FLEET REGISTER'!$D:$D),"Unknown"))</f>
        <v/>
      </c>
      <c r="F403" s="170">
        <f>IF(A403="","",IFERROR(xlookup(A403,'FLEET REGISTER'!$B:$B,'FLEET REGISTER'!$F:$F),"Unknown"))</f>
        <v/>
      </c>
      <c r="G403" s="200" t="n"/>
      <c r="H403" s="200" t="n"/>
      <c r="I403" s="200" t="n"/>
      <c r="J403" s="200" t="n"/>
      <c r="K403" s="200" t="n"/>
      <c r="L403" s="200" t="n"/>
    </row>
    <row r="404" ht="15" customHeight="1" s="122">
      <c r="E404" s="170">
        <f>IF(A404="","",IFERROR(xlookup(A404,'FLEET REGISTER'!$B:$B,'FLEET REGISTER'!$D:$D),"Unknown"))</f>
        <v/>
      </c>
      <c r="F404" s="170">
        <f>IF(A404="","",IFERROR(xlookup(A404,'FLEET REGISTER'!$B:$B,'FLEET REGISTER'!$F:$F),"Unknown"))</f>
        <v/>
      </c>
      <c r="G404" s="200" t="n"/>
      <c r="H404" s="200" t="n"/>
      <c r="I404" s="200" t="n"/>
      <c r="J404" s="200" t="n"/>
      <c r="K404" s="200" t="n"/>
      <c r="L404" s="200" t="n"/>
    </row>
    <row r="405" ht="15" customHeight="1" s="122">
      <c r="E405" s="170">
        <f>IF(A405="","",IFERROR(xlookup(A405,'FLEET REGISTER'!$B:$B,'FLEET REGISTER'!$D:$D),"Unknown"))</f>
        <v/>
      </c>
      <c r="F405" s="170">
        <f>IF(A405="","",IFERROR(xlookup(A405,'FLEET REGISTER'!$B:$B,'FLEET REGISTER'!$F:$F),"Unknown"))</f>
        <v/>
      </c>
      <c r="G405" s="200" t="n"/>
      <c r="H405" s="200" t="n"/>
      <c r="I405" s="200" t="n"/>
      <c r="J405" s="200" t="n"/>
      <c r="K405" s="200" t="n"/>
      <c r="L405" s="200" t="n"/>
    </row>
    <row r="406" ht="15" customHeight="1" s="122">
      <c r="E406" s="170">
        <f>IF(A406="","",IFERROR(xlookup(A406,'FLEET REGISTER'!$B:$B,'FLEET REGISTER'!$D:$D),"Unknown"))</f>
        <v/>
      </c>
      <c r="F406" s="170">
        <f>IF(A406="","",IFERROR(xlookup(A406,'FLEET REGISTER'!$B:$B,'FLEET REGISTER'!$F:$F),"Unknown"))</f>
        <v/>
      </c>
      <c r="G406" s="200" t="n"/>
      <c r="H406" s="200" t="n"/>
      <c r="I406" s="200" t="n"/>
      <c r="J406" s="200" t="n"/>
      <c r="K406" s="200" t="n"/>
      <c r="L406" s="200" t="n"/>
    </row>
    <row r="407" ht="15" customHeight="1" s="122">
      <c r="E407" s="170">
        <f>IF(A407="","",IFERROR(xlookup(A407,'FLEET REGISTER'!$B:$B,'FLEET REGISTER'!$D:$D),"Unknown"))</f>
        <v/>
      </c>
      <c r="F407" s="170">
        <f>IF(A407="","",IFERROR(xlookup(A407,'FLEET REGISTER'!$B:$B,'FLEET REGISTER'!$F:$F),"Unknown"))</f>
        <v/>
      </c>
      <c r="G407" s="200" t="n"/>
      <c r="H407" s="200" t="n"/>
      <c r="I407" s="200" t="n"/>
      <c r="J407" s="200" t="n"/>
      <c r="K407" s="200" t="n"/>
      <c r="L407" s="200" t="n"/>
    </row>
    <row r="408" ht="15" customHeight="1" s="122">
      <c r="E408" s="170">
        <f>IF(A408="","",IFERROR(xlookup(A408,'FLEET REGISTER'!$B:$B,'FLEET REGISTER'!$D:$D),"Unknown"))</f>
        <v/>
      </c>
      <c r="F408" s="170">
        <f>IF(A408="","",IFERROR(xlookup(A408,'FLEET REGISTER'!$B:$B,'FLEET REGISTER'!$F:$F),"Unknown"))</f>
        <v/>
      </c>
      <c r="G408" s="200" t="n"/>
      <c r="H408" s="200" t="n"/>
      <c r="I408" s="200" t="n"/>
      <c r="J408" s="200" t="n"/>
      <c r="K408" s="200" t="n"/>
      <c r="L408" s="200" t="n"/>
    </row>
    <row r="409" ht="15" customHeight="1" s="122">
      <c r="E409" s="170">
        <f>IF(A409="","",IFERROR(xlookup(A409,'FLEET REGISTER'!$B:$B,'FLEET REGISTER'!$D:$D),"Unknown"))</f>
        <v/>
      </c>
      <c r="F409" s="170">
        <f>IF(A409="","",IFERROR(xlookup(A409,'FLEET REGISTER'!$B:$B,'FLEET REGISTER'!$F:$F),"Unknown"))</f>
        <v/>
      </c>
      <c r="G409" s="200" t="n"/>
      <c r="H409" s="200" t="n"/>
      <c r="I409" s="200" t="n"/>
      <c r="J409" s="200" t="n"/>
      <c r="K409" s="200" t="n"/>
      <c r="L409" s="200" t="n"/>
    </row>
    <row r="410" ht="15" customHeight="1" s="122">
      <c r="E410" s="170">
        <f>IF(A410="","",IFERROR(xlookup(A410,'FLEET REGISTER'!$B:$B,'FLEET REGISTER'!$D:$D),"Unknown"))</f>
        <v/>
      </c>
      <c r="F410" s="170">
        <f>IF(A410="","",IFERROR(xlookup(A410,'FLEET REGISTER'!$B:$B,'FLEET REGISTER'!$F:$F),"Unknown"))</f>
        <v/>
      </c>
      <c r="G410" s="200" t="n"/>
      <c r="H410" s="200" t="n"/>
      <c r="I410" s="200" t="n"/>
      <c r="J410" s="200" t="n"/>
      <c r="K410" s="200" t="n"/>
      <c r="L410" s="200" t="n"/>
    </row>
    <row r="411" ht="15" customHeight="1" s="122">
      <c r="E411" s="170">
        <f>IF(A411="","",IFERROR(xlookup(A411,'FLEET REGISTER'!$B:$B,'FLEET REGISTER'!$D:$D),"Unknown"))</f>
        <v/>
      </c>
      <c r="F411" s="170">
        <f>IF(A411="","",IFERROR(xlookup(A411,'FLEET REGISTER'!$B:$B,'FLEET REGISTER'!$F:$F),"Unknown"))</f>
        <v/>
      </c>
      <c r="G411" s="200" t="n"/>
      <c r="H411" s="200" t="n"/>
      <c r="I411" s="200" t="n"/>
      <c r="J411" s="200" t="n"/>
      <c r="K411" s="200" t="n"/>
      <c r="L411" s="200" t="n"/>
    </row>
    <row r="412" ht="15" customHeight="1" s="122">
      <c r="E412" s="170">
        <f>IF(A412="","",IFERROR(xlookup(A412,'FLEET REGISTER'!$B:$B,'FLEET REGISTER'!$D:$D),"Unknown"))</f>
        <v/>
      </c>
      <c r="F412" s="170">
        <f>IF(A412="","",IFERROR(xlookup(A412,'FLEET REGISTER'!$B:$B,'FLEET REGISTER'!$F:$F),"Unknown"))</f>
        <v/>
      </c>
      <c r="G412" s="200" t="n"/>
      <c r="H412" s="200" t="n"/>
      <c r="I412" s="200" t="n"/>
      <c r="J412" s="200" t="n"/>
      <c r="K412" s="200" t="n"/>
      <c r="L412" s="200" t="n"/>
    </row>
    <row r="413" ht="15" customHeight="1" s="122">
      <c r="E413" s="170">
        <f>IF(A413="","",IFERROR(xlookup(A413,'FLEET REGISTER'!$B:$B,'FLEET REGISTER'!$D:$D),"Unknown"))</f>
        <v/>
      </c>
      <c r="F413" s="170">
        <f>IF(A413="","",IFERROR(xlookup(A413,'FLEET REGISTER'!$B:$B,'FLEET REGISTER'!$F:$F),"Unknown"))</f>
        <v/>
      </c>
      <c r="G413" s="200" t="n"/>
      <c r="H413" s="200" t="n"/>
      <c r="I413" s="200" t="n"/>
      <c r="J413" s="200" t="n"/>
      <c r="K413" s="200" t="n"/>
      <c r="L413" s="200" t="n"/>
    </row>
    <row r="414" ht="15" customHeight="1" s="122">
      <c r="E414" s="170">
        <f>IF(A414="","",IFERROR(xlookup(A414,'FLEET REGISTER'!$B:$B,'FLEET REGISTER'!$D:$D),"Unknown"))</f>
        <v/>
      </c>
      <c r="F414" s="170">
        <f>IF(A414="","",IFERROR(xlookup(A414,'FLEET REGISTER'!$B:$B,'FLEET REGISTER'!$F:$F),"Unknown"))</f>
        <v/>
      </c>
      <c r="G414" s="200" t="n"/>
      <c r="H414" s="200" t="n"/>
      <c r="I414" s="200" t="n"/>
      <c r="J414" s="200" t="n"/>
      <c r="K414" s="200" t="n"/>
      <c r="L414" s="200" t="n"/>
    </row>
    <row r="415" ht="15" customHeight="1" s="122">
      <c r="E415" s="170">
        <f>IF(A415="","",IFERROR(xlookup(A415,'FLEET REGISTER'!$B:$B,'FLEET REGISTER'!$D:$D),"Unknown"))</f>
        <v/>
      </c>
      <c r="F415" s="170">
        <f>IF(A415="","",IFERROR(xlookup(A415,'FLEET REGISTER'!$B:$B,'FLEET REGISTER'!$F:$F),"Unknown"))</f>
        <v/>
      </c>
      <c r="G415" s="200" t="n"/>
      <c r="H415" s="200" t="n"/>
      <c r="I415" s="200" t="n"/>
      <c r="J415" s="200" t="n"/>
      <c r="K415" s="200" t="n"/>
      <c r="L415" s="200" t="n"/>
    </row>
    <row r="416" ht="15" customHeight="1" s="122">
      <c r="E416" s="170">
        <f>IF(A416="","",IFERROR(xlookup(A416,'FLEET REGISTER'!$B:$B,'FLEET REGISTER'!$D:$D),"Unknown"))</f>
        <v/>
      </c>
      <c r="F416" s="170">
        <f>IF(A416="","",IFERROR(xlookup(A416,'FLEET REGISTER'!$B:$B,'FLEET REGISTER'!$F:$F),"Unknown"))</f>
        <v/>
      </c>
      <c r="G416" s="200" t="n"/>
      <c r="H416" s="200" t="n"/>
      <c r="I416" s="200" t="n"/>
      <c r="J416" s="200" t="n"/>
      <c r="K416" s="200" t="n"/>
      <c r="L416" s="200" t="n"/>
    </row>
    <row r="417" ht="15" customHeight="1" s="122">
      <c r="E417" s="170">
        <f>IF(A417="","",IFERROR(xlookup(A417,'FLEET REGISTER'!$B:$B,'FLEET REGISTER'!$D:$D),"Unknown"))</f>
        <v/>
      </c>
      <c r="F417" s="170">
        <f>IF(A417="","",IFERROR(xlookup(A417,'FLEET REGISTER'!$B:$B,'FLEET REGISTER'!$F:$F),"Unknown"))</f>
        <v/>
      </c>
      <c r="G417" s="200" t="n"/>
      <c r="H417" s="200" t="n"/>
      <c r="I417" s="200" t="n"/>
      <c r="J417" s="200" t="n"/>
      <c r="K417" s="200" t="n"/>
      <c r="L417" s="200" t="n"/>
    </row>
    <row r="418" ht="15" customHeight="1" s="122">
      <c r="E418" s="170">
        <f>IF(A418="","",IFERROR(xlookup(A418,'FLEET REGISTER'!$B:$B,'FLEET REGISTER'!$D:$D),"Unknown"))</f>
        <v/>
      </c>
      <c r="F418" s="170">
        <f>IF(A418="","",IFERROR(xlookup(A418,'FLEET REGISTER'!$B:$B,'FLEET REGISTER'!$F:$F),"Unknown"))</f>
        <v/>
      </c>
      <c r="G418" s="200" t="n"/>
      <c r="H418" s="200" t="n"/>
      <c r="I418" s="200" t="n"/>
      <c r="J418" s="200" t="n"/>
      <c r="K418" s="200" t="n"/>
      <c r="L418" s="200" t="n"/>
    </row>
    <row r="419" ht="15" customHeight="1" s="122">
      <c r="E419" s="170">
        <f>IF(A419="","",IFERROR(xlookup(A419,'FLEET REGISTER'!$B:$B,'FLEET REGISTER'!$D:$D),"Unknown"))</f>
        <v/>
      </c>
      <c r="F419" s="170">
        <f>IF(A419="","",IFERROR(xlookup(A419,'FLEET REGISTER'!$B:$B,'FLEET REGISTER'!$F:$F),"Unknown"))</f>
        <v/>
      </c>
      <c r="G419" s="200" t="n"/>
      <c r="H419" s="200" t="n"/>
      <c r="I419" s="200" t="n"/>
      <c r="J419" s="200" t="n"/>
      <c r="K419" s="200" t="n"/>
      <c r="L419" s="200" t="n"/>
    </row>
    <row r="420" ht="15" customHeight="1" s="122">
      <c r="E420" s="170">
        <f>IF(A420="","",IFERROR(xlookup(A420,'FLEET REGISTER'!$B:$B,'FLEET REGISTER'!$D:$D),"Unknown"))</f>
        <v/>
      </c>
      <c r="F420" s="170">
        <f>IF(A420="","",IFERROR(xlookup(A420,'FLEET REGISTER'!$B:$B,'FLEET REGISTER'!$F:$F),"Unknown"))</f>
        <v/>
      </c>
      <c r="G420" s="200" t="n"/>
      <c r="H420" s="200" t="n"/>
      <c r="I420" s="200" t="n"/>
      <c r="J420" s="200" t="n"/>
      <c r="K420" s="200" t="n"/>
      <c r="L420" s="200" t="n"/>
    </row>
    <row r="421" ht="15" customHeight="1" s="122">
      <c r="E421" s="170">
        <f>IF(A421="","",IFERROR(xlookup(A421,'FLEET REGISTER'!$B:$B,'FLEET REGISTER'!$D:$D),"Unknown"))</f>
        <v/>
      </c>
      <c r="F421" s="170">
        <f>IF(A421="","",IFERROR(xlookup(A421,'FLEET REGISTER'!$B:$B,'FLEET REGISTER'!$F:$F),"Unknown"))</f>
        <v/>
      </c>
      <c r="G421" s="200" t="n"/>
      <c r="H421" s="200" t="n"/>
      <c r="I421" s="200" t="n"/>
      <c r="J421" s="200" t="n"/>
      <c r="K421" s="200" t="n"/>
      <c r="L421" s="200" t="n"/>
    </row>
    <row r="422" ht="15" customHeight="1" s="122">
      <c r="E422" s="170">
        <f>IF(A422="","",IFERROR(xlookup(A422,'FLEET REGISTER'!$B:$B,'FLEET REGISTER'!$D:$D),"Unknown"))</f>
        <v/>
      </c>
      <c r="F422" s="170">
        <f>IF(A422="","",IFERROR(xlookup(A422,'FLEET REGISTER'!$B:$B,'FLEET REGISTER'!$F:$F),"Unknown"))</f>
        <v/>
      </c>
      <c r="G422" s="200" t="n"/>
      <c r="H422" s="200" t="n"/>
      <c r="I422" s="200" t="n"/>
      <c r="J422" s="200" t="n"/>
      <c r="K422" s="200" t="n"/>
      <c r="L422" s="200" t="n"/>
    </row>
    <row r="423" ht="15" customHeight="1" s="122">
      <c r="E423" s="170">
        <f>IF(A423="","",IFERROR(xlookup(A423,'FLEET REGISTER'!$B:$B,'FLEET REGISTER'!$D:$D),"Unknown"))</f>
        <v/>
      </c>
      <c r="F423" s="170">
        <f>IF(A423="","",IFERROR(xlookup(A423,'FLEET REGISTER'!$B:$B,'FLEET REGISTER'!$F:$F),"Unknown"))</f>
        <v/>
      </c>
      <c r="G423" s="200" t="n"/>
      <c r="H423" s="200" t="n"/>
      <c r="I423" s="200" t="n"/>
      <c r="J423" s="200" t="n"/>
      <c r="K423" s="200" t="n"/>
      <c r="L423" s="200" t="n"/>
    </row>
    <row r="424" ht="15" customHeight="1" s="122">
      <c r="E424" s="170">
        <f>IF(A424="","",IFERROR(xlookup(A424,'FLEET REGISTER'!$B:$B,'FLEET REGISTER'!$D:$D),"Unknown"))</f>
        <v/>
      </c>
      <c r="F424" s="170">
        <f>IF(A424="","",IFERROR(xlookup(A424,'FLEET REGISTER'!$B:$B,'FLEET REGISTER'!$F:$F),"Unknown"))</f>
        <v/>
      </c>
      <c r="G424" s="200" t="n"/>
      <c r="H424" s="200" t="n"/>
      <c r="I424" s="200" t="n"/>
      <c r="J424" s="200" t="n"/>
      <c r="K424" s="200" t="n"/>
      <c r="L424" s="200" t="n"/>
    </row>
    <row r="425" ht="15" customHeight="1" s="122">
      <c r="E425" s="170">
        <f>IF(A425="","",IFERROR(xlookup(A425,'FLEET REGISTER'!$B:$B,'FLEET REGISTER'!$D:$D),"Unknown"))</f>
        <v/>
      </c>
      <c r="F425" s="170">
        <f>IF(A425="","",IFERROR(xlookup(A425,'FLEET REGISTER'!$B:$B,'FLEET REGISTER'!$F:$F),"Unknown"))</f>
        <v/>
      </c>
      <c r="G425" s="200" t="n"/>
      <c r="H425" s="200" t="n"/>
      <c r="I425" s="200" t="n"/>
      <c r="J425" s="200" t="n"/>
      <c r="K425" s="200" t="n"/>
      <c r="L425" s="200" t="n"/>
    </row>
    <row r="426" ht="15" customHeight="1" s="122">
      <c r="E426" s="170">
        <f>IF(A426="","",IFERROR(xlookup(A426,'FLEET REGISTER'!$B:$B,'FLEET REGISTER'!$D:$D),"Unknown"))</f>
        <v/>
      </c>
      <c r="F426" s="170">
        <f>IF(A426="","",IFERROR(xlookup(A426,'FLEET REGISTER'!$B:$B,'FLEET REGISTER'!$F:$F),"Unknown"))</f>
        <v/>
      </c>
      <c r="G426" s="200" t="n"/>
      <c r="H426" s="200" t="n"/>
      <c r="I426" s="200" t="n"/>
      <c r="J426" s="200" t="n"/>
      <c r="K426" s="200" t="n"/>
      <c r="L426" s="200" t="n"/>
    </row>
    <row r="427" ht="15" customHeight="1" s="122">
      <c r="E427" s="170">
        <f>IF(A427="","",IFERROR(xlookup(A427,'FLEET REGISTER'!$B:$B,'FLEET REGISTER'!$D:$D),"Unknown"))</f>
        <v/>
      </c>
      <c r="F427" s="170">
        <f>IF(A427="","",IFERROR(xlookup(A427,'FLEET REGISTER'!$B:$B,'FLEET REGISTER'!$F:$F),"Unknown"))</f>
        <v/>
      </c>
      <c r="G427" s="200" t="n"/>
      <c r="H427" s="200" t="n"/>
      <c r="I427" s="200" t="n"/>
      <c r="J427" s="200" t="n"/>
      <c r="K427" s="200" t="n"/>
      <c r="L427" s="200" t="n"/>
    </row>
    <row r="428" ht="15" customHeight="1" s="122">
      <c r="E428" s="170">
        <f>IF(A428="","",IFERROR(xlookup(A428,'FLEET REGISTER'!$B:$B,'FLEET REGISTER'!$D:$D),"Unknown"))</f>
        <v/>
      </c>
      <c r="F428" s="170">
        <f>IF(A428="","",IFERROR(xlookup(A428,'FLEET REGISTER'!$B:$B,'FLEET REGISTER'!$F:$F),"Unknown"))</f>
        <v/>
      </c>
      <c r="G428" s="200" t="n"/>
      <c r="H428" s="200" t="n"/>
      <c r="I428" s="200" t="n"/>
      <c r="J428" s="200" t="n"/>
      <c r="K428" s="200" t="n"/>
      <c r="L428" s="200" t="n"/>
    </row>
    <row r="429" ht="15" customHeight="1" s="122">
      <c r="E429" s="170">
        <f>IF(A429="","",IFERROR(xlookup(A429,'FLEET REGISTER'!$B:$B,'FLEET REGISTER'!$D:$D),"Unknown"))</f>
        <v/>
      </c>
      <c r="F429" s="170">
        <f>IF(A429="","",IFERROR(xlookup(A429,'FLEET REGISTER'!$B:$B,'FLEET REGISTER'!$F:$F),"Unknown"))</f>
        <v/>
      </c>
      <c r="G429" s="200" t="n"/>
      <c r="H429" s="200" t="n"/>
      <c r="I429" s="200" t="n"/>
      <c r="J429" s="200" t="n"/>
      <c r="K429" s="200" t="n"/>
      <c r="L429" s="200" t="n"/>
    </row>
    <row r="430" ht="15" customHeight="1" s="122">
      <c r="E430" s="170">
        <f>IF(A430="","",IFERROR(xlookup(A430,'FLEET REGISTER'!$B:$B,'FLEET REGISTER'!$D:$D),"Unknown"))</f>
        <v/>
      </c>
      <c r="F430" s="170">
        <f>IF(A430="","",IFERROR(xlookup(A430,'FLEET REGISTER'!$B:$B,'FLEET REGISTER'!$F:$F),"Unknown"))</f>
        <v/>
      </c>
      <c r="G430" s="200" t="n"/>
      <c r="H430" s="200" t="n"/>
      <c r="I430" s="200" t="n"/>
      <c r="J430" s="200" t="n"/>
      <c r="K430" s="200" t="n"/>
      <c r="L430" s="200" t="n"/>
    </row>
    <row r="431" ht="15" customHeight="1" s="122">
      <c r="E431" s="170">
        <f>IF(A431="","",IFERROR(xlookup(A431,'FLEET REGISTER'!$B:$B,'FLEET REGISTER'!$D:$D),"Unknown"))</f>
        <v/>
      </c>
      <c r="F431" s="170">
        <f>IF(A431="","",IFERROR(xlookup(A431,'FLEET REGISTER'!$B:$B,'FLEET REGISTER'!$F:$F),"Unknown"))</f>
        <v/>
      </c>
      <c r="G431" s="200" t="n"/>
      <c r="H431" s="200" t="n"/>
      <c r="I431" s="200" t="n"/>
      <c r="J431" s="200" t="n"/>
      <c r="K431" s="200" t="n"/>
      <c r="L431" s="200" t="n"/>
    </row>
    <row r="432" ht="15" customHeight="1" s="122">
      <c r="E432" s="170">
        <f>IF(A432="","",IFERROR(xlookup(A432,'FLEET REGISTER'!$B:$B,'FLEET REGISTER'!$D:$D),"Unknown"))</f>
        <v/>
      </c>
      <c r="F432" s="170">
        <f>IF(A432="","",IFERROR(xlookup(A432,'FLEET REGISTER'!$B:$B,'FLEET REGISTER'!$F:$F),"Unknown"))</f>
        <v/>
      </c>
      <c r="G432" s="200" t="n"/>
      <c r="H432" s="200" t="n"/>
      <c r="I432" s="200" t="n"/>
      <c r="J432" s="200" t="n"/>
      <c r="K432" s="200" t="n"/>
      <c r="L432" s="200" t="n"/>
    </row>
    <row r="433" ht="15" customHeight="1" s="122">
      <c r="E433" s="170">
        <f>IF(A433="","",IFERROR(xlookup(A433,'FLEET REGISTER'!$B:$B,'FLEET REGISTER'!$D:$D),"Unknown"))</f>
        <v/>
      </c>
      <c r="F433" s="170">
        <f>IF(A433="","",IFERROR(xlookup(A433,'FLEET REGISTER'!$B:$B,'FLEET REGISTER'!$F:$F),"Unknown"))</f>
        <v/>
      </c>
      <c r="G433" s="200" t="n"/>
      <c r="H433" s="200" t="n"/>
      <c r="I433" s="200" t="n"/>
      <c r="J433" s="200" t="n"/>
      <c r="K433" s="200" t="n"/>
      <c r="L433" s="200" t="n"/>
    </row>
    <row r="434" ht="15" customHeight="1" s="122">
      <c r="E434" s="170">
        <f>IF(A434="","",IFERROR(xlookup(A434,'FLEET REGISTER'!$B:$B,'FLEET REGISTER'!$D:$D),"Unknown"))</f>
        <v/>
      </c>
      <c r="F434" s="170">
        <f>IF(A434="","",IFERROR(xlookup(A434,'FLEET REGISTER'!$B:$B,'FLEET REGISTER'!$F:$F),"Unknown"))</f>
        <v/>
      </c>
      <c r="G434" s="200" t="n"/>
      <c r="H434" s="200" t="n"/>
      <c r="I434" s="200" t="n"/>
      <c r="J434" s="200" t="n"/>
      <c r="K434" s="200" t="n"/>
      <c r="L434" s="200" t="n"/>
    </row>
    <row r="435" ht="15" customHeight="1" s="122">
      <c r="E435" s="170">
        <f>IF(A435="","",IFERROR(xlookup(A435,'FLEET REGISTER'!$B:$B,'FLEET REGISTER'!$D:$D),"Unknown"))</f>
        <v/>
      </c>
      <c r="F435" s="170">
        <f>IF(A435="","",IFERROR(xlookup(A435,'FLEET REGISTER'!$B:$B,'FLEET REGISTER'!$F:$F),"Unknown"))</f>
        <v/>
      </c>
      <c r="G435" s="200" t="n"/>
      <c r="H435" s="200" t="n"/>
      <c r="I435" s="200" t="n"/>
      <c r="J435" s="200" t="n"/>
      <c r="K435" s="200" t="n"/>
      <c r="L435" s="200" t="n"/>
    </row>
    <row r="436" ht="15" customHeight="1" s="122">
      <c r="E436" s="170">
        <f>IF(A436="","",IFERROR(xlookup(A436,'FLEET REGISTER'!$B:$B,'FLEET REGISTER'!$D:$D),"Unknown"))</f>
        <v/>
      </c>
      <c r="F436" s="170">
        <f>IF(A436="","",IFERROR(xlookup(A436,'FLEET REGISTER'!$B:$B,'FLEET REGISTER'!$F:$F),"Unknown"))</f>
        <v/>
      </c>
      <c r="G436" s="200" t="n"/>
      <c r="H436" s="200" t="n"/>
      <c r="I436" s="200" t="n"/>
      <c r="J436" s="200" t="n"/>
      <c r="K436" s="200" t="n"/>
      <c r="L436" s="200" t="n"/>
    </row>
    <row r="437" ht="15" customHeight="1" s="122">
      <c r="E437" s="170">
        <f>IF(A437="","",IFERROR(xlookup(A437,'FLEET REGISTER'!$B:$B,'FLEET REGISTER'!$D:$D),"Unknown"))</f>
        <v/>
      </c>
      <c r="F437" s="170">
        <f>IF(A437="","",IFERROR(xlookup(A437,'FLEET REGISTER'!$B:$B,'FLEET REGISTER'!$F:$F),"Unknown"))</f>
        <v/>
      </c>
      <c r="G437" s="200" t="n"/>
      <c r="H437" s="200" t="n"/>
      <c r="I437" s="200" t="n"/>
      <c r="J437" s="200" t="n"/>
      <c r="K437" s="200" t="n"/>
      <c r="L437" s="200" t="n"/>
    </row>
    <row r="438" ht="15" customHeight="1" s="122">
      <c r="E438" s="170">
        <f>IF(A438="","",IFERROR(xlookup(A438,'FLEET REGISTER'!$B:$B,'FLEET REGISTER'!$D:$D),"Unknown"))</f>
        <v/>
      </c>
      <c r="F438" s="170">
        <f>IF(A438="","",IFERROR(xlookup(A438,'FLEET REGISTER'!$B:$B,'FLEET REGISTER'!$F:$F),"Unknown"))</f>
        <v/>
      </c>
      <c r="G438" s="200" t="n"/>
      <c r="H438" s="200" t="n"/>
      <c r="I438" s="200" t="n"/>
      <c r="J438" s="200" t="n"/>
      <c r="K438" s="200" t="n"/>
      <c r="L438" s="200" t="n"/>
    </row>
    <row r="439" ht="15" customHeight="1" s="122">
      <c r="E439" s="170">
        <f>IF(A439="","",IFERROR(xlookup(A439,'FLEET REGISTER'!$B:$B,'FLEET REGISTER'!$D:$D),"Unknown"))</f>
        <v/>
      </c>
      <c r="F439" s="170">
        <f>IF(A439="","",IFERROR(xlookup(A439,'FLEET REGISTER'!$B:$B,'FLEET REGISTER'!$F:$F),"Unknown"))</f>
        <v/>
      </c>
      <c r="G439" s="200" t="n"/>
      <c r="H439" s="200" t="n"/>
      <c r="I439" s="200" t="n"/>
      <c r="J439" s="200" t="n"/>
      <c r="K439" s="200" t="n"/>
      <c r="L439" s="200" t="n"/>
    </row>
    <row r="440" ht="15" customHeight="1" s="122">
      <c r="E440" s="170">
        <f>IF(A440="","",IFERROR(xlookup(A440,'FLEET REGISTER'!$B:$B,'FLEET REGISTER'!$D:$D),"Unknown"))</f>
        <v/>
      </c>
      <c r="F440" s="170">
        <f>IF(A440="","",IFERROR(xlookup(A440,'FLEET REGISTER'!$B:$B,'FLEET REGISTER'!$F:$F),"Unknown"))</f>
        <v/>
      </c>
      <c r="G440" s="200" t="n"/>
      <c r="H440" s="200" t="n"/>
      <c r="I440" s="200" t="n"/>
      <c r="J440" s="200" t="n"/>
      <c r="K440" s="200" t="n"/>
      <c r="L440" s="200" t="n"/>
    </row>
    <row r="441" ht="15" customHeight="1" s="122">
      <c r="E441" s="170">
        <f>IF(A441="","",IFERROR(xlookup(A441,'FLEET REGISTER'!$B:$B,'FLEET REGISTER'!$D:$D),"Unknown"))</f>
        <v/>
      </c>
      <c r="F441" s="170">
        <f>IF(A441="","",IFERROR(xlookup(A441,'FLEET REGISTER'!$B:$B,'FLEET REGISTER'!$F:$F),"Unknown"))</f>
        <v/>
      </c>
      <c r="G441" s="200" t="n"/>
      <c r="H441" s="200" t="n"/>
      <c r="I441" s="200" t="n"/>
      <c r="J441" s="200" t="n"/>
      <c r="K441" s="200" t="n"/>
      <c r="L441" s="200" t="n"/>
    </row>
    <row r="442" ht="15" customHeight="1" s="122">
      <c r="E442" s="170">
        <f>IF(A442="","",IFERROR(xlookup(A442,'FLEET REGISTER'!$B:$B,'FLEET REGISTER'!$D:$D),"Unknown"))</f>
        <v/>
      </c>
      <c r="F442" s="170">
        <f>IF(A442="","",IFERROR(xlookup(A442,'FLEET REGISTER'!$B:$B,'FLEET REGISTER'!$F:$F),"Unknown"))</f>
        <v/>
      </c>
      <c r="G442" s="200" t="n"/>
      <c r="H442" s="200" t="n"/>
      <c r="I442" s="200" t="n"/>
      <c r="J442" s="200" t="n"/>
      <c r="K442" s="200" t="n"/>
      <c r="L442" s="200" t="n"/>
    </row>
    <row r="443" ht="15" customHeight="1" s="122">
      <c r="E443" s="170">
        <f>IF(A443="","",IFERROR(xlookup(A443,'FLEET REGISTER'!$B:$B,'FLEET REGISTER'!$D:$D),"Unknown"))</f>
        <v/>
      </c>
      <c r="F443" s="170">
        <f>IF(A443="","",IFERROR(xlookup(A443,'FLEET REGISTER'!$B:$B,'FLEET REGISTER'!$F:$F),"Unknown"))</f>
        <v/>
      </c>
      <c r="G443" s="200" t="n"/>
      <c r="H443" s="200" t="n"/>
      <c r="I443" s="200" t="n"/>
      <c r="J443" s="200" t="n"/>
      <c r="K443" s="200" t="n"/>
      <c r="L443" s="200" t="n"/>
    </row>
    <row r="444" ht="15" customHeight="1" s="122">
      <c r="E444" s="170">
        <f>IF(A444="","",IFERROR(xlookup(A444,'FLEET REGISTER'!$B:$B,'FLEET REGISTER'!$D:$D),"Unknown"))</f>
        <v/>
      </c>
      <c r="F444" s="170">
        <f>IF(A444="","",IFERROR(xlookup(A444,'FLEET REGISTER'!$B:$B,'FLEET REGISTER'!$F:$F),"Unknown"))</f>
        <v/>
      </c>
      <c r="G444" s="200" t="n"/>
      <c r="H444" s="200" t="n"/>
      <c r="I444" s="200" t="n"/>
      <c r="J444" s="200" t="n"/>
      <c r="K444" s="200" t="n"/>
      <c r="L444" s="200" t="n"/>
    </row>
    <row r="445" ht="15" customHeight="1" s="122">
      <c r="E445" s="170">
        <f>IF(A445="","",IFERROR(xlookup(A445,'FLEET REGISTER'!$B:$B,'FLEET REGISTER'!$D:$D),"Unknown"))</f>
        <v/>
      </c>
      <c r="F445" s="170">
        <f>IF(A445="","",IFERROR(xlookup(A445,'FLEET REGISTER'!$B:$B,'FLEET REGISTER'!$F:$F),"Unknown"))</f>
        <v/>
      </c>
      <c r="G445" s="200" t="n"/>
      <c r="H445" s="200" t="n"/>
      <c r="I445" s="200" t="n"/>
      <c r="J445" s="200" t="n"/>
      <c r="K445" s="200" t="n"/>
      <c r="L445" s="200" t="n"/>
    </row>
    <row r="446" ht="15" customHeight="1" s="122">
      <c r="E446" s="170">
        <f>IF(A446="","",IFERROR(xlookup(A446,'FLEET REGISTER'!$B:$B,'FLEET REGISTER'!$D:$D),"Unknown"))</f>
        <v/>
      </c>
      <c r="F446" s="170">
        <f>IF(A446="","",IFERROR(xlookup(A446,'FLEET REGISTER'!$B:$B,'FLEET REGISTER'!$F:$F),"Unknown"))</f>
        <v/>
      </c>
      <c r="G446" s="200" t="n"/>
      <c r="H446" s="200" t="n"/>
      <c r="I446" s="200" t="n"/>
      <c r="J446" s="200" t="n"/>
      <c r="K446" s="200" t="n"/>
      <c r="L446" s="200" t="n"/>
    </row>
    <row r="447" ht="15" customHeight="1" s="122">
      <c r="E447" s="170">
        <f>IF(A447="","",IFERROR(xlookup(A447,'FLEET REGISTER'!$B:$B,'FLEET REGISTER'!$D:$D),"Unknown"))</f>
        <v/>
      </c>
      <c r="F447" s="170">
        <f>IF(A447="","",IFERROR(xlookup(A447,'FLEET REGISTER'!$B:$B,'FLEET REGISTER'!$F:$F),"Unknown"))</f>
        <v/>
      </c>
      <c r="G447" s="200" t="n"/>
      <c r="H447" s="200" t="n"/>
      <c r="I447" s="200" t="n"/>
      <c r="J447" s="200" t="n"/>
      <c r="K447" s="200" t="n"/>
      <c r="L447" s="200" t="n"/>
    </row>
    <row r="448" ht="15" customHeight="1" s="122">
      <c r="E448" s="170">
        <f>IF(A448="","",IFERROR(xlookup(A448,'FLEET REGISTER'!$B:$B,'FLEET REGISTER'!$D:$D),"Unknown"))</f>
        <v/>
      </c>
      <c r="F448" s="170">
        <f>IF(A448="","",IFERROR(xlookup(A448,'FLEET REGISTER'!$B:$B,'FLEET REGISTER'!$F:$F),"Unknown"))</f>
        <v/>
      </c>
      <c r="G448" s="200" t="n"/>
      <c r="H448" s="200" t="n"/>
      <c r="I448" s="200" t="n"/>
      <c r="J448" s="200" t="n"/>
      <c r="K448" s="200" t="n"/>
      <c r="L448" s="200" t="n"/>
    </row>
    <row r="449" ht="15" customHeight="1" s="122">
      <c r="E449" s="170">
        <f>IF(A449="","",IFERROR(xlookup(A449,'FLEET REGISTER'!$B:$B,'FLEET REGISTER'!$D:$D),"Unknown"))</f>
        <v/>
      </c>
      <c r="F449" s="170">
        <f>IF(A449="","",IFERROR(xlookup(A449,'FLEET REGISTER'!$B:$B,'FLEET REGISTER'!$F:$F),"Unknown"))</f>
        <v/>
      </c>
      <c r="G449" s="200" t="n"/>
      <c r="H449" s="200" t="n"/>
      <c r="I449" s="200" t="n"/>
      <c r="J449" s="200" t="n"/>
      <c r="K449" s="200" t="n"/>
      <c r="L449" s="200" t="n"/>
    </row>
    <row r="450" ht="15" customHeight="1" s="122">
      <c r="E450" s="170">
        <f>IF(A450="","",IFERROR(xlookup(A450,'FLEET REGISTER'!$B:$B,'FLEET REGISTER'!$D:$D),"Unknown"))</f>
        <v/>
      </c>
      <c r="F450" s="170">
        <f>IF(A450="","",IFERROR(xlookup(A450,'FLEET REGISTER'!$B:$B,'FLEET REGISTER'!$F:$F),"Unknown"))</f>
        <v/>
      </c>
      <c r="G450" s="200" t="n"/>
      <c r="H450" s="200" t="n"/>
      <c r="I450" s="200" t="n"/>
      <c r="J450" s="200" t="n"/>
      <c r="K450" s="200" t="n"/>
      <c r="L450" s="200" t="n"/>
    </row>
    <row r="451" ht="15" customHeight="1" s="122">
      <c r="E451" s="170">
        <f>IF(A451="","",IFERROR(xlookup(A451,'FLEET REGISTER'!$B:$B,'FLEET REGISTER'!$D:$D),"Unknown"))</f>
        <v/>
      </c>
      <c r="F451" s="170">
        <f>IF(A451="","",IFERROR(xlookup(A451,'FLEET REGISTER'!$B:$B,'FLEET REGISTER'!$F:$F),"Unknown"))</f>
        <v/>
      </c>
      <c r="G451" s="200" t="n"/>
      <c r="H451" s="200" t="n"/>
      <c r="I451" s="200" t="n"/>
      <c r="J451" s="200" t="n"/>
      <c r="K451" s="200" t="n"/>
      <c r="L451" s="200" t="n"/>
    </row>
    <row r="452" ht="15" customHeight="1" s="122">
      <c r="E452" s="170">
        <f>IF(A452="","",IFERROR(xlookup(A452,'FLEET REGISTER'!$B:$B,'FLEET REGISTER'!$D:$D),"Unknown"))</f>
        <v/>
      </c>
      <c r="F452" s="170">
        <f>IF(A452="","",IFERROR(xlookup(A452,'FLEET REGISTER'!$B:$B,'FLEET REGISTER'!$F:$F),"Unknown"))</f>
        <v/>
      </c>
      <c r="G452" s="200" t="n"/>
      <c r="H452" s="200" t="n"/>
      <c r="I452" s="200" t="n"/>
      <c r="J452" s="200" t="n"/>
      <c r="K452" s="200" t="n"/>
      <c r="L452" s="200" t="n"/>
    </row>
    <row r="453" ht="15" customHeight="1" s="122">
      <c r="E453" s="170">
        <f>IF(A453="","",IFERROR(xlookup(A453,'FLEET REGISTER'!$B:$B,'FLEET REGISTER'!$D:$D),"Unknown"))</f>
        <v/>
      </c>
      <c r="F453" s="170">
        <f>IF(A453="","",IFERROR(xlookup(A453,'FLEET REGISTER'!$B:$B,'FLEET REGISTER'!$F:$F),"Unknown"))</f>
        <v/>
      </c>
      <c r="G453" s="200" t="n"/>
      <c r="H453" s="200" t="n"/>
      <c r="I453" s="200" t="n"/>
      <c r="J453" s="200" t="n"/>
      <c r="K453" s="200" t="n"/>
      <c r="L453" s="200" t="n"/>
    </row>
    <row r="454" ht="15" customHeight="1" s="122">
      <c r="E454" s="170">
        <f>IF(A454="","",IFERROR(xlookup(A454,'FLEET REGISTER'!$B:$B,'FLEET REGISTER'!$D:$D),"Unknown"))</f>
        <v/>
      </c>
      <c r="F454" s="170">
        <f>IF(A454="","",IFERROR(xlookup(A454,'FLEET REGISTER'!$B:$B,'FLEET REGISTER'!$F:$F),"Unknown"))</f>
        <v/>
      </c>
      <c r="G454" s="200" t="n"/>
      <c r="H454" s="200" t="n"/>
      <c r="I454" s="200" t="n"/>
      <c r="J454" s="200" t="n"/>
      <c r="K454" s="200" t="n"/>
      <c r="L454" s="200" t="n"/>
    </row>
    <row r="455" ht="15" customHeight="1" s="122">
      <c r="E455" s="170">
        <f>IF(A455="","",IFERROR(xlookup(A455,'FLEET REGISTER'!$B:$B,'FLEET REGISTER'!$D:$D),"Unknown"))</f>
        <v/>
      </c>
      <c r="F455" s="170">
        <f>IF(A455="","",IFERROR(xlookup(A455,'FLEET REGISTER'!$B:$B,'FLEET REGISTER'!$F:$F),"Unknown"))</f>
        <v/>
      </c>
      <c r="G455" s="200" t="n"/>
      <c r="H455" s="200" t="n"/>
      <c r="I455" s="200" t="n"/>
      <c r="J455" s="200" t="n"/>
      <c r="K455" s="200" t="n"/>
      <c r="L455" s="200" t="n"/>
    </row>
    <row r="456" ht="15" customHeight="1" s="122">
      <c r="E456" s="170">
        <f>IF(A456="","",IFERROR(xlookup(A456,'FLEET REGISTER'!$B:$B,'FLEET REGISTER'!$D:$D),"Unknown"))</f>
        <v/>
      </c>
      <c r="F456" s="170">
        <f>IF(A456="","",IFERROR(xlookup(A456,'FLEET REGISTER'!$B:$B,'FLEET REGISTER'!$F:$F),"Unknown"))</f>
        <v/>
      </c>
      <c r="G456" s="200" t="n"/>
      <c r="H456" s="200" t="n"/>
      <c r="I456" s="200" t="n"/>
      <c r="J456" s="200" t="n"/>
      <c r="K456" s="200" t="n"/>
      <c r="L456" s="200" t="n"/>
    </row>
    <row r="457" ht="15" customHeight="1" s="122">
      <c r="E457" s="170">
        <f>IF(A457="","",IFERROR(xlookup(A457,'FLEET REGISTER'!$B:$B,'FLEET REGISTER'!$D:$D),"Unknown"))</f>
        <v/>
      </c>
      <c r="F457" s="170">
        <f>IF(A457="","",IFERROR(xlookup(A457,'FLEET REGISTER'!$B:$B,'FLEET REGISTER'!$F:$F),"Unknown"))</f>
        <v/>
      </c>
      <c r="G457" s="200" t="n"/>
      <c r="H457" s="200" t="n"/>
      <c r="I457" s="200" t="n"/>
      <c r="J457" s="200" t="n"/>
      <c r="K457" s="200" t="n"/>
      <c r="L457" s="200" t="n"/>
    </row>
    <row r="458" ht="15" customHeight="1" s="122">
      <c r="E458" s="170">
        <f>IF(A458="","",IFERROR(xlookup(A458,'FLEET REGISTER'!$B:$B,'FLEET REGISTER'!$D:$D),"Unknown"))</f>
        <v/>
      </c>
      <c r="F458" s="170">
        <f>IF(A458="","",IFERROR(xlookup(A458,'FLEET REGISTER'!$B:$B,'FLEET REGISTER'!$F:$F),"Unknown"))</f>
        <v/>
      </c>
      <c r="G458" s="200" t="n"/>
      <c r="H458" s="200" t="n"/>
      <c r="I458" s="200" t="n"/>
      <c r="J458" s="200" t="n"/>
      <c r="K458" s="200" t="n"/>
      <c r="L458" s="200" t="n"/>
    </row>
    <row r="459" ht="15" customHeight="1" s="122">
      <c r="E459" s="170">
        <f>IF(A459="","",IFERROR(xlookup(A459,'FLEET REGISTER'!$B:$B,'FLEET REGISTER'!$D:$D),"Unknown"))</f>
        <v/>
      </c>
      <c r="F459" s="170">
        <f>IF(A459="","",IFERROR(xlookup(A459,'FLEET REGISTER'!$B:$B,'FLEET REGISTER'!$F:$F),"Unknown"))</f>
        <v/>
      </c>
      <c r="G459" s="200" t="n"/>
      <c r="H459" s="200" t="n"/>
      <c r="I459" s="200" t="n"/>
      <c r="J459" s="200" t="n"/>
      <c r="K459" s="200" t="n"/>
      <c r="L459" s="200" t="n"/>
    </row>
    <row r="460" ht="15" customHeight="1" s="122">
      <c r="E460" s="170">
        <f>IF(A460="","",IFERROR(xlookup(A460,'FLEET REGISTER'!$B:$B,'FLEET REGISTER'!$D:$D),"Unknown"))</f>
        <v/>
      </c>
      <c r="F460" s="170">
        <f>IF(A460="","",IFERROR(xlookup(A460,'FLEET REGISTER'!$B:$B,'FLEET REGISTER'!$F:$F),"Unknown"))</f>
        <v/>
      </c>
      <c r="G460" s="200" t="n"/>
      <c r="H460" s="200" t="n"/>
      <c r="I460" s="200" t="n"/>
      <c r="J460" s="200" t="n"/>
      <c r="K460" s="200" t="n"/>
      <c r="L460" s="200" t="n"/>
    </row>
    <row r="461" ht="15" customHeight="1" s="122">
      <c r="E461" s="170">
        <f>IF(A461="","",IFERROR(xlookup(A461,'FLEET REGISTER'!$B:$B,'FLEET REGISTER'!$D:$D),"Unknown"))</f>
        <v/>
      </c>
      <c r="F461" s="170">
        <f>IF(A461="","",IFERROR(xlookup(A461,'FLEET REGISTER'!$B:$B,'FLEET REGISTER'!$F:$F),"Unknown"))</f>
        <v/>
      </c>
      <c r="G461" s="200" t="n"/>
      <c r="H461" s="200" t="n"/>
      <c r="I461" s="200" t="n"/>
      <c r="J461" s="200" t="n"/>
      <c r="K461" s="200" t="n"/>
      <c r="L461" s="200" t="n"/>
    </row>
    <row r="462" ht="15" customHeight="1" s="122">
      <c r="E462" s="170">
        <f>IF(A462="","",IFERROR(xlookup(A462,'FLEET REGISTER'!$B:$B,'FLEET REGISTER'!$D:$D),"Unknown"))</f>
        <v/>
      </c>
      <c r="F462" s="170">
        <f>IF(A462="","",IFERROR(xlookup(A462,'FLEET REGISTER'!$B:$B,'FLEET REGISTER'!$F:$F),"Unknown"))</f>
        <v/>
      </c>
      <c r="G462" s="200" t="n"/>
      <c r="H462" s="200" t="n"/>
      <c r="I462" s="200" t="n"/>
      <c r="J462" s="200" t="n"/>
      <c r="K462" s="200" t="n"/>
      <c r="L462" s="200" t="n"/>
    </row>
    <row r="463" ht="15" customHeight="1" s="122">
      <c r="E463" s="170">
        <f>IF(A463="","",IFERROR(xlookup(A463,'FLEET REGISTER'!$B:$B,'FLEET REGISTER'!$D:$D),"Unknown"))</f>
        <v/>
      </c>
      <c r="F463" s="170">
        <f>IF(A463="","",IFERROR(xlookup(A463,'FLEET REGISTER'!$B:$B,'FLEET REGISTER'!$F:$F),"Unknown"))</f>
        <v/>
      </c>
      <c r="G463" s="200" t="n"/>
      <c r="H463" s="200" t="n"/>
      <c r="I463" s="200" t="n"/>
      <c r="J463" s="200" t="n"/>
      <c r="K463" s="200" t="n"/>
      <c r="L463" s="200" t="n"/>
    </row>
    <row r="464" ht="15" customHeight="1" s="122">
      <c r="E464" s="170">
        <f>IF(A464="","",IFERROR(xlookup(A464,'FLEET REGISTER'!$B:$B,'FLEET REGISTER'!$D:$D),"Unknown"))</f>
        <v/>
      </c>
      <c r="F464" s="170">
        <f>IF(A464="","",IFERROR(xlookup(A464,'FLEET REGISTER'!$B:$B,'FLEET REGISTER'!$F:$F),"Unknown"))</f>
        <v/>
      </c>
      <c r="G464" s="200" t="n"/>
      <c r="H464" s="200" t="n"/>
      <c r="I464" s="200" t="n"/>
      <c r="J464" s="200" t="n"/>
      <c r="K464" s="200" t="n"/>
      <c r="L464" s="200" t="n"/>
    </row>
    <row r="465" ht="15" customHeight="1" s="122">
      <c r="E465" s="170">
        <f>IF(A465="","",IFERROR(xlookup(A465,'FLEET REGISTER'!$B:$B,'FLEET REGISTER'!$D:$D),"Unknown"))</f>
        <v/>
      </c>
      <c r="F465" s="170">
        <f>IF(A465="","",IFERROR(xlookup(A465,'FLEET REGISTER'!$B:$B,'FLEET REGISTER'!$F:$F),"Unknown"))</f>
        <v/>
      </c>
      <c r="G465" s="200" t="n"/>
      <c r="H465" s="200" t="n"/>
      <c r="I465" s="200" t="n"/>
      <c r="J465" s="200" t="n"/>
      <c r="K465" s="200" t="n"/>
      <c r="L465" s="200" t="n"/>
    </row>
    <row r="466" ht="15" customHeight="1" s="122">
      <c r="E466" s="170">
        <f>IF(A466="","",IFERROR(xlookup(A466,'FLEET REGISTER'!$B:$B,'FLEET REGISTER'!$D:$D),"Unknown"))</f>
        <v/>
      </c>
      <c r="F466" s="170">
        <f>IF(A466="","",IFERROR(xlookup(A466,'FLEET REGISTER'!$B:$B,'FLEET REGISTER'!$F:$F),"Unknown"))</f>
        <v/>
      </c>
      <c r="G466" s="200" t="n"/>
      <c r="H466" s="200" t="n"/>
      <c r="I466" s="200" t="n"/>
      <c r="J466" s="200" t="n"/>
      <c r="K466" s="200" t="n"/>
      <c r="L466" s="200" t="n"/>
    </row>
    <row r="467" ht="15" customHeight="1" s="122">
      <c r="E467" s="170">
        <f>IF(A467="","",IFERROR(xlookup(A467,'FLEET REGISTER'!$B:$B,'FLEET REGISTER'!$D:$D),"Unknown"))</f>
        <v/>
      </c>
      <c r="F467" s="170">
        <f>IF(A467="","",IFERROR(xlookup(A467,'FLEET REGISTER'!$B:$B,'FLEET REGISTER'!$F:$F),"Unknown"))</f>
        <v/>
      </c>
      <c r="G467" s="200" t="n"/>
      <c r="H467" s="200" t="n"/>
      <c r="I467" s="200" t="n"/>
      <c r="J467" s="200" t="n"/>
      <c r="K467" s="200" t="n"/>
      <c r="L467" s="200" t="n"/>
    </row>
    <row r="468" ht="15" customHeight="1" s="122">
      <c r="E468" s="170">
        <f>IF(A468="","",IFERROR(xlookup(A468,'FLEET REGISTER'!$B:$B,'FLEET REGISTER'!$D:$D),"Unknown"))</f>
        <v/>
      </c>
      <c r="F468" s="170">
        <f>IF(A468="","",IFERROR(xlookup(A468,'FLEET REGISTER'!$B:$B,'FLEET REGISTER'!$F:$F),"Unknown"))</f>
        <v/>
      </c>
      <c r="G468" s="200" t="n"/>
      <c r="H468" s="200" t="n"/>
      <c r="I468" s="200" t="n"/>
      <c r="J468" s="200" t="n"/>
      <c r="K468" s="200" t="n"/>
      <c r="L468" s="200" t="n"/>
    </row>
    <row r="469" ht="15" customHeight="1" s="122">
      <c r="E469" s="170">
        <f>IF(A469="","",IFERROR(xlookup(A469,'FLEET REGISTER'!$B:$B,'FLEET REGISTER'!$D:$D),"Unknown"))</f>
        <v/>
      </c>
      <c r="F469" s="170">
        <f>IF(A469="","",IFERROR(xlookup(A469,'FLEET REGISTER'!$B:$B,'FLEET REGISTER'!$F:$F),"Unknown"))</f>
        <v/>
      </c>
      <c r="G469" s="200" t="n"/>
      <c r="H469" s="200" t="n"/>
      <c r="I469" s="200" t="n"/>
      <c r="J469" s="200" t="n"/>
      <c r="K469" s="200" t="n"/>
      <c r="L469" s="200" t="n"/>
    </row>
    <row r="470" ht="15" customHeight="1" s="122">
      <c r="E470" s="170">
        <f>IF(A470="","",IFERROR(xlookup(A470,'FLEET REGISTER'!$B:$B,'FLEET REGISTER'!$D:$D),"Unknown"))</f>
        <v/>
      </c>
      <c r="F470" s="170">
        <f>IF(A470="","",IFERROR(xlookup(A470,'FLEET REGISTER'!$B:$B,'FLEET REGISTER'!$F:$F),"Unknown"))</f>
        <v/>
      </c>
      <c r="G470" s="200" t="n"/>
      <c r="H470" s="200" t="n"/>
      <c r="I470" s="200" t="n"/>
      <c r="J470" s="200" t="n"/>
      <c r="K470" s="200" t="n"/>
      <c r="L470" s="200" t="n"/>
    </row>
    <row r="471" ht="15" customHeight="1" s="122">
      <c r="E471" s="170">
        <f>IF(A471="","",IFERROR(xlookup(A471,'FLEET REGISTER'!$B:$B,'FLEET REGISTER'!$D:$D),"Unknown"))</f>
        <v/>
      </c>
      <c r="F471" s="170">
        <f>IF(A471="","",IFERROR(xlookup(A471,'FLEET REGISTER'!$B:$B,'FLEET REGISTER'!$F:$F),"Unknown"))</f>
        <v/>
      </c>
      <c r="G471" s="200" t="n"/>
      <c r="H471" s="200" t="n"/>
      <c r="I471" s="200" t="n"/>
      <c r="J471" s="200" t="n"/>
      <c r="K471" s="200" t="n"/>
      <c r="L471" s="200" t="n"/>
    </row>
    <row r="472" ht="15" customHeight="1" s="122">
      <c r="E472" s="170">
        <f>IF(A472="","",IFERROR(xlookup(A472,'FLEET REGISTER'!$B:$B,'FLEET REGISTER'!$D:$D),"Unknown"))</f>
        <v/>
      </c>
      <c r="F472" s="170">
        <f>IF(A472="","",IFERROR(xlookup(A472,'FLEET REGISTER'!$B:$B,'FLEET REGISTER'!$F:$F),"Unknown"))</f>
        <v/>
      </c>
      <c r="G472" s="200" t="n"/>
      <c r="H472" s="200" t="n"/>
      <c r="I472" s="200" t="n"/>
      <c r="J472" s="200" t="n"/>
      <c r="K472" s="200" t="n"/>
      <c r="L472" s="200" t="n"/>
    </row>
    <row r="473" ht="15" customHeight="1" s="122">
      <c r="E473" s="170">
        <f>IF(A473="","",IFERROR(xlookup(A473,'FLEET REGISTER'!$B:$B,'FLEET REGISTER'!$D:$D),"Unknown"))</f>
        <v/>
      </c>
      <c r="F473" s="170">
        <f>IF(A473="","",IFERROR(xlookup(A473,'FLEET REGISTER'!$B:$B,'FLEET REGISTER'!$F:$F),"Unknown"))</f>
        <v/>
      </c>
      <c r="G473" s="200" t="n"/>
      <c r="H473" s="200" t="n"/>
      <c r="I473" s="200" t="n"/>
      <c r="J473" s="200" t="n"/>
      <c r="K473" s="200" t="n"/>
      <c r="L473" s="200" t="n"/>
    </row>
    <row r="474" ht="15" customHeight="1" s="122">
      <c r="E474" s="170">
        <f>IF(A474="","",IFERROR(xlookup(A474,'FLEET REGISTER'!$B:$B,'FLEET REGISTER'!$D:$D),"Unknown"))</f>
        <v/>
      </c>
      <c r="F474" s="170">
        <f>IF(A474="","",IFERROR(xlookup(A474,'FLEET REGISTER'!$B:$B,'FLEET REGISTER'!$F:$F),"Unknown"))</f>
        <v/>
      </c>
      <c r="G474" s="200" t="n"/>
      <c r="H474" s="200" t="n"/>
      <c r="I474" s="200" t="n"/>
      <c r="J474" s="200" t="n"/>
      <c r="K474" s="200" t="n"/>
      <c r="L474" s="200" t="n"/>
    </row>
    <row r="475" ht="15" customHeight="1" s="122">
      <c r="E475" s="170">
        <f>IF(A475="","",IFERROR(xlookup(A475,'FLEET REGISTER'!$B:$B,'FLEET REGISTER'!$D:$D),"Unknown"))</f>
        <v/>
      </c>
      <c r="F475" s="170">
        <f>IF(A475="","",IFERROR(xlookup(A475,'FLEET REGISTER'!$B:$B,'FLEET REGISTER'!$F:$F),"Unknown"))</f>
        <v/>
      </c>
      <c r="G475" s="200" t="n"/>
      <c r="H475" s="200" t="n"/>
      <c r="I475" s="200" t="n"/>
      <c r="J475" s="200" t="n"/>
      <c r="K475" s="200" t="n"/>
      <c r="L475" s="200" t="n"/>
    </row>
    <row r="476" ht="15" customHeight="1" s="122">
      <c r="E476" s="170">
        <f>IF(A476="","",IFERROR(xlookup(A476,'FLEET REGISTER'!$B:$B,'FLEET REGISTER'!$D:$D),"Unknown"))</f>
        <v/>
      </c>
      <c r="F476" s="170">
        <f>IF(A476="","",IFERROR(xlookup(A476,'FLEET REGISTER'!$B:$B,'FLEET REGISTER'!$F:$F),"Unknown"))</f>
        <v/>
      </c>
      <c r="G476" s="200" t="n"/>
      <c r="H476" s="200" t="n"/>
      <c r="I476" s="200" t="n"/>
      <c r="J476" s="200" t="n"/>
      <c r="K476" s="200" t="n"/>
      <c r="L476" s="200" t="n"/>
    </row>
    <row r="477" ht="15" customHeight="1" s="122">
      <c r="E477" s="170">
        <f>IF(A477="","",IFERROR(xlookup(A477,'FLEET REGISTER'!$B:$B,'FLEET REGISTER'!$D:$D),"Unknown"))</f>
        <v/>
      </c>
      <c r="F477" s="170">
        <f>IF(A477="","",IFERROR(xlookup(A477,'FLEET REGISTER'!$B:$B,'FLEET REGISTER'!$F:$F),"Unknown"))</f>
        <v/>
      </c>
      <c r="G477" s="200" t="n"/>
      <c r="H477" s="200" t="n"/>
      <c r="I477" s="200" t="n"/>
      <c r="J477" s="200" t="n"/>
      <c r="K477" s="200" t="n"/>
      <c r="L477" s="200" t="n"/>
    </row>
    <row r="478" ht="15" customHeight="1" s="122">
      <c r="E478" s="170">
        <f>IF(A478="","",IFERROR(xlookup(A478,'FLEET REGISTER'!$B:$B,'FLEET REGISTER'!$D:$D),"Unknown"))</f>
        <v/>
      </c>
      <c r="F478" s="170">
        <f>IF(A478="","",IFERROR(xlookup(A478,'FLEET REGISTER'!$B:$B,'FLEET REGISTER'!$F:$F),"Unknown"))</f>
        <v/>
      </c>
      <c r="G478" s="200" t="n"/>
      <c r="H478" s="200" t="n"/>
      <c r="I478" s="200" t="n"/>
      <c r="J478" s="200" t="n"/>
      <c r="K478" s="200" t="n"/>
      <c r="L478" s="200" t="n"/>
    </row>
    <row r="479" ht="15" customHeight="1" s="122">
      <c r="E479" s="170">
        <f>IF(A479="","",IFERROR(xlookup(A479,'FLEET REGISTER'!$B:$B,'FLEET REGISTER'!$D:$D),"Unknown"))</f>
        <v/>
      </c>
      <c r="F479" s="170">
        <f>IF(A479="","",IFERROR(xlookup(A479,'FLEET REGISTER'!$B:$B,'FLEET REGISTER'!$F:$F),"Unknown"))</f>
        <v/>
      </c>
      <c r="G479" s="200" t="n"/>
      <c r="H479" s="200" t="n"/>
      <c r="I479" s="200" t="n"/>
      <c r="J479" s="200" t="n"/>
      <c r="K479" s="200" t="n"/>
      <c r="L479" s="200" t="n"/>
    </row>
    <row r="480" ht="15" customHeight="1" s="122">
      <c r="E480" s="170">
        <f>IF(A480="","",IFERROR(xlookup(A480,'FLEET REGISTER'!$B:$B,'FLEET REGISTER'!$D:$D),"Unknown"))</f>
        <v/>
      </c>
      <c r="F480" s="170">
        <f>IF(A480="","",IFERROR(xlookup(A480,'FLEET REGISTER'!$B:$B,'FLEET REGISTER'!$F:$F),"Unknown"))</f>
        <v/>
      </c>
      <c r="G480" s="200" t="n"/>
      <c r="H480" s="200" t="n"/>
      <c r="I480" s="200" t="n"/>
      <c r="J480" s="200" t="n"/>
      <c r="K480" s="200" t="n"/>
      <c r="L480" s="200" t="n"/>
    </row>
    <row r="481" ht="15" customHeight="1" s="122">
      <c r="E481" s="170">
        <f>IF(A481="","",IFERROR(xlookup(A481,'FLEET REGISTER'!$B:$B,'FLEET REGISTER'!$D:$D),"Unknown"))</f>
        <v/>
      </c>
      <c r="F481" s="170">
        <f>IF(A481="","",IFERROR(xlookup(A481,'FLEET REGISTER'!$B:$B,'FLEET REGISTER'!$F:$F),"Unknown"))</f>
        <v/>
      </c>
      <c r="G481" s="200" t="n"/>
      <c r="H481" s="200" t="n"/>
      <c r="I481" s="200" t="n"/>
      <c r="J481" s="200" t="n"/>
      <c r="K481" s="200" t="n"/>
      <c r="L481" s="200" t="n"/>
    </row>
    <row r="482" ht="15" customHeight="1" s="122">
      <c r="E482" s="170">
        <f>IF(A482="","",IFERROR(xlookup(A482,'FLEET REGISTER'!$B:$B,'FLEET REGISTER'!$D:$D),"Unknown"))</f>
        <v/>
      </c>
      <c r="F482" s="170">
        <f>IF(A482="","",IFERROR(xlookup(A482,'FLEET REGISTER'!$B:$B,'FLEET REGISTER'!$F:$F),"Unknown"))</f>
        <v/>
      </c>
      <c r="G482" s="200" t="n"/>
      <c r="H482" s="200" t="n"/>
      <c r="I482" s="200" t="n"/>
      <c r="J482" s="200" t="n"/>
      <c r="K482" s="200" t="n"/>
      <c r="L482" s="200" t="n"/>
    </row>
    <row r="483" ht="15" customHeight="1" s="122">
      <c r="E483" s="170">
        <f>IF(A483="","",IFERROR(xlookup(A483,'FLEET REGISTER'!$B:$B,'FLEET REGISTER'!$D:$D),"Unknown"))</f>
        <v/>
      </c>
      <c r="F483" s="170">
        <f>IF(A483="","",IFERROR(xlookup(A483,'FLEET REGISTER'!$B:$B,'FLEET REGISTER'!$F:$F),"Unknown"))</f>
        <v/>
      </c>
      <c r="G483" s="200" t="n"/>
      <c r="H483" s="200" t="n"/>
      <c r="I483" s="200" t="n"/>
      <c r="J483" s="200" t="n"/>
      <c r="K483" s="200" t="n"/>
      <c r="L483" s="200" t="n"/>
    </row>
    <row r="484" ht="15" customHeight="1" s="122">
      <c r="E484" s="170">
        <f>IF(A484="","",IFERROR(xlookup(A484,'FLEET REGISTER'!$B:$B,'FLEET REGISTER'!$D:$D),"Unknown"))</f>
        <v/>
      </c>
      <c r="F484" s="170">
        <f>IF(A484="","",IFERROR(xlookup(A484,'FLEET REGISTER'!$B:$B,'FLEET REGISTER'!$F:$F),"Unknown"))</f>
        <v/>
      </c>
      <c r="G484" s="200" t="n"/>
      <c r="H484" s="200" t="n"/>
      <c r="I484" s="200" t="n"/>
      <c r="J484" s="200" t="n"/>
      <c r="K484" s="200" t="n"/>
      <c r="L484" s="200" t="n"/>
    </row>
    <row r="485" ht="15" customHeight="1" s="122">
      <c r="E485" s="170">
        <f>IF(A485="","",IFERROR(xlookup(A485,'FLEET REGISTER'!$B:$B,'FLEET REGISTER'!$D:$D),"Unknown"))</f>
        <v/>
      </c>
      <c r="F485" s="170">
        <f>IF(A485="","",IFERROR(xlookup(A485,'FLEET REGISTER'!$B:$B,'FLEET REGISTER'!$F:$F),"Unknown"))</f>
        <v/>
      </c>
      <c r="G485" s="200" t="n"/>
      <c r="H485" s="200" t="n"/>
      <c r="I485" s="200" t="n"/>
      <c r="J485" s="200" t="n"/>
      <c r="K485" s="200" t="n"/>
      <c r="L485" s="200" t="n"/>
    </row>
    <row r="486" ht="15" customHeight="1" s="122">
      <c r="E486" s="170">
        <f>IF(A486="","",IFERROR(xlookup(A486,'FLEET REGISTER'!$B:$B,'FLEET REGISTER'!$D:$D),"Unknown"))</f>
        <v/>
      </c>
      <c r="F486" s="170">
        <f>IF(A486="","",IFERROR(xlookup(A486,'FLEET REGISTER'!$B:$B,'FLEET REGISTER'!$F:$F),"Unknown"))</f>
        <v/>
      </c>
      <c r="G486" s="200" t="n"/>
      <c r="H486" s="200" t="n"/>
      <c r="I486" s="200" t="n"/>
      <c r="J486" s="200" t="n"/>
      <c r="K486" s="200" t="n"/>
      <c r="L486" s="200" t="n"/>
    </row>
    <row r="487" ht="15" customHeight="1" s="122">
      <c r="E487" s="170">
        <f>IF(A487="","",IFERROR(xlookup(A487,'FLEET REGISTER'!$B:$B,'FLEET REGISTER'!$D:$D),"Unknown"))</f>
        <v/>
      </c>
      <c r="F487" s="170">
        <f>IF(A487="","",IFERROR(xlookup(A487,'FLEET REGISTER'!$B:$B,'FLEET REGISTER'!$F:$F),"Unknown"))</f>
        <v/>
      </c>
      <c r="G487" s="200" t="n"/>
      <c r="H487" s="200" t="n"/>
      <c r="I487" s="200" t="n"/>
      <c r="J487" s="200" t="n"/>
      <c r="K487" s="200" t="n"/>
      <c r="L487" s="200" t="n"/>
    </row>
    <row r="488" ht="15" customHeight="1" s="122">
      <c r="E488" s="170">
        <f>IF(A488="","",IFERROR(xlookup(A488,'FLEET REGISTER'!$B:$B,'FLEET REGISTER'!$D:$D),"Unknown"))</f>
        <v/>
      </c>
      <c r="F488" s="170">
        <f>IF(A488="","",IFERROR(xlookup(A488,'FLEET REGISTER'!$B:$B,'FLEET REGISTER'!$F:$F),"Unknown"))</f>
        <v/>
      </c>
      <c r="G488" s="200" t="n"/>
      <c r="H488" s="200" t="n"/>
      <c r="I488" s="200" t="n"/>
      <c r="J488" s="200" t="n"/>
      <c r="K488" s="200" t="n"/>
      <c r="L488" s="200" t="n"/>
    </row>
    <row r="489" ht="15" customHeight="1" s="122">
      <c r="E489" s="170">
        <f>IF(A489="","",IFERROR(xlookup(A489,'FLEET REGISTER'!$B:$B,'FLEET REGISTER'!$D:$D),"Unknown"))</f>
        <v/>
      </c>
      <c r="F489" s="170">
        <f>IF(A489="","",IFERROR(xlookup(A489,'FLEET REGISTER'!$B:$B,'FLEET REGISTER'!$F:$F),"Unknown"))</f>
        <v/>
      </c>
      <c r="G489" s="200" t="n"/>
      <c r="H489" s="200" t="n"/>
      <c r="I489" s="200" t="n"/>
      <c r="J489" s="200" t="n"/>
      <c r="K489" s="200" t="n"/>
      <c r="L489" s="200" t="n"/>
    </row>
    <row r="490" ht="15" customHeight="1" s="122">
      <c r="E490" s="170">
        <f>IF(A490="","",IFERROR(xlookup(A490,'FLEET REGISTER'!$B:$B,'FLEET REGISTER'!$D:$D),"Unknown"))</f>
        <v/>
      </c>
      <c r="F490" s="170">
        <f>IF(A490="","",IFERROR(xlookup(A490,'FLEET REGISTER'!$B:$B,'FLEET REGISTER'!$F:$F),"Unknown"))</f>
        <v/>
      </c>
      <c r="G490" s="200" t="n"/>
      <c r="H490" s="200" t="n"/>
      <c r="I490" s="200" t="n"/>
      <c r="J490" s="200" t="n"/>
      <c r="K490" s="200" t="n"/>
      <c r="L490" s="200" t="n"/>
    </row>
    <row r="491" ht="15" customHeight="1" s="122">
      <c r="E491" s="170">
        <f>IF(A491="","",IFERROR(xlookup(A491,'FLEET REGISTER'!$B:$B,'FLEET REGISTER'!$D:$D),"Unknown"))</f>
        <v/>
      </c>
      <c r="F491" s="170">
        <f>IF(A491="","",IFERROR(xlookup(A491,'FLEET REGISTER'!$B:$B,'FLEET REGISTER'!$F:$F),"Unknown"))</f>
        <v/>
      </c>
      <c r="G491" s="200" t="n"/>
      <c r="H491" s="200" t="n"/>
      <c r="I491" s="200" t="n"/>
      <c r="J491" s="200" t="n"/>
      <c r="K491" s="200" t="n"/>
      <c r="L491" s="200" t="n"/>
    </row>
    <row r="492" ht="15" customHeight="1" s="122">
      <c r="E492" s="170">
        <f>IF(A492="","",IFERROR(xlookup(A492,'FLEET REGISTER'!$B:$B,'FLEET REGISTER'!$D:$D),"Unknown"))</f>
        <v/>
      </c>
      <c r="F492" s="170">
        <f>IF(A492="","",IFERROR(xlookup(A492,'FLEET REGISTER'!$B:$B,'FLEET REGISTER'!$F:$F),"Unknown"))</f>
        <v/>
      </c>
      <c r="G492" s="200" t="n"/>
      <c r="H492" s="200" t="n"/>
      <c r="I492" s="200" t="n"/>
      <c r="J492" s="200" t="n"/>
      <c r="K492" s="200" t="n"/>
      <c r="L492" s="200" t="n"/>
    </row>
    <row r="493" ht="15" customHeight="1" s="122">
      <c r="E493" s="170">
        <f>IF(A493="","",IFERROR(xlookup(A493,'FLEET REGISTER'!$B:$B,'FLEET REGISTER'!$D:$D),"Unknown"))</f>
        <v/>
      </c>
      <c r="F493" s="170">
        <f>IF(A493="","",IFERROR(xlookup(A493,'FLEET REGISTER'!$B:$B,'FLEET REGISTER'!$F:$F),"Unknown"))</f>
        <v/>
      </c>
      <c r="G493" s="200" t="n"/>
      <c r="H493" s="200" t="n"/>
      <c r="I493" s="200" t="n"/>
      <c r="J493" s="200" t="n"/>
      <c r="K493" s="200" t="n"/>
      <c r="L493" s="200" t="n"/>
    </row>
    <row r="494" ht="15" customHeight="1" s="122">
      <c r="E494" s="170">
        <f>IF(A494="","",IFERROR(xlookup(A494,'FLEET REGISTER'!$B:$B,'FLEET REGISTER'!$D:$D),"Unknown"))</f>
        <v/>
      </c>
      <c r="F494" s="170">
        <f>IF(A494="","",IFERROR(xlookup(A494,'FLEET REGISTER'!$B:$B,'FLEET REGISTER'!$F:$F),"Unknown"))</f>
        <v/>
      </c>
      <c r="G494" s="200" t="n"/>
      <c r="H494" s="200" t="n"/>
      <c r="I494" s="200" t="n"/>
      <c r="J494" s="200" t="n"/>
      <c r="K494" s="200" t="n"/>
      <c r="L494" s="200" t="n"/>
    </row>
    <row r="495" ht="15" customHeight="1" s="122">
      <c r="E495" s="170">
        <f>IF(A495="","",IFERROR(xlookup(A495,'FLEET REGISTER'!$B:$B,'FLEET REGISTER'!$D:$D),"Unknown"))</f>
        <v/>
      </c>
      <c r="F495" s="170">
        <f>IF(A495="","",IFERROR(xlookup(A495,'FLEET REGISTER'!$B:$B,'FLEET REGISTER'!$F:$F),"Unknown"))</f>
        <v/>
      </c>
      <c r="G495" s="200" t="n"/>
      <c r="H495" s="200" t="n"/>
      <c r="I495" s="200" t="n"/>
      <c r="J495" s="200" t="n"/>
      <c r="K495" s="200" t="n"/>
      <c r="L495" s="200" t="n"/>
    </row>
    <row r="496" ht="15" customHeight="1" s="122">
      <c r="E496" s="170">
        <f>IF(A496="","",IFERROR(xlookup(A496,'FLEET REGISTER'!$B:$B,'FLEET REGISTER'!$D:$D),"Unknown"))</f>
        <v/>
      </c>
      <c r="F496" s="170">
        <f>IF(A496="","",IFERROR(xlookup(A496,'FLEET REGISTER'!$B:$B,'FLEET REGISTER'!$F:$F),"Unknown"))</f>
        <v/>
      </c>
      <c r="G496" s="200" t="n"/>
      <c r="H496" s="200" t="n"/>
      <c r="I496" s="200" t="n"/>
      <c r="J496" s="200" t="n"/>
      <c r="K496" s="200" t="n"/>
      <c r="L496" s="200" t="n"/>
    </row>
    <row r="497" ht="15" customHeight="1" s="122">
      <c r="E497" s="170">
        <f>IF(A497="","",IFERROR(xlookup(A497,'FLEET REGISTER'!$B:$B,'FLEET REGISTER'!$D:$D),"Unknown"))</f>
        <v/>
      </c>
      <c r="F497" s="170">
        <f>IF(A497="","",IFERROR(xlookup(A497,'FLEET REGISTER'!$B:$B,'FLEET REGISTER'!$F:$F),"Unknown"))</f>
        <v/>
      </c>
      <c r="G497" s="200" t="n"/>
      <c r="H497" s="200" t="n"/>
      <c r="I497" s="200" t="n"/>
      <c r="J497" s="200" t="n"/>
      <c r="K497" s="200" t="n"/>
      <c r="L497" s="200" t="n"/>
    </row>
    <row r="498" ht="15" customHeight="1" s="122">
      <c r="E498" s="170">
        <f>IF(A498="","",IFERROR(xlookup(A498,'FLEET REGISTER'!$B:$B,'FLEET REGISTER'!$D:$D),"Unknown"))</f>
        <v/>
      </c>
      <c r="F498" s="170">
        <f>IF(A498="","",IFERROR(xlookup(A498,'FLEET REGISTER'!$B:$B,'FLEET REGISTER'!$F:$F),"Unknown"))</f>
        <v/>
      </c>
      <c r="G498" s="200" t="n"/>
      <c r="H498" s="200" t="n"/>
      <c r="I498" s="200" t="n"/>
      <c r="J498" s="200" t="n"/>
      <c r="K498" s="200" t="n"/>
      <c r="L498" s="200" t="n"/>
    </row>
    <row r="499" ht="15" customHeight="1" s="122">
      <c r="E499" s="170">
        <f>IF(A499="","",IFERROR(xlookup(A499,'FLEET REGISTER'!$B:$B,'FLEET REGISTER'!$D:$D),"Unknown"))</f>
        <v/>
      </c>
      <c r="F499" s="170">
        <f>IF(A499="","",IFERROR(xlookup(A499,'FLEET REGISTER'!$B:$B,'FLEET REGISTER'!$F:$F),"Unknown"))</f>
        <v/>
      </c>
      <c r="G499" s="200" t="n"/>
      <c r="H499" s="200" t="n"/>
      <c r="I499" s="200" t="n"/>
      <c r="J499" s="200" t="n"/>
      <c r="K499" s="200" t="n"/>
      <c r="L499" s="200" t="n"/>
    </row>
  </sheetData>
  <autoFilter ref="A3:L3"/>
  <mergeCells count="2">
    <mergeCell ref="A2:L2"/>
    <mergeCell ref="A1:L1"/>
  </mergeCells>
  <conditionalFormatting sqref="A4:L500">
    <cfRule type="expression" rank="0" priority="2" equalAverage="0" aboveAverage="0" dxfId="18" text="" percent="0" bottom="0">
      <formula>$G4="Permission Granted"</formula>
    </cfRule>
    <cfRule type="expression" rank="0" priority="3" equalAverage="0" aboveAverage="0" dxfId="13" text="" percent="0" bottom="0">
      <formula>AND($G4="Not Granted",$I4="None",$A4&lt;&gt;"")</formula>
    </cfRule>
  </conditionalFormatting>
  <dataValidations count="2">
    <dataValidation sqref="G4:G500" showDropDown="0" showInputMessage="0" showErrorMessage="0" allowBlank="1" type="list" errorStyle="stop" operator="between">
      <formula1>"Not Granted,Permission Granted,Under Investigation,Escalated to HR"</formula1>
      <formula2>0</formula2>
    </dataValidation>
    <dataValidation sqref="I4:I500" showDropDown="0" showInputMessage="0" showErrorMessage="0" allowBlank="1" type="list" errorStyle="stop" operator="between">
      <formula1>"None,Verbal Warning,Official Warning,Show Cause Letter,Disciplinary Hearing,Suspended,Dismissed,Cleared"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4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21" min="1" max="1"/>
    <col width="20" customWidth="1" style="121" min="2" max="2"/>
    <col width="14" customWidth="1" style="121" min="3" max="3"/>
    <col width="16" customWidth="1" style="121" min="4" max="4"/>
    <col width="18" customWidth="1" style="121" min="5" max="5"/>
    <col width="13" customWidth="1" style="121" min="6" max="6"/>
    <col width="18" customWidth="1" style="121" min="7" max="7"/>
    <col width="22" customWidth="1" style="121" min="8" max="9"/>
    <col width="13" customWidth="1" style="121" min="10" max="10"/>
    <col width="16" customWidth="1" style="121" min="11" max="11"/>
    <col width="22" customWidth="1" style="121" min="12" max="12"/>
  </cols>
  <sheetData>
    <row r="1" ht="27.75" customHeight="1" s="122">
      <c r="A1" s="201" t="inlineStr">
        <is>
          <t>🌙  LATE HOURS FLAGS — DRIVING PAST 10PM &amp; PAST MIDNIGHT</t>
        </is>
      </c>
    </row>
    <row r="2" ht="15.75" customHeight="1" s="122">
      <c r="A2" s="202" t="inlineStr">
        <is>
          <t>Columns A–F auto-populate via FILTER.  Amber = past 10pm only.  Red = past midnight.  Columns G–L require manual entry.  Use "Permission Granted" to deprioritize rows.</t>
        </is>
      </c>
    </row>
    <row r="3" ht="21.75" customHeight="1" s="122">
      <c r="A3" s="196" t="inlineStr">
        <is>
          <t>Car Reg</t>
        </is>
      </c>
      <c r="B3" s="196" t="inlineStr">
        <is>
          <t>End Time</t>
        </is>
      </c>
      <c r="C3" s="196" t="inlineStr">
        <is>
          <t>Past 10pm (Days)</t>
        </is>
      </c>
      <c r="D3" s="196" t="inlineStr">
        <is>
          <t>Past Midnight (Days)</t>
        </is>
      </c>
      <c r="E3" s="196" t="inlineStr">
        <is>
          <t>Severity</t>
        </is>
      </c>
      <c r="F3" s="196" t="inlineStr">
        <is>
          <t>Region</t>
        </is>
      </c>
      <c r="G3" s="162" t="inlineStr">
        <is>
          <t>Permission?</t>
        </is>
      </c>
      <c r="H3" s="162" t="inlineStr">
        <is>
          <t>Reason for Permission</t>
        </is>
      </c>
      <c r="I3" s="162" t="inlineStr">
        <is>
          <t>Discipline Action</t>
        </is>
      </c>
      <c r="J3" s="162" t="inlineStr">
        <is>
          <t>Action Date</t>
        </is>
      </c>
      <c r="K3" s="162" t="inlineStr">
        <is>
          <t>Issued By</t>
        </is>
      </c>
      <c r="L3" s="162" t="inlineStr">
        <is>
          <t>Remarks</t>
        </is>
      </c>
    </row>
    <row r="4" ht="15" customHeight="1" s="122">
      <c r="A4" s="203">
        <f>IFERROR(filter('MONTHLY ANALYSIS'!$A$4:$A$58,('MONTHLY ANALYSIS'!$L$4:$L$58&gt;0)+('MONTHLY ANALYSIS'!$M$4:$M$58&gt;0)),"")</f>
        <v/>
      </c>
      <c r="B4" s="197">
        <f>IF(A4="","",IFERROR(xlookup(A4,'MONTHLY ANALYSIS'!$A:$A,'MONTHLY ANALYSIS'!$L:$L),0))</f>
        <v/>
      </c>
      <c r="C4" s="204">
        <f>IF(A4="","",IFERROR(xlookup(A4,'MONTHLY ANALYSIS'!$A:$A,'MONTHLY ANALYSIS'!$L:$L),0))</f>
        <v/>
      </c>
      <c r="D4" s="205">
        <f>IF(A4="","",IFERROR(xlookup(A4,'MONTHLY ANALYSIS'!$A:$A,'MONTHLY ANALYSIS'!$M:$M),0))</f>
        <v/>
      </c>
      <c r="E4" s="190">
        <f>IF(A4="","",IF(D4&gt;0,"⚑ PAST MIDNIGHT","⚠ PAST 10PM ONLY"))</f>
        <v/>
      </c>
      <c r="F4" s="170">
        <f>IF(A4="","",IFERROR(xlookup(A4,'FLEET REGISTER'!$B:$B,'FLEET REGISTER'!$F:$F),"Unknown"))</f>
        <v/>
      </c>
      <c r="G4" s="200" t="n"/>
      <c r="H4" s="200" t="n"/>
      <c r="I4" s="200" t="n"/>
      <c r="J4" s="200" t="n"/>
      <c r="K4" s="200" t="n"/>
      <c r="L4" s="200" t="n"/>
    </row>
    <row r="5" ht="15" customHeight="1" s="122">
      <c r="A5" s="197">
        <f>IF(A4="","","")</f>
        <v/>
      </c>
      <c r="B5" s="197">
        <f>IF(A5="","",IFERROR(xlookup(A5,'MONTHLY ANALYSIS'!$A:$A,'MONTHLY ANALYSIS'!$L:$L),0))</f>
        <v/>
      </c>
      <c r="C5" s="204">
        <f>IF(A5="","",IFERROR(xlookup(A5,'MONTHLY ANALYSIS'!$A:$A,'MONTHLY ANALYSIS'!$L:$L),0))</f>
        <v/>
      </c>
      <c r="D5" s="205">
        <f>IF(A5="","",IFERROR(xlookup(A5,'MONTHLY ANALYSIS'!$A:$A,'MONTHLY ANALYSIS'!$M:$M),0))</f>
        <v/>
      </c>
      <c r="E5" s="190">
        <f>IF(A5="","",IF(D5&gt;0,"⚑ PAST MIDNIGHT","⚠ PAST 10PM ONLY"))</f>
        <v/>
      </c>
      <c r="F5" s="170">
        <f>IF(A5="","",IFERROR(xlookup(A5,'FLEET REGISTER'!$B:$B,'FLEET REGISTER'!$F:$F),"Unknown"))</f>
        <v/>
      </c>
      <c r="G5" s="200" t="n"/>
      <c r="H5" s="200" t="n"/>
      <c r="I5" s="200" t="n"/>
      <c r="J5" s="200" t="n"/>
      <c r="K5" s="200" t="n"/>
      <c r="L5" s="200" t="n"/>
    </row>
    <row r="6" ht="15" customHeight="1" s="122">
      <c r="A6" s="197">
        <f>IF(A5="","","")</f>
        <v/>
      </c>
      <c r="B6" s="197">
        <f>IF(A6="","",IFERROR(xlookup(A6,'MONTHLY ANALYSIS'!$A:$A,'MONTHLY ANALYSIS'!$L:$L),0))</f>
        <v/>
      </c>
      <c r="C6" s="204">
        <f>IF(A6="","",IFERROR(xlookup(A6,'MONTHLY ANALYSIS'!$A:$A,'MONTHLY ANALYSIS'!$L:$L),0))</f>
        <v/>
      </c>
      <c r="D6" s="205">
        <f>IF(A6="","",IFERROR(xlookup(A6,'MONTHLY ANALYSIS'!$A:$A,'MONTHLY ANALYSIS'!$M:$M),0))</f>
        <v/>
      </c>
      <c r="E6" s="190">
        <f>IF(A6="","",IF(D6&gt;0,"⚑ PAST MIDNIGHT","⚠ PAST 10PM ONLY"))</f>
        <v/>
      </c>
      <c r="F6" s="170">
        <f>IF(A6="","",IFERROR(xlookup(A6,'FLEET REGISTER'!$B:$B,'FLEET REGISTER'!$F:$F),"Unknown"))</f>
        <v/>
      </c>
      <c r="G6" s="200" t="n"/>
      <c r="H6" s="200" t="n"/>
      <c r="I6" s="200" t="n"/>
      <c r="J6" s="200" t="n"/>
      <c r="K6" s="200" t="n"/>
      <c r="L6" s="200" t="n"/>
    </row>
    <row r="7" ht="15" customHeight="1" s="122">
      <c r="A7" s="197">
        <f>IF(A6="","","")</f>
        <v/>
      </c>
      <c r="B7" s="197">
        <f>IF(A7="","",IFERROR(xlookup(A7,'MONTHLY ANALYSIS'!$A:$A,'MONTHLY ANALYSIS'!$L:$L),0))</f>
        <v/>
      </c>
      <c r="C7" s="204">
        <f>IF(A7="","",IFERROR(xlookup(A7,'MONTHLY ANALYSIS'!$A:$A,'MONTHLY ANALYSIS'!$L:$L),0))</f>
        <v/>
      </c>
      <c r="D7" s="205">
        <f>IF(A7="","",IFERROR(xlookup(A7,'MONTHLY ANALYSIS'!$A:$A,'MONTHLY ANALYSIS'!$M:$M),0))</f>
        <v/>
      </c>
      <c r="E7" s="190">
        <f>IF(A7="","",IF(D7&gt;0,"⚑ PAST MIDNIGHT","⚠ PAST 10PM ONLY"))</f>
        <v/>
      </c>
      <c r="F7" s="170">
        <f>IF(A7="","",IFERROR(xlookup(A7,'FLEET REGISTER'!$B:$B,'FLEET REGISTER'!$F:$F),"Unknown"))</f>
        <v/>
      </c>
      <c r="G7" s="200" t="n"/>
      <c r="H7" s="200" t="n"/>
      <c r="I7" s="200" t="n"/>
      <c r="J7" s="200" t="n"/>
      <c r="K7" s="200" t="n"/>
      <c r="L7" s="200" t="n"/>
    </row>
    <row r="8" ht="15" customHeight="1" s="122">
      <c r="A8" s="197">
        <f>IF(A7="","","")</f>
        <v/>
      </c>
      <c r="B8" s="197">
        <f>IF(A8="","",IFERROR(xlookup(A8,'MONTHLY ANALYSIS'!$A:$A,'MONTHLY ANALYSIS'!$L:$L),0))</f>
        <v/>
      </c>
      <c r="C8" s="204">
        <f>IF(A8="","",IFERROR(xlookup(A8,'MONTHLY ANALYSIS'!$A:$A,'MONTHLY ANALYSIS'!$L:$L),0))</f>
        <v/>
      </c>
      <c r="D8" s="205">
        <f>IF(A8="","",IFERROR(xlookup(A8,'MONTHLY ANALYSIS'!$A:$A,'MONTHLY ANALYSIS'!$M:$M),0))</f>
        <v/>
      </c>
      <c r="E8" s="190">
        <f>IF(A8="","",IF(D8&gt;0,"⚑ PAST MIDNIGHT","⚠ PAST 10PM ONLY"))</f>
        <v/>
      </c>
      <c r="F8" s="170">
        <f>IF(A8="","",IFERROR(xlookup(A8,'FLEET REGISTER'!$B:$B,'FLEET REGISTER'!$F:$F),"Unknown"))</f>
        <v/>
      </c>
      <c r="G8" s="200" t="n"/>
      <c r="H8" s="200" t="n"/>
      <c r="I8" s="200" t="n"/>
      <c r="J8" s="200" t="n"/>
      <c r="K8" s="200" t="n"/>
      <c r="L8" s="200" t="n"/>
    </row>
    <row r="9" ht="15" customHeight="1" s="122">
      <c r="A9" s="197">
        <f>IF(A8="","","")</f>
        <v/>
      </c>
      <c r="B9" s="197">
        <f>IF(A9="","",IFERROR(xlookup(A9,'MONTHLY ANALYSIS'!$A:$A,'MONTHLY ANALYSIS'!$L:$L),0))</f>
        <v/>
      </c>
      <c r="C9" s="204">
        <f>IF(A9="","",IFERROR(xlookup(A9,'MONTHLY ANALYSIS'!$A:$A,'MONTHLY ANALYSIS'!$L:$L),0))</f>
        <v/>
      </c>
      <c r="D9" s="205">
        <f>IF(A9="","",IFERROR(xlookup(A9,'MONTHLY ANALYSIS'!$A:$A,'MONTHLY ANALYSIS'!$M:$M),0))</f>
        <v/>
      </c>
      <c r="E9" s="190">
        <f>IF(A9="","",IF(D9&gt;0,"⚑ PAST MIDNIGHT","⚠ PAST 10PM ONLY"))</f>
        <v/>
      </c>
      <c r="F9" s="170">
        <f>IF(A9="","",IFERROR(xlookup(A9,'FLEET REGISTER'!$B:$B,'FLEET REGISTER'!$F:$F),"Unknown"))</f>
        <v/>
      </c>
      <c r="G9" s="200" t="n"/>
      <c r="H9" s="200" t="n"/>
      <c r="I9" s="200" t="n"/>
      <c r="J9" s="200" t="n"/>
      <c r="K9" s="200" t="n"/>
      <c r="L9" s="200" t="n"/>
    </row>
    <row r="10" ht="15" customHeight="1" s="122">
      <c r="A10" s="197">
        <f>IF(A9="","","")</f>
        <v/>
      </c>
      <c r="B10" s="197">
        <f>IF(A10="","",IFERROR(xlookup(A10,'MONTHLY ANALYSIS'!$A:$A,'MONTHLY ANALYSIS'!$L:$L),0))</f>
        <v/>
      </c>
      <c r="C10" s="204">
        <f>IF(A10="","",IFERROR(xlookup(A10,'MONTHLY ANALYSIS'!$A:$A,'MONTHLY ANALYSIS'!$L:$L),0))</f>
        <v/>
      </c>
      <c r="D10" s="205">
        <f>IF(A10="","",IFERROR(xlookup(A10,'MONTHLY ANALYSIS'!$A:$A,'MONTHLY ANALYSIS'!$M:$M),0))</f>
        <v/>
      </c>
      <c r="E10" s="190">
        <f>IF(A10="","",IF(D10&gt;0,"⚑ PAST MIDNIGHT","⚠ PAST 10PM ONLY"))</f>
        <v/>
      </c>
      <c r="F10" s="170">
        <f>IF(A10="","",IFERROR(xlookup(A10,'FLEET REGISTER'!$B:$B,'FLEET REGISTER'!$F:$F),"Unknown"))</f>
        <v/>
      </c>
      <c r="G10" s="200" t="n"/>
      <c r="H10" s="200" t="n"/>
      <c r="I10" s="200" t="n"/>
      <c r="J10" s="200" t="n"/>
      <c r="K10" s="200" t="n"/>
      <c r="L10" s="200" t="n"/>
    </row>
    <row r="11" ht="15" customHeight="1" s="122">
      <c r="A11" s="197">
        <f>IF(A10="","","")</f>
        <v/>
      </c>
      <c r="B11" s="197">
        <f>IF(A11="","",IFERROR(xlookup(A11,'MONTHLY ANALYSIS'!$A:$A,'MONTHLY ANALYSIS'!$L:$L),0))</f>
        <v/>
      </c>
      <c r="C11" s="204">
        <f>IF(A11="","",IFERROR(xlookup(A11,'MONTHLY ANALYSIS'!$A:$A,'MONTHLY ANALYSIS'!$L:$L),0))</f>
        <v/>
      </c>
      <c r="D11" s="205">
        <f>IF(A11="","",IFERROR(xlookup(A11,'MONTHLY ANALYSIS'!$A:$A,'MONTHLY ANALYSIS'!$M:$M),0))</f>
        <v/>
      </c>
      <c r="E11" s="190">
        <f>IF(A11="","",IF(D11&gt;0,"⚑ PAST MIDNIGHT","⚠ PAST 10PM ONLY"))</f>
        <v/>
      </c>
      <c r="F11" s="170">
        <f>IF(A11="","",IFERROR(xlookup(A11,'FLEET REGISTER'!$B:$B,'FLEET REGISTER'!$F:$F),"Unknown"))</f>
        <v/>
      </c>
      <c r="G11" s="200" t="n"/>
      <c r="H11" s="200" t="n"/>
      <c r="I11" s="200" t="n"/>
      <c r="J11" s="200" t="n"/>
      <c r="K11" s="200" t="n"/>
      <c r="L11" s="200" t="n"/>
    </row>
    <row r="12" ht="15" customHeight="1" s="122">
      <c r="A12" s="197">
        <f>IF(A11="","","")</f>
        <v/>
      </c>
      <c r="B12" s="197">
        <f>IF(A12="","",IFERROR(xlookup(A12,'MONTHLY ANALYSIS'!$A:$A,'MONTHLY ANALYSIS'!$L:$L),0))</f>
        <v/>
      </c>
      <c r="C12" s="204">
        <f>IF(A12="","",IFERROR(xlookup(A12,'MONTHLY ANALYSIS'!$A:$A,'MONTHLY ANALYSIS'!$L:$L),0))</f>
        <v/>
      </c>
      <c r="D12" s="205">
        <f>IF(A12="","",IFERROR(xlookup(A12,'MONTHLY ANALYSIS'!$A:$A,'MONTHLY ANALYSIS'!$M:$M),0))</f>
        <v/>
      </c>
      <c r="E12" s="190">
        <f>IF(A12="","",IF(D12&gt;0,"⚑ PAST MIDNIGHT","⚠ PAST 10PM ONLY"))</f>
        <v/>
      </c>
      <c r="F12" s="170">
        <f>IF(A12="","",IFERROR(xlookup(A12,'FLEET REGISTER'!$B:$B,'FLEET REGISTER'!$F:$F),"Unknown"))</f>
        <v/>
      </c>
      <c r="G12" s="200" t="n"/>
      <c r="H12" s="200" t="n"/>
      <c r="I12" s="200" t="n"/>
      <c r="J12" s="200" t="n"/>
      <c r="K12" s="200" t="n"/>
      <c r="L12" s="200" t="n"/>
    </row>
    <row r="13" ht="15" customHeight="1" s="122">
      <c r="A13" s="197">
        <f>IF(A12="","","")</f>
        <v/>
      </c>
      <c r="B13" s="197">
        <f>IF(A13="","",IFERROR(xlookup(A13,'MONTHLY ANALYSIS'!$A:$A,'MONTHLY ANALYSIS'!$L:$L),0))</f>
        <v/>
      </c>
      <c r="C13" s="204">
        <f>IF(A13="","",IFERROR(xlookup(A13,'MONTHLY ANALYSIS'!$A:$A,'MONTHLY ANALYSIS'!$L:$L),0))</f>
        <v/>
      </c>
      <c r="D13" s="205">
        <f>IF(A13="","",IFERROR(xlookup(A13,'MONTHLY ANALYSIS'!$A:$A,'MONTHLY ANALYSIS'!$M:$M),0))</f>
        <v/>
      </c>
      <c r="E13" s="190">
        <f>IF(A13="","",IF(D13&gt;0,"⚑ PAST MIDNIGHT","⚠ PAST 10PM ONLY"))</f>
        <v/>
      </c>
      <c r="F13" s="170">
        <f>IF(A13="","",IFERROR(xlookup(A13,'FLEET REGISTER'!$B:$B,'FLEET REGISTER'!$F:$F),"Unknown"))</f>
        <v/>
      </c>
      <c r="G13" s="200" t="n"/>
      <c r="H13" s="200" t="n"/>
      <c r="I13" s="200" t="n"/>
      <c r="J13" s="200" t="n"/>
      <c r="K13" s="200" t="n"/>
      <c r="L13" s="200" t="n"/>
    </row>
    <row r="14" ht="15" customHeight="1" s="122">
      <c r="A14" s="197">
        <f>IF(A13="","","")</f>
        <v/>
      </c>
      <c r="B14" s="197">
        <f>IF(A14="","",IFERROR(xlookup(A14,'MONTHLY ANALYSIS'!$A:$A,'MONTHLY ANALYSIS'!$L:$L),0))</f>
        <v/>
      </c>
      <c r="C14" s="204">
        <f>IF(A14="","",IFERROR(xlookup(A14,'MONTHLY ANALYSIS'!$A:$A,'MONTHLY ANALYSIS'!$L:$L),0))</f>
        <v/>
      </c>
      <c r="D14" s="205">
        <f>IF(A14="","",IFERROR(xlookup(A14,'MONTHLY ANALYSIS'!$A:$A,'MONTHLY ANALYSIS'!$M:$M),0))</f>
        <v/>
      </c>
      <c r="E14" s="190">
        <f>IF(A14="","",IF(D14&gt;0,"⚑ PAST MIDNIGHT","⚠ PAST 10PM ONLY"))</f>
        <v/>
      </c>
      <c r="F14" s="170">
        <f>IF(A14="","",IFERROR(xlookup(A14,'FLEET REGISTER'!$B:$B,'FLEET REGISTER'!$F:$F),"Unknown"))</f>
        <v/>
      </c>
      <c r="G14" s="200" t="n"/>
      <c r="H14" s="200" t="n"/>
      <c r="I14" s="200" t="n"/>
      <c r="J14" s="200" t="n"/>
      <c r="K14" s="200" t="n"/>
      <c r="L14" s="200" t="n"/>
    </row>
    <row r="15" ht="15" customHeight="1" s="122">
      <c r="A15" s="197">
        <f>IF(A14="","","")</f>
        <v/>
      </c>
      <c r="B15" s="197">
        <f>IF(A15="","",IFERROR(xlookup(A15,'MONTHLY ANALYSIS'!$A:$A,'MONTHLY ANALYSIS'!$L:$L),0))</f>
        <v/>
      </c>
      <c r="C15" s="204">
        <f>IF(A15="","",IFERROR(xlookup(A15,'MONTHLY ANALYSIS'!$A:$A,'MONTHLY ANALYSIS'!$L:$L),0))</f>
        <v/>
      </c>
      <c r="D15" s="205">
        <f>IF(A15="","",IFERROR(xlookup(A15,'MONTHLY ANALYSIS'!$A:$A,'MONTHLY ANALYSIS'!$M:$M),0))</f>
        <v/>
      </c>
      <c r="E15" s="190">
        <f>IF(A15="","",IF(D15&gt;0,"⚑ PAST MIDNIGHT","⚠ PAST 10PM ONLY"))</f>
        <v/>
      </c>
      <c r="F15" s="170">
        <f>IF(A15="","",IFERROR(xlookup(A15,'FLEET REGISTER'!$B:$B,'FLEET REGISTER'!$F:$F),"Unknown"))</f>
        <v/>
      </c>
      <c r="G15" s="200" t="n"/>
      <c r="H15" s="200" t="n"/>
      <c r="I15" s="200" t="n"/>
      <c r="J15" s="200" t="n"/>
      <c r="K15" s="200" t="n"/>
      <c r="L15" s="200" t="n"/>
    </row>
    <row r="16" ht="15" customHeight="1" s="122">
      <c r="A16" s="197">
        <f>IF(A15="","","")</f>
        <v/>
      </c>
      <c r="B16" s="197">
        <f>IF(A16="","",IFERROR(xlookup(A16,'MONTHLY ANALYSIS'!$A:$A,'MONTHLY ANALYSIS'!$L:$L),0))</f>
        <v/>
      </c>
      <c r="C16" s="204">
        <f>IF(A16="","",IFERROR(xlookup(A16,'MONTHLY ANALYSIS'!$A:$A,'MONTHLY ANALYSIS'!$L:$L),0))</f>
        <v/>
      </c>
      <c r="D16" s="205">
        <f>IF(A16="","",IFERROR(xlookup(A16,'MONTHLY ANALYSIS'!$A:$A,'MONTHLY ANALYSIS'!$M:$M),0))</f>
        <v/>
      </c>
      <c r="E16" s="190">
        <f>IF(A16="","",IF(D16&gt;0,"⚑ PAST MIDNIGHT","⚠ PAST 10PM ONLY"))</f>
        <v/>
      </c>
      <c r="F16" s="170">
        <f>IF(A16="","",IFERROR(xlookup(A16,'FLEET REGISTER'!$B:$B,'FLEET REGISTER'!$F:$F),"Unknown"))</f>
        <v/>
      </c>
      <c r="G16" s="200" t="n"/>
      <c r="H16" s="200" t="n"/>
      <c r="I16" s="200" t="n"/>
      <c r="J16" s="200" t="n"/>
      <c r="K16" s="200" t="n"/>
      <c r="L16" s="200" t="n"/>
    </row>
    <row r="17" ht="15" customHeight="1" s="122">
      <c r="A17" s="197">
        <f>IF(A16="","","")</f>
        <v/>
      </c>
      <c r="B17" s="197">
        <f>IF(A17="","",IFERROR(xlookup(A17,'MONTHLY ANALYSIS'!$A:$A,'MONTHLY ANALYSIS'!$L:$L),0))</f>
        <v/>
      </c>
      <c r="C17" s="204">
        <f>IF(A17="","",IFERROR(xlookup(A17,'MONTHLY ANALYSIS'!$A:$A,'MONTHLY ANALYSIS'!$L:$L),0))</f>
        <v/>
      </c>
      <c r="D17" s="205">
        <f>IF(A17="","",IFERROR(xlookup(A17,'MONTHLY ANALYSIS'!$A:$A,'MONTHLY ANALYSIS'!$M:$M),0))</f>
        <v/>
      </c>
      <c r="E17" s="190">
        <f>IF(A17="","",IF(D17&gt;0,"⚑ PAST MIDNIGHT","⚠ PAST 10PM ONLY"))</f>
        <v/>
      </c>
      <c r="F17" s="170">
        <f>IF(A17="","",IFERROR(xlookup(A17,'FLEET REGISTER'!$B:$B,'FLEET REGISTER'!$F:$F),"Unknown"))</f>
        <v/>
      </c>
      <c r="G17" s="200" t="n"/>
      <c r="H17" s="200" t="n"/>
      <c r="I17" s="200" t="n"/>
      <c r="J17" s="200" t="n"/>
      <c r="K17" s="200" t="n"/>
      <c r="L17" s="200" t="n"/>
    </row>
    <row r="18" ht="15" customHeight="1" s="122">
      <c r="A18" s="197">
        <f>IF(A17="","","")</f>
        <v/>
      </c>
      <c r="B18" s="197">
        <f>IF(A18="","",IFERROR(xlookup(A18,'MONTHLY ANALYSIS'!$A:$A,'MONTHLY ANALYSIS'!$L:$L),0))</f>
        <v/>
      </c>
      <c r="C18" s="204">
        <f>IF(A18="","",IFERROR(xlookup(A18,'MONTHLY ANALYSIS'!$A:$A,'MONTHLY ANALYSIS'!$L:$L),0))</f>
        <v/>
      </c>
      <c r="D18" s="205">
        <f>IF(A18="","",IFERROR(xlookup(A18,'MONTHLY ANALYSIS'!$A:$A,'MONTHLY ANALYSIS'!$M:$M),0))</f>
        <v/>
      </c>
      <c r="E18" s="190">
        <f>IF(A18="","",IF(D18&gt;0,"⚑ PAST MIDNIGHT","⚠ PAST 10PM ONLY"))</f>
        <v/>
      </c>
      <c r="F18" s="170">
        <f>IF(A18="","",IFERROR(xlookup(A18,'FLEET REGISTER'!$B:$B,'FLEET REGISTER'!$F:$F),"Unknown"))</f>
        <v/>
      </c>
      <c r="G18" s="200" t="n"/>
      <c r="H18" s="200" t="n"/>
      <c r="I18" s="200" t="n"/>
      <c r="J18" s="200" t="n"/>
      <c r="K18" s="200" t="n"/>
      <c r="L18" s="200" t="n"/>
    </row>
    <row r="19" ht="15" customHeight="1" s="122">
      <c r="A19" s="197">
        <f>IF(A18="","","")</f>
        <v/>
      </c>
      <c r="B19" s="197">
        <f>IF(A19="","",IFERROR(xlookup(A19,'MONTHLY ANALYSIS'!$A:$A,'MONTHLY ANALYSIS'!$L:$L),0))</f>
        <v/>
      </c>
      <c r="C19" s="204">
        <f>IF(A19="","",IFERROR(xlookup(A19,'MONTHLY ANALYSIS'!$A:$A,'MONTHLY ANALYSIS'!$L:$L),0))</f>
        <v/>
      </c>
      <c r="D19" s="205">
        <f>IF(A19="","",IFERROR(xlookup(A19,'MONTHLY ANALYSIS'!$A:$A,'MONTHLY ANALYSIS'!$M:$M),0))</f>
        <v/>
      </c>
      <c r="E19" s="190">
        <f>IF(A19="","",IF(D19&gt;0,"⚑ PAST MIDNIGHT","⚠ PAST 10PM ONLY"))</f>
        <v/>
      </c>
      <c r="F19" s="170">
        <f>IF(A19="","",IFERROR(xlookup(A19,'FLEET REGISTER'!$B:$B,'FLEET REGISTER'!$F:$F),"Unknown"))</f>
        <v/>
      </c>
      <c r="G19" s="200" t="n"/>
      <c r="H19" s="200" t="n"/>
      <c r="I19" s="200" t="n"/>
      <c r="J19" s="200" t="n"/>
      <c r="K19" s="200" t="n"/>
      <c r="L19" s="200" t="n"/>
    </row>
    <row r="20" ht="15" customHeight="1" s="122">
      <c r="A20" s="197">
        <f>IF(A19="","","")</f>
        <v/>
      </c>
      <c r="B20" s="197">
        <f>IF(A20="","",IFERROR(xlookup(A20,'MONTHLY ANALYSIS'!$A:$A,'MONTHLY ANALYSIS'!$L:$L),0))</f>
        <v/>
      </c>
      <c r="C20" s="204">
        <f>IF(A20="","",IFERROR(xlookup(A20,'MONTHLY ANALYSIS'!$A:$A,'MONTHLY ANALYSIS'!$L:$L),0))</f>
        <v/>
      </c>
      <c r="D20" s="205">
        <f>IF(A20="","",IFERROR(xlookup(A20,'MONTHLY ANALYSIS'!$A:$A,'MONTHLY ANALYSIS'!$M:$M),0))</f>
        <v/>
      </c>
      <c r="E20" s="190">
        <f>IF(A20="","",IF(D20&gt;0,"⚑ PAST MIDNIGHT","⚠ PAST 10PM ONLY"))</f>
        <v/>
      </c>
      <c r="F20" s="170">
        <f>IF(A20="","",IFERROR(xlookup(A20,'FLEET REGISTER'!$B:$B,'FLEET REGISTER'!$F:$F),"Unknown"))</f>
        <v/>
      </c>
      <c r="G20" s="200" t="n"/>
      <c r="H20" s="200" t="n"/>
      <c r="I20" s="200" t="n"/>
      <c r="J20" s="200" t="n"/>
      <c r="K20" s="200" t="n"/>
      <c r="L20" s="200" t="n"/>
    </row>
    <row r="21" ht="15" customHeight="1" s="122">
      <c r="A21" s="197">
        <f>IF(A20="","","")</f>
        <v/>
      </c>
      <c r="B21" s="197">
        <f>IF(A21="","",IFERROR(xlookup(A21,'MONTHLY ANALYSIS'!$A:$A,'MONTHLY ANALYSIS'!$L:$L),0))</f>
        <v/>
      </c>
      <c r="C21" s="204">
        <f>IF(A21="","",IFERROR(xlookup(A21,'MONTHLY ANALYSIS'!$A:$A,'MONTHLY ANALYSIS'!$L:$L),0))</f>
        <v/>
      </c>
      <c r="D21" s="205">
        <f>IF(A21="","",IFERROR(xlookup(A21,'MONTHLY ANALYSIS'!$A:$A,'MONTHLY ANALYSIS'!$M:$M),0))</f>
        <v/>
      </c>
      <c r="E21" s="190">
        <f>IF(A21="","",IF(D21&gt;0,"⚑ PAST MIDNIGHT","⚠ PAST 10PM ONLY"))</f>
        <v/>
      </c>
      <c r="F21" s="170">
        <f>IF(A21="","",IFERROR(xlookup(A21,'FLEET REGISTER'!$B:$B,'FLEET REGISTER'!$F:$F),"Unknown"))</f>
        <v/>
      </c>
      <c r="G21" s="200" t="n"/>
      <c r="H21" s="200" t="n"/>
      <c r="I21" s="200" t="n"/>
      <c r="J21" s="200" t="n"/>
      <c r="K21" s="200" t="n"/>
      <c r="L21" s="200" t="n"/>
    </row>
    <row r="22" ht="15" customHeight="1" s="122">
      <c r="A22" s="197">
        <f>IF(A21="","","")</f>
        <v/>
      </c>
      <c r="B22" s="197">
        <f>IF(A22="","",IFERROR(xlookup(A22,'MONTHLY ANALYSIS'!$A:$A,'MONTHLY ANALYSIS'!$L:$L),0))</f>
        <v/>
      </c>
      <c r="C22" s="204">
        <f>IF(A22="","",IFERROR(xlookup(A22,'MONTHLY ANALYSIS'!$A:$A,'MONTHLY ANALYSIS'!$L:$L),0))</f>
        <v/>
      </c>
      <c r="D22" s="205">
        <f>IF(A22="","",IFERROR(xlookup(A22,'MONTHLY ANALYSIS'!$A:$A,'MONTHLY ANALYSIS'!$M:$M),0))</f>
        <v/>
      </c>
      <c r="E22" s="190">
        <f>IF(A22="","",IF(D22&gt;0,"⚑ PAST MIDNIGHT","⚠ PAST 10PM ONLY"))</f>
        <v/>
      </c>
      <c r="F22" s="170">
        <f>IF(A22="","",IFERROR(xlookup(A22,'FLEET REGISTER'!$B:$B,'FLEET REGISTER'!$F:$F),"Unknown"))</f>
        <v/>
      </c>
      <c r="G22" s="200" t="n"/>
      <c r="H22" s="200" t="n"/>
      <c r="I22" s="200" t="n"/>
      <c r="J22" s="200" t="n"/>
      <c r="K22" s="200" t="n"/>
      <c r="L22" s="200" t="n"/>
    </row>
    <row r="23" ht="15" customHeight="1" s="122">
      <c r="A23" s="197">
        <f>IF(A22="","","")</f>
        <v/>
      </c>
      <c r="B23" s="197">
        <f>IF(A23="","",IFERROR(xlookup(A23,'MONTHLY ANALYSIS'!$A:$A,'MONTHLY ANALYSIS'!$L:$L),0))</f>
        <v/>
      </c>
      <c r="C23" s="204">
        <f>IF(A23="","",IFERROR(xlookup(A23,'MONTHLY ANALYSIS'!$A:$A,'MONTHLY ANALYSIS'!$L:$L),0))</f>
        <v/>
      </c>
      <c r="D23" s="205">
        <f>IF(A23="","",IFERROR(xlookup(A23,'MONTHLY ANALYSIS'!$A:$A,'MONTHLY ANALYSIS'!$M:$M),0))</f>
        <v/>
      </c>
      <c r="E23" s="190">
        <f>IF(A23="","",IF(D23&gt;0,"⚑ PAST MIDNIGHT","⚠ PAST 10PM ONLY"))</f>
        <v/>
      </c>
      <c r="F23" s="170">
        <f>IF(A23="","",IFERROR(xlookup(A23,'FLEET REGISTER'!$B:$B,'FLEET REGISTER'!$F:$F),"Unknown"))</f>
        <v/>
      </c>
      <c r="G23" s="200" t="n"/>
      <c r="H23" s="200" t="n"/>
      <c r="I23" s="200" t="n"/>
      <c r="J23" s="200" t="n"/>
      <c r="K23" s="200" t="n"/>
      <c r="L23" s="200" t="n"/>
    </row>
    <row r="24" ht="15" customHeight="1" s="122">
      <c r="A24" s="197">
        <f>IF(A23="","","")</f>
        <v/>
      </c>
      <c r="B24" s="197">
        <f>IF(A24="","",IFERROR(xlookup(A24,'MONTHLY ANALYSIS'!$A:$A,'MONTHLY ANALYSIS'!$L:$L),0))</f>
        <v/>
      </c>
      <c r="C24" s="204">
        <f>IF(A24="","",IFERROR(xlookup(A24,'MONTHLY ANALYSIS'!$A:$A,'MONTHLY ANALYSIS'!$L:$L),0))</f>
        <v/>
      </c>
      <c r="D24" s="205">
        <f>IF(A24="","",IFERROR(xlookup(A24,'MONTHLY ANALYSIS'!$A:$A,'MONTHLY ANALYSIS'!$M:$M),0))</f>
        <v/>
      </c>
      <c r="E24" s="190">
        <f>IF(A24="","",IF(D24&gt;0,"⚑ PAST MIDNIGHT","⚠ PAST 10PM ONLY"))</f>
        <v/>
      </c>
      <c r="F24" s="170">
        <f>IF(A24="","",IFERROR(xlookup(A24,'FLEET REGISTER'!$B:$B,'FLEET REGISTER'!$F:$F),"Unknown"))</f>
        <v/>
      </c>
      <c r="G24" s="200" t="n"/>
      <c r="H24" s="200" t="n"/>
      <c r="I24" s="200" t="n"/>
      <c r="J24" s="200" t="n"/>
      <c r="K24" s="200" t="n"/>
      <c r="L24" s="200" t="n"/>
    </row>
    <row r="25" ht="15" customHeight="1" s="122">
      <c r="A25" s="197">
        <f>IF(A24="","","")</f>
        <v/>
      </c>
      <c r="B25" s="197">
        <f>IF(A25="","",IFERROR(xlookup(A25,'MONTHLY ANALYSIS'!$A:$A,'MONTHLY ANALYSIS'!$L:$L),0))</f>
        <v/>
      </c>
      <c r="C25" s="204">
        <f>IF(A25="","",IFERROR(xlookup(A25,'MONTHLY ANALYSIS'!$A:$A,'MONTHLY ANALYSIS'!$L:$L),0))</f>
        <v/>
      </c>
      <c r="D25" s="205">
        <f>IF(A25="","",IFERROR(xlookup(A25,'MONTHLY ANALYSIS'!$A:$A,'MONTHLY ANALYSIS'!$M:$M),0))</f>
        <v/>
      </c>
      <c r="E25" s="190">
        <f>IF(A25="","",IF(D25&gt;0,"⚑ PAST MIDNIGHT","⚠ PAST 10PM ONLY"))</f>
        <v/>
      </c>
      <c r="F25" s="170">
        <f>IF(A25="","",IFERROR(xlookup(A25,'FLEET REGISTER'!$B:$B,'FLEET REGISTER'!$F:$F),"Unknown"))</f>
        <v/>
      </c>
      <c r="G25" s="200" t="n"/>
      <c r="H25" s="200" t="n"/>
      <c r="I25" s="200" t="n"/>
      <c r="J25" s="200" t="n"/>
      <c r="K25" s="200" t="n"/>
      <c r="L25" s="200" t="n"/>
    </row>
    <row r="26" ht="15" customHeight="1" s="122">
      <c r="A26" s="197">
        <f>IF(A25="","","")</f>
        <v/>
      </c>
      <c r="B26" s="197">
        <f>IF(A26="","",IFERROR(xlookup(A26,'MONTHLY ANALYSIS'!$A:$A,'MONTHLY ANALYSIS'!$L:$L),0))</f>
        <v/>
      </c>
      <c r="C26" s="204">
        <f>IF(A26="","",IFERROR(xlookup(A26,'MONTHLY ANALYSIS'!$A:$A,'MONTHLY ANALYSIS'!$L:$L),0))</f>
        <v/>
      </c>
      <c r="D26" s="205">
        <f>IF(A26="","",IFERROR(xlookup(A26,'MONTHLY ANALYSIS'!$A:$A,'MONTHLY ANALYSIS'!$M:$M),0))</f>
        <v/>
      </c>
      <c r="E26" s="190">
        <f>IF(A26="","",IF(D26&gt;0,"⚑ PAST MIDNIGHT","⚠ PAST 10PM ONLY"))</f>
        <v/>
      </c>
      <c r="F26" s="170">
        <f>IF(A26="","",IFERROR(xlookup(A26,'FLEET REGISTER'!$B:$B,'FLEET REGISTER'!$F:$F),"Unknown"))</f>
        <v/>
      </c>
      <c r="G26" s="200" t="n"/>
      <c r="H26" s="200" t="n"/>
      <c r="I26" s="200" t="n"/>
      <c r="J26" s="200" t="n"/>
      <c r="K26" s="200" t="n"/>
      <c r="L26" s="200" t="n"/>
    </row>
    <row r="27" ht="15" customHeight="1" s="122">
      <c r="A27" s="197">
        <f>IF(A26="","","")</f>
        <v/>
      </c>
      <c r="B27" s="197">
        <f>IF(A27="","",IFERROR(xlookup(A27,'MONTHLY ANALYSIS'!$A:$A,'MONTHLY ANALYSIS'!$L:$L),0))</f>
        <v/>
      </c>
      <c r="C27" s="204">
        <f>IF(A27="","",IFERROR(xlookup(A27,'MONTHLY ANALYSIS'!$A:$A,'MONTHLY ANALYSIS'!$L:$L),0))</f>
        <v/>
      </c>
      <c r="D27" s="205">
        <f>IF(A27="","",IFERROR(xlookup(A27,'MONTHLY ANALYSIS'!$A:$A,'MONTHLY ANALYSIS'!$M:$M),0))</f>
        <v/>
      </c>
      <c r="E27" s="190">
        <f>IF(A27="","",IF(D27&gt;0,"⚑ PAST MIDNIGHT","⚠ PAST 10PM ONLY"))</f>
        <v/>
      </c>
      <c r="F27" s="170">
        <f>IF(A27="","",IFERROR(xlookup(A27,'FLEET REGISTER'!$B:$B,'FLEET REGISTER'!$F:$F),"Unknown"))</f>
        <v/>
      </c>
      <c r="G27" s="200" t="n"/>
      <c r="H27" s="200" t="n"/>
      <c r="I27" s="200" t="n"/>
      <c r="J27" s="200" t="n"/>
      <c r="K27" s="200" t="n"/>
      <c r="L27" s="200" t="n"/>
    </row>
    <row r="28" ht="15" customHeight="1" s="122">
      <c r="A28" s="197">
        <f>IF(A27="","","")</f>
        <v/>
      </c>
      <c r="B28" s="197">
        <f>IF(A28="","",IFERROR(xlookup(A28,'MONTHLY ANALYSIS'!$A:$A,'MONTHLY ANALYSIS'!$L:$L),0))</f>
        <v/>
      </c>
      <c r="C28" s="204">
        <f>IF(A28="","",IFERROR(xlookup(A28,'MONTHLY ANALYSIS'!$A:$A,'MONTHLY ANALYSIS'!$L:$L),0))</f>
        <v/>
      </c>
      <c r="D28" s="205">
        <f>IF(A28="","",IFERROR(xlookup(A28,'MONTHLY ANALYSIS'!$A:$A,'MONTHLY ANALYSIS'!$M:$M),0))</f>
        <v/>
      </c>
      <c r="E28" s="190">
        <f>IF(A28="","",IF(D28&gt;0,"⚑ PAST MIDNIGHT","⚠ PAST 10PM ONLY"))</f>
        <v/>
      </c>
      <c r="F28" s="170">
        <f>IF(A28="","",IFERROR(xlookup(A28,'FLEET REGISTER'!$B:$B,'FLEET REGISTER'!$F:$F),"Unknown"))</f>
        <v/>
      </c>
      <c r="G28" s="200" t="n"/>
      <c r="H28" s="200" t="n"/>
      <c r="I28" s="200" t="n"/>
      <c r="J28" s="200" t="n"/>
      <c r="K28" s="200" t="n"/>
      <c r="L28" s="200" t="n"/>
    </row>
    <row r="29" ht="15" customHeight="1" s="122">
      <c r="A29" s="197">
        <f>IF(A28="","","")</f>
        <v/>
      </c>
      <c r="B29" s="197">
        <f>IF(A29="","",IFERROR(xlookup(A29,'MONTHLY ANALYSIS'!$A:$A,'MONTHLY ANALYSIS'!$L:$L),0))</f>
        <v/>
      </c>
      <c r="C29" s="204">
        <f>IF(A29="","",IFERROR(xlookup(A29,'MONTHLY ANALYSIS'!$A:$A,'MONTHLY ANALYSIS'!$L:$L),0))</f>
        <v/>
      </c>
      <c r="D29" s="205">
        <f>IF(A29="","",IFERROR(xlookup(A29,'MONTHLY ANALYSIS'!$A:$A,'MONTHLY ANALYSIS'!$M:$M),0))</f>
        <v/>
      </c>
      <c r="E29" s="190">
        <f>IF(A29="","",IF(D29&gt;0,"⚑ PAST MIDNIGHT","⚠ PAST 10PM ONLY"))</f>
        <v/>
      </c>
      <c r="F29" s="170">
        <f>IF(A29="","",IFERROR(xlookup(A29,'FLEET REGISTER'!$B:$B,'FLEET REGISTER'!$F:$F),"Unknown"))</f>
        <v/>
      </c>
      <c r="G29" s="200" t="n"/>
      <c r="H29" s="200" t="n"/>
      <c r="I29" s="200" t="n"/>
      <c r="J29" s="200" t="n"/>
      <c r="K29" s="200" t="n"/>
      <c r="L29" s="200" t="n"/>
    </row>
    <row r="30" ht="15" customHeight="1" s="122">
      <c r="A30" s="197">
        <f>IF(A29="","","")</f>
        <v/>
      </c>
      <c r="B30" s="197">
        <f>IF(A30="","",IFERROR(xlookup(A30,'MONTHLY ANALYSIS'!$A:$A,'MONTHLY ANALYSIS'!$L:$L),0))</f>
        <v/>
      </c>
      <c r="C30" s="204">
        <f>IF(A30="","",IFERROR(xlookup(A30,'MONTHLY ANALYSIS'!$A:$A,'MONTHLY ANALYSIS'!$L:$L),0))</f>
        <v/>
      </c>
      <c r="D30" s="205">
        <f>IF(A30="","",IFERROR(xlookup(A30,'MONTHLY ANALYSIS'!$A:$A,'MONTHLY ANALYSIS'!$M:$M),0))</f>
        <v/>
      </c>
      <c r="E30" s="190">
        <f>IF(A30="","",IF(D30&gt;0,"⚑ PAST MIDNIGHT","⚠ PAST 10PM ONLY"))</f>
        <v/>
      </c>
      <c r="F30" s="170">
        <f>IF(A30="","",IFERROR(xlookup(A30,'FLEET REGISTER'!$B:$B,'FLEET REGISTER'!$F:$F),"Unknown"))</f>
        <v/>
      </c>
      <c r="G30" s="200" t="n"/>
      <c r="H30" s="200" t="n"/>
      <c r="I30" s="200" t="n"/>
      <c r="J30" s="200" t="n"/>
      <c r="K30" s="200" t="n"/>
      <c r="L30" s="200" t="n"/>
    </row>
    <row r="31" ht="15" customHeight="1" s="122">
      <c r="A31" s="197">
        <f>IF(A30="","","")</f>
        <v/>
      </c>
      <c r="B31" s="197">
        <f>IF(A31="","",IFERROR(xlookup(A31,'MONTHLY ANALYSIS'!$A:$A,'MONTHLY ANALYSIS'!$L:$L),0))</f>
        <v/>
      </c>
      <c r="C31" s="204">
        <f>IF(A31="","",IFERROR(xlookup(A31,'MONTHLY ANALYSIS'!$A:$A,'MONTHLY ANALYSIS'!$L:$L),0))</f>
        <v/>
      </c>
      <c r="D31" s="205">
        <f>IF(A31="","",IFERROR(xlookup(A31,'MONTHLY ANALYSIS'!$A:$A,'MONTHLY ANALYSIS'!$M:$M),0))</f>
        <v/>
      </c>
      <c r="E31" s="190">
        <f>IF(A31="","",IF(D31&gt;0,"⚑ PAST MIDNIGHT","⚠ PAST 10PM ONLY"))</f>
        <v/>
      </c>
      <c r="F31" s="170">
        <f>IF(A31="","",IFERROR(xlookup(A31,'FLEET REGISTER'!$B:$B,'FLEET REGISTER'!$F:$F),"Unknown"))</f>
        <v/>
      </c>
      <c r="G31" s="200" t="n"/>
      <c r="H31" s="200" t="n"/>
      <c r="I31" s="200" t="n"/>
      <c r="J31" s="200" t="n"/>
      <c r="K31" s="200" t="n"/>
      <c r="L31" s="200" t="n"/>
    </row>
    <row r="32" ht="15" customHeight="1" s="122">
      <c r="A32" s="197">
        <f>IF(A31="","","")</f>
        <v/>
      </c>
      <c r="B32" s="197">
        <f>IF(A32="","",IFERROR(xlookup(A32,'MONTHLY ANALYSIS'!$A:$A,'MONTHLY ANALYSIS'!$L:$L),0))</f>
        <v/>
      </c>
      <c r="C32" s="204">
        <f>IF(A32="","",IFERROR(xlookup(A32,'MONTHLY ANALYSIS'!$A:$A,'MONTHLY ANALYSIS'!$L:$L),0))</f>
        <v/>
      </c>
      <c r="D32" s="205">
        <f>IF(A32="","",IFERROR(xlookup(A32,'MONTHLY ANALYSIS'!$A:$A,'MONTHLY ANALYSIS'!$M:$M),0))</f>
        <v/>
      </c>
      <c r="E32" s="190">
        <f>IF(A32="","",IF(D32&gt;0,"⚑ PAST MIDNIGHT","⚠ PAST 10PM ONLY"))</f>
        <v/>
      </c>
      <c r="F32" s="170">
        <f>IF(A32="","",IFERROR(xlookup(A32,'FLEET REGISTER'!$B:$B,'FLEET REGISTER'!$F:$F),"Unknown"))</f>
        <v/>
      </c>
      <c r="G32" s="200" t="n"/>
      <c r="H32" s="200" t="n"/>
      <c r="I32" s="200" t="n"/>
      <c r="J32" s="200" t="n"/>
      <c r="K32" s="200" t="n"/>
      <c r="L32" s="200" t="n"/>
    </row>
    <row r="33" ht="15" customHeight="1" s="122">
      <c r="A33" s="197">
        <f>IF(A32="","","")</f>
        <v/>
      </c>
      <c r="B33" s="197">
        <f>IF(A33="","",IFERROR(xlookup(A33,'MONTHLY ANALYSIS'!$A:$A,'MONTHLY ANALYSIS'!$L:$L),0))</f>
        <v/>
      </c>
      <c r="C33" s="204">
        <f>IF(A33="","",IFERROR(xlookup(A33,'MONTHLY ANALYSIS'!$A:$A,'MONTHLY ANALYSIS'!$L:$L),0))</f>
        <v/>
      </c>
      <c r="D33" s="205">
        <f>IF(A33="","",IFERROR(xlookup(A33,'MONTHLY ANALYSIS'!$A:$A,'MONTHLY ANALYSIS'!$M:$M),0))</f>
        <v/>
      </c>
      <c r="E33" s="190">
        <f>IF(A33="","",IF(D33&gt;0,"⚑ PAST MIDNIGHT","⚠ PAST 10PM ONLY"))</f>
        <v/>
      </c>
      <c r="F33" s="170">
        <f>IF(A33="","",IFERROR(xlookup(A33,'FLEET REGISTER'!$B:$B,'FLEET REGISTER'!$F:$F),"Unknown"))</f>
        <v/>
      </c>
      <c r="G33" s="200" t="n"/>
      <c r="H33" s="200" t="n"/>
      <c r="I33" s="200" t="n"/>
      <c r="J33" s="200" t="n"/>
      <c r="K33" s="200" t="n"/>
      <c r="L33" s="200" t="n"/>
    </row>
    <row r="34" ht="15" customHeight="1" s="122">
      <c r="A34" s="197">
        <f>IF(A33="","","")</f>
        <v/>
      </c>
      <c r="B34" s="197">
        <f>IF(A34="","",IFERROR(xlookup(A34,'MONTHLY ANALYSIS'!$A:$A,'MONTHLY ANALYSIS'!$L:$L),0))</f>
        <v/>
      </c>
      <c r="C34" s="204">
        <f>IF(A34="","",IFERROR(xlookup(A34,'MONTHLY ANALYSIS'!$A:$A,'MONTHLY ANALYSIS'!$L:$L),0))</f>
        <v/>
      </c>
      <c r="D34" s="205">
        <f>IF(A34="","",IFERROR(xlookup(A34,'MONTHLY ANALYSIS'!$A:$A,'MONTHLY ANALYSIS'!$M:$M),0))</f>
        <v/>
      </c>
      <c r="E34" s="190">
        <f>IF(A34="","",IF(D34&gt;0,"⚑ PAST MIDNIGHT","⚠ PAST 10PM ONLY"))</f>
        <v/>
      </c>
      <c r="F34" s="170">
        <f>IF(A34="","",IFERROR(xlookup(A34,'FLEET REGISTER'!$B:$B,'FLEET REGISTER'!$F:$F),"Unknown"))</f>
        <v/>
      </c>
      <c r="G34" s="200" t="n"/>
      <c r="H34" s="200" t="n"/>
      <c r="I34" s="200" t="n"/>
      <c r="J34" s="200" t="n"/>
      <c r="K34" s="200" t="n"/>
      <c r="L34" s="200" t="n"/>
    </row>
    <row r="35" ht="15" customHeight="1" s="122">
      <c r="A35" s="197">
        <f>IF(A34="","","")</f>
        <v/>
      </c>
      <c r="B35" s="197">
        <f>IF(A35="","",IFERROR(xlookup(A35,'MONTHLY ANALYSIS'!$A:$A,'MONTHLY ANALYSIS'!$L:$L),0))</f>
        <v/>
      </c>
      <c r="C35" s="204">
        <f>IF(A35="","",IFERROR(xlookup(A35,'MONTHLY ANALYSIS'!$A:$A,'MONTHLY ANALYSIS'!$L:$L),0))</f>
        <v/>
      </c>
      <c r="D35" s="205">
        <f>IF(A35="","",IFERROR(xlookup(A35,'MONTHLY ANALYSIS'!$A:$A,'MONTHLY ANALYSIS'!$M:$M),0))</f>
        <v/>
      </c>
      <c r="E35" s="190">
        <f>IF(A35="","",IF(D35&gt;0,"⚑ PAST MIDNIGHT","⚠ PAST 10PM ONLY"))</f>
        <v/>
      </c>
      <c r="F35" s="170">
        <f>IF(A35="","",IFERROR(xlookup(A35,'FLEET REGISTER'!$B:$B,'FLEET REGISTER'!$F:$F),"Unknown"))</f>
        <v/>
      </c>
      <c r="G35" s="200" t="n"/>
      <c r="H35" s="200" t="n"/>
      <c r="I35" s="200" t="n"/>
      <c r="J35" s="200" t="n"/>
      <c r="K35" s="200" t="n"/>
      <c r="L35" s="200" t="n"/>
    </row>
    <row r="36" ht="15" customHeight="1" s="122">
      <c r="A36" s="197">
        <f>IF(A35="","","")</f>
        <v/>
      </c>
      <c r="B36" s="197">
        <f>IF(A36="","",IFERROR(xlookup(A36,'MONTHLY ANALYSIS'!$A:$A,'MONTHLY ANALYSIS'!$L:$L),0))</f>
        <v/>
      </c>
      <c r="C36" s="204">
        <f>IF(A36="","",IFERROR(xlookup(A36,'MONTHLY ANALYSIS'!$A:$A,'MONTHLY ANALYSIS'!$L:$L),0))</f>
        <v/>
      </c>
      <c r="D36" s="205">
        <f>IF(A36="","",IFERROR(xlookup(A36,'MONTHLY ANALYSIS'!$A:$A,'MONTHLY ANALYSIS'!$M:$M),0))</f>
        <v/>
      </c>
      <c r="E36" s="190">
        <f>IF(A36="","",IF(D36&gt;0,"⚑ PAST MIDNIGHT","⚠ PAST 10PM ONLY"))</f>
        <v/>
      </c>
      <c r="F36" s="170">
        <f>IF(A36="","",IFERROR(xlookup(A36,'FLEET REGISTER'!$B:$B,'FLEET REGISTER'!$F:$F),"Unknown"))</f>
        <v/>
      </c>
      <c r="G36" s="200" t="n"/>
      <c r="H36" s="200" t="n"/>
      <c r="I36" s="200" t="n"/>
      <c r="J36" s="200" t="n"/>
      <c r="K36" s="200" t="n"/>
      <c r="L36" s="200" t="n"/>
    </row>
    <row r="37" ht="15" customHeight="1" s="122">
      <c r="A37" s="197">
        <f>IF(A36="","","")</f>
        <v/>
      </c>
      <c r="B37" s="197">
        <f>IF(A37="","",IFERROR(xlookup(A37,'MONTHLY ANALYSIS'!$A:$A,'MONTHLY ANALYSIS'!$L:$L),0))</f>
        <v/>
      </c>
      <c r="C37" s="204">
        <f>IF(A37="","",IFERROR(xlookup(A37,'MONTHLY ANALYSIS'!$A:$A,'MONTHLY ANALYSIS'!$L:$L),0))</f>
        <v/>
      </c>
      <c r="D37" s="205">
        <f>IF(A37="","",IFERROR(xlookup(A37,'MONTHLY ANALYSIS'!$A:$A,'MONTHLY ANALYSIS'!$M:$M),0))</f>
        <v/>
      </c>
      <c r="E37" s="190">
        <f>IF(A37="","",IF(D37&gt;0,"⚑ PAST MIDNIGHT","⚠ PAST 10PM ONLY"))</f>
        <v/>
      </c>
      <c r="F37" s="170">
        <f>IF(A37="","",IFERROR(xlookup(A37,'FLEET REGISTER'!$B:$B,'FLEET REGISTER'!$F:$F),"Unknown"))</f>
        <v/>
      </c>
      <c r="G37" s="200" t="n"/>
      <c r="H37" s="200" t="n"/>
      <c r="I37" s="200" t="n"/>
      <c r="J37" s="200" t="n"/>
      <c r="K37" s="200" t="n"/>
      <c r="L37" s="200" t="n"/>
    </row>
    <row r="38" ht="15" customHeight="1" s="122">
      <c r="A38" s="197">
        <f>IF(A37="","","")</f>
        <v/>
      </c>
      <c r="B38" s="197">
        <f>IF(A38="","",IFERROR(xlookup(A38,'MONTHLY ANALYSIS'!$A:$A,'MONTHLY ANALYSIS'!$L:$L),0))</f>
        <v/>
      </c>
      <c r="C38" s="204">
        <f>IF(A38="","",IFERROR(xlookup(A38,'MONTHLY ANALYSIS'!$A:$A,'MONTHLY ANALYSIS'!$L:$L),0))</f>
        <v/>
      </c>
      <c r="D38" s="205">
        <f>IF(A38="","",IFERROR(xlookup(A38,'MONTHLY ANALYSIS'!$A:$A,'MONTHLY ANALYSIS'!$M:$M),0))</f>
        <v/>
      </c>
      <c r="E38" s="190">
        <f>IF(A38="","",IF(D38&gt;0,"⚑ PAST MIDNIGHT","⚠ PAST 10PM ONLY"))</f>
        <v/>
      </c>
      <c r="F38" s="170">
        <f>IF(A38="","",IFERROR(xlookup(A38,'FLEET REGISTER'!$B:$B,'FLEET REGISTER'!$F:$F),"Unknown"))</f>
        <v/>
      </c>
      <c r="G38" s="200" t="n"/>
      <c r="H38" s="200" t="n"/>
      <c r="I38" s="200" t="n"/>
      <c r="J38" s="200" t="n"/>
      <c r="K38" s="200" t="n"/>
      <c r="L38" s="200" t="n"/>
    </row>
    <row r="39" ht="15" customHeight="1" s="122">
      <c r="A39" s="197">
        <f>IF(A38="","","")</f>
        <v/>
      </c>
      <c r="B39" s="197">
        <f>IF(A39="","",IFERROR(xlookup(A39,'MONTHLY ANALYSIS'!$A:$A,'MONTHLY ANALYSIS'!$L:$L),0))</f>
        <v/>
      </c>
      <c r="C39" s="204">
        <f>IF(A39="","",IFERROR(xlookup(A39,'MONTHLY ANALYSIS'!$A:$A,'MONTHLY ANALYSIS'!$L:$L),0))</f>
        <v/>
      </c>
      <c r="D39" s="205">
        <f>IF(A39="","",IFERROR(xlookup(A39,'MONTHLY ANALYSIS'!$A:$A,'MONTHLY ANALYSIS'!$M:$M),0))</f>
        <v/>
      </c>
      <c r="E39" s="190">
        <f>IF(A39="","",IF(D39&gt;0,"⚑ PAST MIDNIGHT","⚠ PAST 10PM ONLY"))</f>
        <v/>
      </c>
      <c r="F39" s="170">
        <f>IF(A39="","",IFERROR(xlookup(A39,'FLEET REGISTER'!$B:$B,'FLEET REGISTER'!$F:$F),"Unknown"))</f>
        <v/>
      </c>
      <c r="G39" s="200" t="n"/>
      <c r="H39" s="200" t="n"/>
      <c r="I39" s="200" t="n"/>
      <c r="J39" s="200" t="n"/>
      <c r="K39" s="200" t="n"/>
      <c r="L39" s="200" t="n"/>
    </row>
    <row r="40" ht="15" customHeight="1" s="122">
      <c r="A40" s="197">
        <f>IF(A39="","","")</f>
        <v/>
      </c>
      <c r="B40" s="197">
        <f>IF(A40="","",IFERROR(xlookup(A40,'MONTHLY ANALYSIS'!$A:$A,'MONTHLY ANALYSIS'!$L:$L),0))</f>
        <v/>
      </c>
      <c r="C40" s="204">
        <f>IF(A40="","",IFERROR(xlookup(A40,'MONTHLY ANALYSIS'!$A:$A,'MONTHLY ANALYSIS'!$L:$L),0))</f>
        <v/>
      </c>
      <c r="D40" s="205">
        <f>IF(A40="","",IFERROR(xlookup(A40,'MONTHLY ANALYSIS'!$A:$A,'MONTHLY ANALYSIS'!$M:$M),0))</f>
        <v/>
      </c>
      <c r="E40" s="190">
        <f>IF(A40="","",IF(D40&gt;0,"⚑ PAST MIDNIGHT","⚠ PAST 10PM ONLY"))</f>
        <v/>
      </c>
      <c r="F40" s="170">
        <f>IF(A40="","",IFERROR(xlookup(A40,'FLEET REGISTER'!$B:$B,'FLEET REGISTER'!$F:$F),"Unknown"))</f>
        <v/>
      </c>
      <c r="G40" s="200" t="n"/>
      <c r="H40" s="200" t="n"/>
      <c r="I40" s="200" t="n"/>
      <c r="J40" s="200" t="n"/>
      <c r="K40" s="200" t="n"/>
      <c r="L40" s="200" t="n"/>
    </row>
    <row r="41" ht="15" customHeight="1" s="122">
      <c r="A41" s="197">
        <f>IF(A40="","","")</f>
        <v/>
      </c>
      <c r="B41" s="197">
        <f>IF(A41="","",IFERROR(xlookup(A41,'MONTHLY ANALYSIS'!$A:$A,'MONTHLY ANALYSIS'!$L:$L),0))</f>
        <v/>
      </c>
      <c r="C41" s="204">
        <f>IF(A41="","",IFERROR(xlookup(A41,'MONTHLY ANALYSIS'!$A:$A,'MONTHLY ANALYSIS'!$L:$L),0))</f>
        <v/>
      </c>
      <c r="D41" s="205">
        <f>IF(A41="","",IFERROR(xlookup(A41,'MONTHLY ANALYSIS'!$A:$A,'MONTHLY ANALYSIS'!$M:$M),0))</f>
        <v/>
      </c>
      <c r="E41" s="190">
        <f>IF(A41="","",IF(D41&gt;0,"⚑ PAST MIDNIGHT","⚠ PAST 10PM ONLY"))</f>
        <v/>
      </c>
      <c r="F41" s="170">
        <f>IF(A41="","",IFERROR(xlookup(A41,'FLEET REGISTER'!$B:$B,'FLEET REGISTER'!$F:$F),"Unknown"))</f>
        <v/>
      </c>
      <c r="G41" s="200" t="n"/>
      <c r="H41" s="200" t="n"/>
      <c r="I41" s="200" t="n"/>
      <c r="J41" s="200" t="n"/>
      <c r="K41" s="200" t="n"/>
      <c r="L41" s="200" t="n"/>
    </row>
    <row r="42" ht="15" customHeight="1" s="122">
      <c r="A42" s="197">
        <f>IF(A41="","","")</f>
        <v/>
      </c>
      <c r="B42" s="197">
        <f>IF(A42="","",IFERROR(xlookup(A42,'MONTHLY ANALYSIS'!$A:$A,'MONTHLY ANALYSIS'!$L:$L),0))</f>
        <v/>
      </c>
      <c r="C42" s="204">
        <f>IF(A42="","",IFERROR(xlookup(A42,'MONTHLY ANALYSIS'!$A:$A,'MONTHLY ANALYSIS'!$L:$L),0))</f>
        <v/>
      </c>
      <c r="D42" s="205">
        <f>IF(A42="","",IFERROR(xlookup(A42,'MONTHLY ANALYSIS'!$A:$A,'MONTHLY ANALYSIS'!$M:$M),0))</f>
        <v/>
      </c>
      <c r="E42" s="190">
        <f>IF(A42="","",IF(D42&gt;0,"⚑ PAST MIDNIGHT","⚠ PAST 10PM ONLY"))</f>
        <v/>
      </c>
      <c r="F42" s="170">
        <f>IF(A42="","",IFERROR(xlookup(A42,'FLEET REGISTER'!$B:$B,'FLEET REGISTER'!$F:$F),"Unknown"))</f>
        <v/>
      </c>
      <c r="G42" s="200" t="n"/>
      <c r="H42" s="200" t="n"/>
      <c r="I42" s="200" t="n"/>
      <c r="J42" s="200" t="n"/>
      <c r="K42" s="200" t="n"/>
      <c r="L42" s="200" t="n"/>
    </row>
    <row r="43" ht="15" customHeight="1" s="122">
      <c r="A43" s="197">
        <f>IF(A42="","","")</f>
        <v/>
      </c>
      <c r="B43" s="197">
        <f>IF(A43="","",IFERROR(xlookup(A43,'MONTHLY ANALYSIS'!$A:$A,'MONTHLY ANALYSIS'!$L:$L),0))</f>
        <v/>
      </c>
      <c r="C43" s="204">
        <f>IF(A43="","",IFERROR(xlookup(A43,'MONTHLY ANALYSIS'!$A:$A,'MONTHLY ANALYSIS'!$L:$L),0))</f>
        <v/>
      </c>
      <c r="D43" s="205">
        <f>IF(A43="","",IFERROR(xlookup(A43,'MONTHLY ANALYSIS'!$A:$A,'MONTHLY ANALYSIS'!$M:$M),0))</f>
        <v/>
      </c>
      <c r="E43" s="190">
        <f>IF(A43="","",IF(D43&gt;0,"⚑ PAST MIDNIGHT","⚠ PAST 10PM ONLY"))</f>
        <v/>
      </c>
      <c r="F43" s="170">
        <f>IF(A43="","",IFERROR(xlookup(A43,'FLEET REGISTER'!$B:$B,'FLEET REGISTER'!$F:$F),"Unknown"))</f>
        <v/>
      </c>
      <c r="G43" s="200" t="n"/>
      <c r="H43" s="200" t="n"/>
      <c r="I43" s="200" t="n"/>
      <c r="J43" s="200" t="n"/>
      <c r="K43" s="200" t="n"/>
      <c r="L43" s="200" t="n"/>
    </row>
    <row r="44" ht="15" customHeight="1" s="122">
      <c r="A44" s="197">
        <f>IF(A43="","","")</f>
        <v/>
      </c>
      <c r="B44" s="197">
        <f>IF(A44="","",IFERROR(xlookup(A44,'MONTHLY ANALYSIS'!$A:$A,'MONTHLY ANALYSIS'!$L:$L),0))</f>
        <v/>
      </c>
      <c r="C44" s="204">
        <f>IF(A44="","",IFERROR(xlookup(A44,'MONTHLY ANALYSIS'!$A:$A,'MONTHLY ANALYSIS'!$L:$L),0))</f>
        <v/>
      </c>
      <c r="D44" s="205">
        <f>IF(A44="","",IFERROR(xlookup(A44,'MONTHLY ANALYSIS'!$A:$A,'MONTHLY ANALYSIS'!$M:$M),0))</f>
        <v/>
      </c>
      <c r="E44" s="190">
        <f>IF(A44="","",IF(D44&gt;0,"⚑ PAST MIDNIGHT","⚠ PAST 10PM ONLY"))</f>
        <v/>
      </c>
      <c r="F44" s="170">
        <f>IF(A44="","",IFERROR(xlookup(A44,'FLEET REGISTER'!$B:$B,'FLEET REGISTER'!$F:$F),"Unknown"))</f>
        <v/>
      </c>
      <c r="G44" s="200" t="n"/>
      <c r="H44" s="200" t="n"/>
      <c r="I44" s="200" t="n"/>
      <c r="J44" s="200" t="n"/>
      <c r="K44" s="200" t="n"/>
      <c r="L44" s="200" t="n"/>
    </row>
    <row r="45" ht="15" customHeight="1" s="122">
      <c r="A45" s="197">
        <f>IF(A44="","","")</f>
        <v/>
      </c>
      <c r="B45" s="197">
        <f>IF(A45="","",IFERROR(xlookup(A45,'MONTHLY ANALYSIS'!$A:$A,'MONTHLY ANALYSIS'!$L:$L),0))</f>
        <v/>
      </c>
      <c r="C45" s="204">
        <f>IF(A45="","",IFERROR(xlookup(A45,'MONTHLY ANALYSIS'!$A:$A,'MONTHLY ANALYSIS'!$L:$L),0))</f>
        <v/>
      </c>
      <c r="D45" s="205">
        <f>IF(A45="","",IFERROR(xlookup(A45,'MONTHLY ANALYSIS'!$A:$A,'MONTHLY ANALYSIS'!$M:$M),0))</f>
        <v/>
      </c>
      <c r="E45" s="190">
        <f>IF(A45="","",IF(D45&gt;0,"⚑ PAST MIDNIGHT","⚠ PAST 10PM ONLY"))</f>
        <v/>
      </c>
      <c r="F45" s="170">
        <f>IF(A45="","",IFERROR(xlookup(A45,'FLEET REGISTER'!$B:$B,'FLEET REGISTER'!$F:$F),"Unknown"))</f>
        <v/>
      </c>
      <c r="G45" s="200" t="n"/>
      <c r="H45" s="200" t="n"/>
      <c r="I45" s="200" t="n"/>
      <c r="J45" s="200" t="n"/>
      <c r="K45" s="200" t="n"/>
      <c r="L45" s="200" t="n"/>
    </row>
    <row r="46" ht="15" customHeight="1" s="122">
      <c r="A46" s="197">
        <f>IF(A45="","","")</f>
        <v/>
      </c>
      <c r="B46" s="197">
        <f>IF(A46="","",IFERROR(xlookup(A46,'MONTHLY ANALYSIS'!$A:$A,'MONTHLY ANALYSIS'!$L:$L),0))</f>
        <v/>
      </c>
      <c r="C46" s="204">
        <f>IF(A46="","",IFERROR(xlookup(A46,'MONTHLY ANALYSIS'!$A:$A,'MONTHLY ANALYSIS'!$L:$L),0))</f>
        <v/>
      </c>
      <c r="D46" s="205">
        <f>IF(A46="","",IFERROR(xlookup(A46,'MONTHLY ANALYSIS'!$A:$A,'MONTHLY ANALYSIS'!$M:$M),0))</f>
        <v/>
      </c>
      <c r="E46" s="190">
        <f>IF(A46="","",IF(D46&gt;0,"⚑ PAST MIDNIGHT","⚠ PAST 10PM ONLY"))</f>
        <v/>
      </c>
      <c r="F46" s="170">
        <f>IF(A46="","",IFERROR(xlookup(A46,'FLEET REGISTER'!$B:$B,'FLEET REGISTER'!$F:$F),"Unknown"))</f>
        <v/>
      </c>
      <c r="G46" s="200" t="n"/>
      <c r="H46" s="200" t="n"/>
      <c r="I46" s="200" t="n"/>
      <c r="J46" s="200" t="n"/>
      <c r="K46" s="200" t="n"/>
      <c r="L46" s="200" t="n"/>
    </row>
    <row r="47" ht="15" customHeight="1" s="122">
      <c r="A47" s="197">
        <f>IF(A46="","","")</f>
        <v/>
      </c>
      <c r="B47" s="197">
        <f>IF(A47="","",IFERROR(xlookup(A47,'MONTHLY ANALYSIS'!$A:$A,'MONTHLY ANALYSIS'!$L:$L),0))</f>
        <v/>
      </c>
      <c r="C47" s="204">
        <f>IF(A47="","",IFERROR(xlookup(A47,'MONTHLY ANALYSIS'!$A:$A,'MONTHLY ANALYSIS'!$L:$L),0))</f>
        <v/>
      </c>
      <c r="D47" s="205">
        <f>IF(A47="","",IFERROR(xlookup(A47,'MONTHLY ANALYSIS'!$A:$A,'MONTHLY ANALYSIS'!$M:$M),0))</f>
        <v/>
      </c>
      <c r="E47" s="190">
        <f>IF(A47="","",IF(D47&gt;0,"⚑ PAST MIDNIGHT","⚠ PAST 10PM ONLY"))</f>
        <v/>
      </c>
      <c r="F47" s="170">
        <f>IF(A47="","",IFERROR(xlookup(A47,'FLEET REGISTER'!$B:$B,'FLEET REGISTER'!$F:$F),"Unknown"))</f>
        <v/>
      </c>
      <c r="G47" s="200" t="n"/>
      <c r="H47" s="200" t="n"/>
      <c r="I47" s="200" t="n"/>
      <c r="J47" s="200" t="n"/>
      <c r="K47" s="200" t="n"/>
      <c r="L47" s="200" t="n"/>
    </row>
    <row r="48" ht="15" customHeight="1" s="122">
      <c r="A48" s="197">
        <f>IF(A47="","","")</f>
        <v/>
      </c>
      <c r="B48" s="197">
        <f>IF(A48="","",IFERROR(xlookup(A48,'MONTHLY ANALYSIS'!$A:$A,'MONTHLY ANALYSIS'!$L:$L),0))</f>
        <v/>
      </c>
      <c r="C48" s="204">
        <f>IF(A48="","",IFERROR(xlookup(A48,'MONTHLY ANALYSIS'!$A:$A,'MONTHLY ANALYSIS'!$L:$L),0))</f>
        <v/>
      </c>
      <c r="D48" s="205">
        <f>IF(A48="","",IFERROR(xlookup(A48,'MONTHLY ANALYSIS'!$A:$A,'MONTHLY ANALYSIS'!$M:$M),0))</f>
        <v/>
      </c>
      <c r="E48" s="190">
        <f>IF(A48="","",IF(D48&gt;0,"⚑ PAST MIDNIGHT","⚠ PAST 10PM ONLY"))</f>
        <v/>
      </c>
      <c r="F48" s="170">
        <f>IF(A48="","",IFERROR(xlookup(A48,'FLEET REGISTER'!$B:$B,'FLEET REGISTER'!$F:$F),"Unknown"))</f>
        <v/>
      </c>
      <c r="G48" s="200" t="n"/>
      <c r="H48" s="200" t="n"/>
      <c r="I48" s="200" t="n"/>
      <c r="J48" s="200" t="n"/>
      <c r="K48" s="200" t="n"/>
      <c r="L48" s="200" t="n"/>
    </row>
    <row r="49" ht="15" customHeight="1" s="122">
      <c r="A49" s="197">
        <f>IF(A48="","","")</f>
        <v/>
      </c>
      <c r="B49" s="197">
        <f>IF(A49="","",IFERROR(xlookup(A49,'MONTHLY ANALYSIS'!$A:$A,'MONTHLY ANALYSIS'!$L:$L),0))</f>
        <v/>
      </c>
      <c r="C49" s="204">
        <f>IF(A49="","",IFERROR(xlookup(A49,'MONTHLY ANALYSIS'!$A:$A,'MONTHLY ANALYSIS'!$L:$L),0))</f>
        <v/>
      </c>
      <c r="D49" s="205">
        <f>IF(A49="","",IFERROR(xlookup(A49,'MONTHLY ANALYSIS'!$A:$A,'MONTHLY ANALYSIS'!$M:$M),0))</f>
        <v/>
      </c>
      <c r="E49" s="190">
        <f>IF(A49="","",IF(D49&gt;0,"⚑ PAST MIDNIGHT","⚠ PAST 10PM ONLY"))</f>
        <v/>
      </c>
      <c r="F49" s="170">
        <f>IF(A49="","",IFERROR(xlookup(A49,'FLEET REGISTER'!$B:$B,'FLEET REGISTER'!$F:$F),"Unknown"))</f>
        <v/>
      </c>
      <c r="G49" s="200" t="n"/>
      <c r="H49" s="200" t="n"/>
      <c r="I49" s="200" t="n"/>
      <c r="J49" s="200" t="n"/>
      <c r="K49" s="200" t="n"/>
      <c r="L49" s="200" t="n"/>
    </row>
    <row r="50" ht="15" customHeight="1" s="122">
      <c r="A50" s="197">
        <f>IF(A49="","","")</f>
        <v/>
      </c>
      <c r="B50" s="197">
        <f>IF(A50="","",IFERROR(xlookup(A50,'MONTHLY ANALYSIS'!$A:$A,'MONTHLY ANALYSIS'!$L:$L),0))</f>
        <v/>
      </c>
      <c r="C50" s="204">
        <f>IF(A50="","",IFERROR(xlookup(A50,'MONTHLY ANALYSIS'!$A:$A,'MONTHLY ANALYSIS'!$L:$L),0))</f>
        <v/>
      </c>
      <c r="D50" s="205">
        <f>IF(A50="","",IFERROR(xlookup(A50,'MONTHLY ANALYSIS'!$A:$A,'MONTHLY ANALYSIS'!$M:$M),0))</f>
        <v/>
      </c>
      <c r="E50" s="190">
        <f>IF(A50="","",IF(D50&gt;0,"⚑ PAST MIDNIGHT","⚠ PAST 10PM ONLY"))</f>
        <v/>
      </c>
      <c r="F50" s="170">
        <f>IF(A50="","",IFERROR(xlookup(A50,'FLEET REGISTER'!$B:$B,'FLEET REGISTER'!$F:$F),"Unknown"))</f>
        <v/>
      </c>
      <c r="G50" s="200" t="n"/>
      <c r="H50" s="200" t="n"/>
      <c r="I50" s="200" t="n"/>
      <c r="J50" s="200" t="n"/>
      <c r="K50" s="200" t="n"/>
      <c r="L50" s="200" t="n"/>
    </row>
    <row r="51" ht="15" customHeight="1" s="122">
      <c r="A51" s="197">
        <f>IF(A50="","","")</f>
        <v/>
      </c>
      <c r="B51" s="197">
        <f>IF(A51="","",IFERROR(xlookup(A51,'MONTHLY ANALYSIS'!$A:$A,'MONTHLY ANALYSIS'!$L:$L),0))</f>
        <v/>
      </c>
      <c r="C51" s="204">
        <f>IF(A51="","",IFERROR(xlookup(A51,'MONTHLY ANALYSIS'!$A:$A,'MONTHLY ANALYSIS'!$L:$L),0))</f>
        <v/>
      </c>
      <c r="D51" s="205">
        <f>IF(A51="","",IFERROR(xlookup(A51,'MONTHLY ANALYSIS'!$A:$A,'MONTHLY ANALYSIS'!$M:$M),0))</f>
        <v/>
      </c>
      <c r="E51" s="190">
        <f>IF(A51="","",IF(D51&gt;0,"⚑ PAST MIDNIGHT","⚠ PAST 10PM ONLY"))</f>
        <v/>
      </c>
      <c r="F51" s="170">
        <f>IF(A51="","",IFERROR(xlookup(A51,'FLEET REGISTER'!$B:$B,'FLEET REGISTER'!$F:$F),"Unknown"))</f>
        <v/>
      </c>
      <c r="G51" s="200" t="n"/>
      <c r="H51" s="200" t="n"/>
      <c r="I51" s="200" t="n"/>
      <c r="J51" s="200" t="n"/>
      <c r="K51" s="200" t="n"/>
      <c r="L51" s="200" t="n"/>
    </row>
    <row r="52" ht="15" customHeight="1" s="122">
      <c r="A52" s="197">
        <f>IF(A51="","","")</f>
        <v/>
      </c>
      <c r="B52" s="197">
        <f>IF(A52="","",IFERROR(xlookup(A52,'MONTHLY ANALYSIS'!$A:$A,'MONTHLY ANALYSIS'!$L:$L),0))</f>
        <v/>
      </c>
      <c r="C52" s="204">
        <f>IF(A52="","",IFERROR(xlookup(A52,'MONTHLY ANALYSIS'!$A:$A,'MONTHLY ANALYSIS'!$L:$L),0))</f>
        <v/>
      </c>
      <c r="D52" s="205">
        <f>IF(A52="","",IFERROR(xlookup(A52,'MONTHLY ANALYSIS'!$A:$A,'MONTHLY ANALYSIS'!$M:$M),0))</f>
        <v/>
      </c>
      <c r="E52" s="190">
        <f>IF(A52="","",IF(D52&gt;0,"⚑ PAST MIDNIGHT","⚠ PAST 10PM ONLY"))</f>
        <v/>
      </c>
      <c r="F52" s="170">
        <f>IF(A52="","",IFERROR(xlookup(A52,'FLEET REGISTER'!$B:$B,'FLEET REGISTER'!$F:$F),"Unknown"))</f>
        <v/>
      </c>
      <c r="G52" s="200" t="n"/>
      <c r="H52" s="200" t="n"/>
      <c r="I52" s="200" t="n"/>
      <c r="J52" s="200" t="n"/>
      <c r="K52" s="200" t="n"/>
      <c r="L52" s="200" t="n"/>
    </row>
    <row r="53" ht="15" customHeight="1" s="122">
      <c r="A53" s="197">
        <f>IF(A52="","","")</f>
        <v/>
      </c>
      <c r="B53" s="197">
        <f>IF(A53="","",IFERROR(xlookup(A53,'MONTHLY ANALYSIS'!$A:$A,'MONTHLY ANALYSIS'!$L:$L),0))</f>
        <v/>
      </c>
      <c r="C53" s="204">
        <f>IF(A53="","",IFERROR(xlookup(A53,'MONTHLY ANALYSIS'!$A:$A,'MONTHLY ANALYSIS'!$L:$L),0))</f>
        <v/>
      </c>
      <c r="D53" s="205">
        <f>IF(A53="","",IFERROR(xlookup(A53,'MONTHLY ANALYSIS'!$A:$A,'MONTHLY ANALYSIS'!$M:$M),0))</f>
        <v/>
      </c>
      <c r="E53" s="190">
        <f>IF(A53="","",IF(D53&gt;0,"⚑ PAST MIDNIGHT","⚠ PAST 10PM ONLY"))</f>
        <v/>
      </c>
      <c r="F53" s="170">
        <f>IF(A53="","",IFERROR(xlookup(A53,'FLEET REGISTER'!$B:$B,'FLEET REGISTER'!$F:$F),"Unknown"))</f>
        <v/>
      </c>
      <c r="G53" s="200" t="n"/>
      <c r="H53" s="200" t="n"/>
      <c r="I53" s="200" t="n"/>
      <c r="J53" s="200" t="n"/>
      <c r="K53" s="200" t="n"/>
      <c r="L53" s="200" t="n"/>
    </row>
    <row r="54" ht="15" customHeight="1" s="122">
      <c r="A54" s="197">
        <f>IF(A53="","","")</f>
        <v/>
      </c>
      <c r="B54" s="197">
        <f>IF(A54="","",IFERROR(xlookup(A54,'MONTHLY ANALYSIS'!$A:$A,'MONTHLY ANALYSIS'!$L:$L),0))</f>
        <v/>
      </c>
      <c r="C54" s="204">
        <f>IF(A54="","",IFERROR(xlookup(A54,'MONTHLY ANALYSIS'!$A:$A,'MONTHLY ANALYSIS'!$L:$L),0))</f>
        <v/>
      </c>
      <c r="D54" s="205">
        <f>IF(A54="","",IFERROR(xlookup(A54,'MONTHLY ANALYSIS'!$A:$A,'MONTHLY ANALYSIS'!$M:$M),0))</f>
        <v/>
      </c>
      <c r="E54" s="190">
        <f>IF(A54="","",IF(D54&gt;0,"⚑ PAST MIDNIGHT","⚠ PAST 10PM ONLY"))</f>
        <v/>
      </c>
      <c r="F54" s="170">
        <f>IF(A54="","",IFERROR(xlookup(A54,'FLEET REGISTER'!$B:$B,'FLEET REGISTER'!$F:$F),"Unknown"))</f>
        <v/>
      </c>
      <c r="G54" s="200" t="n"/>
      <c r="H54" s="200" t="n"/>
      <c r="I54" s="200" t="n"/>
      <c r="J54" s="200" t="n"/>
      <c r="K54" s="200" t="n"/>
      <c r="L54" s="200" t="n"/>
    </row>
    <row r="55" ht="15" customHeight="1" s="122">
      <c r="A55" s="197">
        <f>IF(A54="","","")</f>
        <v/>
      </c>
      <c r="B55" s="197">
        <f>IF(A55="","",IFERROR(xlookup(A55,'MONTHLY ANALYSIS'!$A:$A,'MONTHLY ANALYSIS'!$L:$L),0))</f>
        <v/>
      </c>
      <c r="C55" s="204">
        <f>IF(A55="","",IFERROR(xlookup(A55,'MONTHLY ANALYSIS'!$A:$A,'MONTHLY ANALYSIS'!$L:$L),0))</f>
        <v/>
      </c>
      <c r="D55" s="205">
        <f>IF(A55="","",IFERROR(xlookup(A55,'MONTHLY ANALYSIS'!$A:$A,'MONTHLY ANALYSIS'!$M:$M),0))</f>
        <v/>
      </c>
      <c r="E55" s="190">
        <f>IF(A55="","",IF(D55&gt;0,"⚑ PAST MIDNIGHT","⚠ PAST 10PM ONLY"))</f>
        <v/>
      </c>
      <c r="F55" s="170">
        <f>IF(A55="","",IFERROR(xlookup(A55,'FLEET REGISTER'!$B:$B,'FLEET REGISTER'!$F:$F),"Unknown"))</f>
        <v/>
      </c>
      <c r="G55" s="200" t="n"/>
      <c r="H55" s="200" t="n"/>
      <c r="I55" s="200" t="n"/>
      <c r="J55" s="200" t="n"/>
      <c r="K55" s="200" t="n"/>
      <c r="L55" s="200" t="n"/>
    </row>
    <row r="56" ht="15" customHeight="1" s="122">
      <c r="A56" s="197">
        <f>IF(A55="","","")</f>
        <v/>
      </c>
      <c r="B56" s="197">
        <f>IF(A56="","",IFERROR(xlookup(A56,'MONTHLY ANALYSIS'!$A:$A,'MONTHLY ANALYSIS'!$L:$L),0))</f>
        <v/>
      </c>
      <c r="C56" s="204">
        <f>IF(A56="","",IFERROR(xlookup(A56,'MONTHLY ANALYSIS'!$A:$A,'MONTHLY ANALYSIS'!$L:$L),0))</f>
        <v/>
      </c>
      <c r="D56" s="205">
        <f>IF(A56="","",IFERROR(xlookup(A56,'MONTHLY ANALYSIS'!$A:$A,'MONTHLY ANALYSIS'!$M:$M),0))</f>
        <v/>
      </c>
      <c r="E56" s="190">
        <f>IF(A56="","",IF(D56&gt;0,"⚑ PAST MIDNIGHT","⚠ PAST 10PM ONLY"))</f>
        <v/>
      </c>
      <c r="F56" s="170">
        <f>IF(A56="","",IFERROR(xlookup(A56,'FLEET REGISTER'!$B:$B,'FLEET REGISTER'!$F:$F),"Unknown"))</f>
        <v/>
      </c>
      <c r="G56" s="200" t="n"/>
      <c r="H56" s="200" t="n"/>
      <c r="I56" s="200" t="n"/>
      <c r="J56" s="200" t="n"/>
      <c r="K56" s="200" t="n"/>
      <c r="L56" s="200" t="n"/>
    </row>
    <row r="57" ht="15" customHeight="1" s="122">
      <c r="A57" s="197">
        <f>IF(A56="","","")</f>
        <v/>
      </c>
      <c r="B57" s="197">
        <f>IF(A57="","",IFERROR(xlookup(A57,'MONTHLY ANALYSIS'!$A:$A,'MONTHLY ANALYSIS'!$L:$L),0))</f>
        <v/>
      </c>
      <c r="C57" s="204">
        <f>IF(A57="","",IFERROR(xlookup(A57,'MONTHLY ANALYSIS'!$A:$A,'MONTHLY ANALYSIS'!$L:$L),0))</f>
        <v/>
      </c>
      <c r="D57" s="205">
        <f>IF(A57="","",IFERROR(xlookup(A57,'MONTHLY ANALYSIS'!$A:$A,'MONTHLY ANALYSIS'!$M:$M),0))</f>
        <v/>
      </c>
      <c r="E57" s="190">
        <f>IF(A57="","",IF(D57&gt;0,"⚑ PAST MIDNIGHT","⚠ PAST 10PM ONLY"))</f>
        <v/>
      </c>
      <c r="F57" s="170">
        <f>IF(A57="","",IFERROR(xlookup(A57,'FLEET REGISTER'!$B:$B,'FLEET REGISTER'!$F:$F),"Unknown"))</f>
        <v/>
      </c>
      <c r="G57" s="200" t="n"/>
      <c r="H57" s="200" t="n"/>
      <c r="I57" s="200" t="n"/>
      <c r="J57" s="200" t="n"/>
      <c r="K57" s="200" t="n"/>
      <c r="L57" s="200" t="n"/>
    </row>
    <row r="58" ht="15" customHeight="1" s="122">
      <c r="A58" s="197">
        <f>IF(A57="","","")</f>
        <v/>
      </c>
      <c r="B58" s="197">
        <f>IF(A58="","",IFERROR(xlookup(A58,'MONTHLY ANALYSIS'!$A:$A,'MONTHLY ANALYSIS'!$L:$L),0))</f>
        <v/>
      </c>
      <c r="C58" s="204">
        <f>IF(A58="","",IFERROR(xlookup(A58,'MONTHLY ANALYSIS'!$A:$A,'MONTHLY ANALYSIS'!$L:$L),0))</f>
        <v/>
      </c>
      <c r="D58" s="205">
        <f>IF(A58="","",IFERROR(xlookup(A58,'MONTHLY ANALYSIS'!$A:$A,'MONTHLY ANALYSIS'!$M:$M),0))</f>
        <v/>
      </c>
      <c r="E58" s="190">
        <f>IF(A58="","",IF(D58&gt;0,"⚑ PAST MIDNIGHT","⚠ PAST 10PM ONLY"))</f>
        <v/>
      </c>
      <c r="F58" s="170">
        <f>IF(A58="","",IFERROR(xlookup(A58,'FLEET REGISTER'!$B:$B,'FLEET REGISTER'!$F:$F),"Unknown"))</f>
        <v/>
      </c>
      <c r="G58" s="200" t="n"/>
      <c r="H58" s="200" t="n"/>
      <c r="I58" s="200" t="n"/>
      <c r="J58" s="200" t="n"/>
      <c r="K58" s="200" t="n"/>
      <c r="L58" s="200" t="n"/>
    </row>
    <row r="59" ht="15" customHeight="1" s="122">
      <c r="A59" s="197">
        <f>IF(A58="","","")</f>
        <v/>
      </c>
      <c r="B59" s="197">
        <f>IF(A59="","",IFERROR(xlookup(A59,'MONTHLY ANALYSIS'!$A:$A,'MONTHLY ANALYSIS'!$L:$L),0))</f>
        <v/>
      </c>
      <c r="C59" s="204">
        <f>IF(A59="","",IFERROR(xlookup(A59,'MONTHLY ANALYSIS'!$A:$A,'MONTHLY ANALYSIS'!$L:$L),0))</f>
        <v/>
      </c>
      <c r="D59" s="205">
        <f>IF(A59="","",IFERROR(xlookup(A59,'MONTHLY ANALYSIS'!$A:$A,'MONTHLY ANALYSIS'!$M:$M),0))</f>
        <v/>
      </c>
      <c r="E59" s="190">
        <f>IF(A59="","",IF(D59&gt;0,"⚑ PAST MIDNIGHT","⚠ PAST 10PM ONLY"))</f>
        <v/>
      </c>
      <c r="F59" s="170">
        <f>IF(A59="","",IFERROR(xlookup(A59,'FLEET REGISTER'!$B:$B,'FLEET REGISTER'!$F:$F),"Unknown"))</f>
        <v/>
      </c>
      <c r="G59" s="200" t="n"/>
      <c r="H59" s="200" t="n"/>
      <c r="I59" s="200" t="n"/>
      <c r="J59" s="200" t="n"/>
      <c r="K59" s="200" t="n"/>
      <c r="L59" s="200" t="n"/>
    </row>
    <row r="60" ht="15" customHeight="1" s="122">
      <c r="A60" s="197">
        <f>IF(A59="","","")</f>
        <v/>
      </c>
      <c r="B60" s="197">
        <f>IF(A60="","",IFERROR(xlookup(A60,'MONTHLY ANALYSIS'!$A:$A,'MONTHLY ANALYSIS'!$L:$L),0))</f>
        <v/>
      </c>
      <c r="C60" s="204">
        <f>IF(A60="","",IFERROR(xlookup(A60,'MONTHLY ANALYSIS'!$A:$A,'MONTHLY ANALYSIS'!$L:$L),0))</f>
        <v/>
      </c>
      <c r="D60" s="205">
        <f>IF(A60="","",IFERROR(xlookup(A60,'MONTHLY ANALYSIS'!$A:$A,'MONTHLY ANALYSIS'!$M:$M),0))</f>
        <v/>
      </c>
      <c r="E60" s="190">
        <f>IF(A60="","",IF(D60&gt;0,"⚑ PAST MIDNIGHT","⚠ PAST 10PM ONLY"))</f>
        <v/>
      </c>
      <c r="F60" s="170">
        <f>IF(A60="","",IFERROR(xlookup(A60,'FLEET REGISTER'!$B:$B,'FLEET REGISTER'!$F:$F),"Unknown"))</f>
        <v/>
      </c>
      <c r="G60" s="200" t="n"/>
      <c r="H60" s="200" t="n"/>
      <c r="I60" s="200" t="n"/>
      <c r="J60" s="200" t="n"/>
      <c r="K60" s="200" t="n"/>
      <c r="L60" s="200" t="n"/>
    </row>
    <row r="61" ht="15" customHeight="1" s="122">
      <c r="A61" s="197">
        <f>IF(A60="","","")</f>
        <v/>
      </c>
      <c r="B61" s="197">
        <f>IF(A61="","",IFERROR(xlookup(A61,'MONTHLY ANALYSIS'!$A:$A,'MONTHLY ANALYSIS'!$L:$L),0))</f>
        <v/>
      </c>
      <c r="C61" s="204">
        <f>IF(A61="","",IFERROR(xlookup(A61,'MONTHLY ANALYSIS'!$A:$A,'MONTHLY ANALYSIS'!$L:$L),0))</f>
        <v/>
      </c>
      <c r="D61" s="205">
        <f>IF(A61="","",IFERROR(xlookup(A61,'MONTHLY ANALYSIS'!$A:$A,'MONTHLY ANALYSIS'!$M:$M),0))</f>
        <v/>
      </c>
      <c r="E61" s="190">
        <f>IF(A61="","",IF(D61&gt;0,"⚑ PAST MIDNIGHT","⚠ PAST 10PM ONLY"))</f>
        <v/>
      </c>
      <c r="F61" s="170">
        <f>IF(A61="","",IFERROR(xlookup(A61,'FLEET REGISTER'!$B:$B,'FLEET REGISTER'!$F:$F),"Unknown"))</f>
        <v/>
      </c>
      <c r="G61" s="200" t="n"/>
      <c r="H61" s="200" t="n"/>
      <c r="I61" s="200" t="n"/>
      <c r="J61" s="200" t="n"/>
      <c r="K61" s="200" t="n"/>
      <c r="L61" s="200" t="n"/>
    </row>
    <row r="62" ht="15" customHeight="1" s="122">
      <c r="A62" s="197">
        <f>IF(A61="","","")</f>
        <v/>
      </c>
      <c r="B62" s="197">
        <f>IF(A62="","",IFERROR(xlookup(A62,'MONTHLY ANALYSIS'!$A:$A,'MONTHLY ANALYSIS'!$L:$L),0))</f>
        <v/>
      </c>
      <c r="C62" s="204">
        <f>IF(A62="","",IFERROR(xlookup(A62,'MONTHLY ANALYSIS'!$A:$A,'MONTHLY ANALYSIS'!$L:$L),0))</f>
        <v/>
      </c>
      <c r="D62" s="205">
        <f>IF(A62="","",IFERROR(xlookup(A62,'MONTHLY ANALYSIS'!$A:$A,'MONTHLY ANALYSIS'!$M:$M),0))</f>
        <v/>
      </c>
      <c r="E62" s="190">
        <f>IF(A62="","",IF(D62&gt;0,"⚑ PAST MIDNIGHT","⚠ PAST 10PM ONLY"))</f>
        <v/>
      </c>
      <c r="F62" s="170">
        <f>IF(A62="","",IFERROR(xlookup(A62,'FLEET REGISTER'!$B:$B,'FLEET REGISTER'!$F:$F),"Unknown"))</f>
        <v/>
      </c>
      <c r="G62" s="200" t="n"/>
      <c r="H62" s="200" t="n"/>
      <c r="I62" s="200" t="n"/>
      <c r="J62" s="200" t="n"/>
      <c r="K62" s="200" t="n"/>
      <c r="L62" s="200" t="n"/>
    </row>
    <row r="63" ht="15" customHeight="1" s="122">
      <c r="A63" s="197">
        <f>IF(A62="","","")</f>
        <v/>
      </c>
      <c r="B63" s="197">
        <f>IF(A63="","",IFERROR(xlookup(A63,'MONTHLY ANALYSIS'!$A:$A,'MONTHLY ANALYSIS'!$L:$L),0))</f>
        <v/>
      </c>
      <c r="C63" s="204">
        <f>IF(A63="","",IFERROR(xlookup(A63,'MONTHLY ANALYSIS'!$A:$A,'MONTHLY ANALYSIS'!$L:$L),0))</f>
        <v/>
      </c>
      <c r="D63" s="205">
        <f>IF(A63="","",IFERROR(xlookup(A63,'MONTHLY ANALYSIS'!$A:$A,'MONTHLY ANALYSIS'!$M:$M),0))</f>
        <v/>
      </c>
      <c r="E63" s="190">
        <f>IF(A63="","",IF(D63&gt;0,"⚑ PAST MIDNIGHT","⚠ PAST 10PM ONLY"))</f>
        <v/>
      </c>
      <c r="F63" s="170">
        <f>IF(A63="","",IFERROR(xlookup(A63,'FLEET REGISTER'!$B:$B,'FLEET REGISTER'!$F:$F),"Unknown"))</f>
        <v/>
      </c>
      <c r="G63" s="200" t="n"/>
      <c r="H63" s="200" t="n"/>
      <c r="I63" s="200" t="n"/>
      <c r="J63" s="200" t="n"/>
      <c r="K63" s="200" t="n"/>
      <c r="L63" s="200" t="n"/>
    </row>
    <row r="64" ht="15" customHeight="1" s="122">
      <c r="A64" s="197">
        <f>IF(A63="","","")</f>
        <v/>
      </c>
      <c r="B64" s="197">
        <f>IF(A64="","",IFERROR(xlookup(A64,'MONTHLY ANALYSIS'!$A:$A,'MONTHLY ANALYSIS'!$L:$L),0))</f>
        <v/>
      </c>
      <c r="C64" s="204">
        <f>IF(A64="","",IFERROR(xlookup(A64,'MONTHLY ANALYSIS'!$A:$A,'MONTHLY ANALYSIS'!$L:$L),0))</f>
        <v/>
      </c>
      <c r="D64" s="205">
        <f>IF(A64="","",IFERROR(xlookup(A64,'MONTHLY ANALYSIS'!$A:$A,'MONTHLY ANALYSIS'!$M:$M),0))</f>
        <v/>
      </c>
      <c r="E64" s="190">
        <f>IF(A64="","",IF(D64&gt;0,"⚑ PAST MIDNIGHT","⚠ PAST 10PM ONLY"))</f>
        <v/>
      </c>
      <c r="F64" s="170">
        <f>IF(A64="","",IFERROR(xlookup(A64,'FLEET REGISTER'!$B:$B,'FLEET REGISTER'!$F:$F),"Unknown"))</f>
        <v/>
      </c>
      <c r="G64" s="200" t="n"/>
      <c r="H64" s="200" t="n"/>
      <c r="I64" s="200" t="n"/>
      <c r="J64" s="200" t="n"/>
      <c r="K64" s="200" t="n"/>
      <c r="L64" s="200" t="n"/>
    </row>
    <row r="65" ht="15" customHeight="1" s="122">
      <c r="A65" s="197">
        <f>IF(A64="","","")</f>
        <v/>
      </c>
      <c r="B65" s="197">
        <f>IF(A65="","",IFERROR(xlookup(A65,'MONTHLY ANALYSIS'!$A:$A,'MONTHLY ANALYSIS'!$L:$L),0))</f>
        <v/>
      </c>
      <c r="C65" s="204">
        <f>IF(A65="","",IFERROR(xlookup(A65,'MONTHLY ANALYSIS'!$A:$A,'MONTHLY ANALYSIS'!$L:$L),0))</f>
        <v/>
      </c>
      <c r="D65" s="205">
        <f>IF(A65="","",IFERROR(xlookup(A65,'MONTHLY ANALYSIS'!$A:$A,'MONTHLY ANALYSIS'!$M:$M),0))</f>
        <v/>
      </c>
      <c r="E65" s="190">
        <f>IF(A65="","",IF(D65&gt;0,"⚑ PAST MIDNIGHT","⚠ PAST 10PM ONLY"))</f>
        <v/>
      </c>
      <c r="F65" s="170">
        <f>IF(A65="","",IFERROR(xlookup(A65,'FLEET REGISTER'!$B:$B,'FLEET REGISTER'!$F:$F),"Unknown"))</f>
        <v/>
      </c>
      <c r="G65" s="200" t="n"/>
      <c r="H65" s="200" t="n"/>
      <c r="I65" s="200" t="n"/>
      <c r="J65" s="200" t="n"/>
      <c r="K65" s="200" t="n"/>
      <c r="L65" s="200" t="n"/>
    </row>
    <row r="66" ht="15" customHeight="1" s="122">
      <c r="A66" s="197">
        <f>IF(A65="","","")</f>
        <v/>
      </c>
      <c r="B66" s="197">
        <f>IF(A66="","",IFERROR(xlookup(A66,'MONTHLY ANALYSIS'!$A:$A,'MONTHLY ANALYSIS'!$L:$L),0))</f>
        <v/>
      </c>
      <c r="C66" s="204">
        <f>IF(A66="","",IFERROR(xlookup(A66,'MONTHLY ANALYSIS'!$A:$A,'MONTHLY ANALYSIS'!$L:$L),0))</f>
        <v/>
      </c>
      <c r="D66" s="205">
        <f>IF(A66="","",IFERROR(xlookup(A66,'MONTHLY ANALYSIS'!$A:$A,'MONTHLY ANALYSIS'!$M:$M),0))</f>
        <v/>
      </c>
      <c r="E66" s="190">
        <f>IF(A66="","",IF(D66&gt;0,"⚑ PAST MIDNIGHT","⚠ PAST 10PM ONLY"))</f>
        <v/>
      </c>
      <c r="F66" s="170">
        <f>IF(A66="","",IFERROR(xlookup(A66,'FLEET REGISTER'!$B:$B,'FLEET REGISTER'!$F:$F),"Unknown"))</f>
        <v/>
      </c>
      <c r="G66" s="200" t="n"/>
      <c r="H66" s="200" t="n"/>
      <c r="I66" s="200" t="n"/>
      <c r="J66" s="200" t="n"/>
      <c r="K66" s="200" t="n"/>
      <c r="L66" s="200" t="n"/>
    </row>
    <row r="67" ht="15" customHeight="1" s="122">
      <c r="A67" s="197">
        <f>IF(A66="","","")</f>
        <v/>
      </c>
      <c r="B67" s="197">
        <f>IF(A67="","",IFERROR(xlookup(A67,'MONTHLY ANALYSIS'!$A:$A,'MONTHLY ANALYSIS'!$L:$L),0))</f>
        <v/>
      </c>
      <c r="C67" s="204">
        <f>IF(A67="","",IFERROR(xlookup(A67,'MONTHLY ANALYSIS'!$A:$A,'MONTHLY ANALYSIS'!$L:$L),0))</f>
        <v/>
      </c>
      <c r="D67" s="205">
        <f>IF(A67="","",IFERROR(xlookup(A67,'MONTHLY ANALYSIS'!$A:$A,'MONTHLY ANALYSIS'!$M:$M),0))</f>
        <v/>
      </c>
      <c r="E67" s="190">
        <f>IF(A67="","",IF(D67&gt;0,"⚑ PAST MIDNIGHT","⚠ PAST 10PM ONLY"))</f>
        <v/>
      </c>
      <c r="F67" s="170">
        <f>IF(A67="","",IFERROR(xlookup(A67,'FLEET REGISTER'!$B:$B,'FLEET REGISTER'!$F:$F),"Unknown"))</f>
        <v/>
      </c>
      <c r="G67" s="200" t="n"/>
      <c r="H67" s="200" t="n"/>
      <c r="I67" s="200" t="n"/>
      <c r="J67" s="200" t="n"/>
      <c r="K67" s="200" t="n"/>
      <c r="L67" s="200" t="n"/>
    </row>
    <row r="68" ht="15" customHeight="1" s="122">
      <c r="A68" s="197">
        <f>IF(A67="","","")</f>
        <v/>
      </c>
      <c r="B68" s="197">
        <f>IF(A68="","",IFERROR(xlookup(A68,'MONTHLY ANALYSIS'!$A:$A,'MONTHLY ANALYSIS'!$L:$L),0))</f>
        <v/>
      </c>
      <c r="C68" s="204">
        <f>IF(A68="","",IFERROR(xlookup(A68,'MONTHLY ANALYSIS'!$A:$A,'MONTHLY ANALYSIS'!$L:$L),0))</f>
        <v/>
      </c>
      <c r="D68" s="205">
        <f>IF(A68="","",IFERROR(xlookup(A68,'MONTHLY ANALYSIS'!$A:$A,'MONTHLY ANALYSIS'!$M:$M),0))</f>
        <v/>
      </c>
      <c r="E68" s="190">
        <f>IF(A68="","",IF(D68&gt;0,"⚑ PAST MIDNIGHT","⚠ PAST 10PM ONLY"))</f>
        <v/>
      </c>
      <c r="F68" s="170">
        <f>IF(A68="","",IFERROR(xlookup(A68,'FLEET REGISTER'!$B:$B,'FLEET REGISTER'!$F:$F),"Unknown"))</f>
        <v/>
      </c>
      <c r="G68" s="200" t="n"/>
      <c r="H68" s="200" t="n"/>
      <c r="I68" s="200" t="n"/>
      <c r="J68" s="200" t="n"/>
      <c r="K68" s="200" t="n"/>
      <c r="L68" s="200" t="n"/>
    </row>
    <row r="69" ht="15" customHeight="1" s="122">
      <c r="A69" s="197">
        <f>IF(A68="","","")</f>
        <v/>
      </c>
      <c r="B69" s="197">
        <f>IF(A69="","",IFERROR(xlookup(A69,'MONTHLY ANALYSIS'!$A:$A,'MONTHLY ANALYSIS'!$L:$L),0))</f>
        <v/>
      </c>
      <c r="C69" s="204">
        <f>IF(A69="","",IFERROR(xlookup(A69,'MONTHLY ANALYSIS'!$A:$A,'MONTHLY ANALYSIS'!$L:$L),0))</f>
        <v/>
      </c>
      <c r="D69" s="205">
        <f>IF(A69="","",IFERROR(xlookup(A69,'MONTHLY ANALYSIS'!$A:$A,'MONTHLY ANALYSIS'!$M:$M),0))</f>
        <v/>
      </c>
      <c r="E69" s="190">
        <f>IF(A69="","",IF(D69&gt;0,"⚑ PAST MIDNIGHT","⚠ PAST 10PM ONLY"))</f>
        <v/>
      </c>
      <c r="F69" s="170">
        <f>IF(A69="","",IFERROR(xlookup(A69,'FLEET REGISTER'!$B:$B,'FLEET REGISTER'!$F:$F),"Unknown"))</f>
        <v/>
      </c>
      <c r="G69" s="200" t="n"/>
      <c r="H69" s="200" t="n"/>
      <c r="I69" s="200" t="n"/>
      <c r="J69" s="200" t="n"/>
      <c r="K69" s="200" t="n"/>
      <c r="L69" s="200" t="n"/>
    </row>
    <row r="70" ht="15" customHeight="1" s="122">
      <c r="A70" s="197">
        <f>IF(A69="","","")</f>
        <v/>
      </c>
      <c r="B70" s="197">
        <f>IF(A70="","",IFERROR(xlookup(A70,'MONTHLY ANALYSIS'!$A:$A,'MONTHLY ANALYSIS'!$L:$L),0))</f>
        <v/>
      </c>
      <c r="C70" s="204">
        <f>IF(A70="","",IFERROR(xlookup(A70,'MONTHLY ANALYSIS'!$A:$A,'MONTHLY ANALYSIS'!$L:$L),0))</f>
        <v/>
      </c>
      <c r="D70" s="205">
        <f>IF(A70="","",IFERROR(xlookup(A70,'MONTHLY ANALYSIS'!$A:$A,'MONTHLY ANALYSIS'!$M:$M),0))</f>
        <v/>
      </c>
      <c r="E70" s="190">
        <f>IF(A70="","",IF(D70&gt;0,"⚑ PAST MIDNIGHT","⚠ PAST 10PM ONLY"))</f>
        <v/>
      </c>
      <c r="F70" s="170">
        <f>IF(A70="","",IFERROR(xlookup(A70,'FLEET REGISTER'!$B:$B,'FLEET REGISTER'!$F:$F),"Unknown"))</f>
        <v/>
      </c>
      <c r="G70" s="200" t="n"/>
      <c r="H70" s="200" t="n"/>
      <c r="I70" s="200" t="n"/>
      <c r="J70" s="200" t="n"/>
      <c r="K70" s="200" t="n"/>
      <c r="L70" s="200" t="n"/>
    </row>
    <row r="71" ht="15" customHeight="1" s="122">
      <c r="A71" s="197">
        <f>IF(A70="","","")</f>
        <v/>
      </c>
      <c r="B71" s="197">
        <f>IF(A71="","",IFERROR(xlookup(A71,'MONTHLY ANALYSIS'!$A:$A,'MONTHLY ANALYSIS'!$L:$L),0))</f>
        <v/>
      </c>
      <c r="C71" s="204">
        <f>IF(A71="","",IFERROR(xlookup(A71,'MONTHLY ANALYSIS'!$A:$A,'MONTHLY ANALYSIS'!$L:$L),0))</f>
        <v/>
      </c>
      <c r="D71" s="205">
        <f>IF(A71="","",IFERROR(xlookup(A71,'MONTHLY ANALYSIS'!$A:$A,'MONTHLY ANALYSIS'!$M:$M),0))</f>
        <v/>
      </c>
      <c r="E71" s="190">
        <f>IF(A71="","",IF(D71&gt;0,"⚑ PAST MIDNIGHT","⚠ PAST 10PM ONLY"))</f>
        <v/>
      </c>
      <c r="F71" s="170">
        <f>IF(A71="","",IFERROR(xlookup(A71,'FLEET REGISTER'!$B:$B,'FLEET REGISTER'!$F:$F),"Unknown"))</f>
        <v/>
      </c>
      <c r="G71" s="200" t="n"/>
      <c r="H71" s="200" t="n"/>
      <c r="I71" s="200" t="n"/>
      <c r="J71" s="200" t="n"/>
      <c r="K71" s="200" t="n"/>
      <c r="L71" s="200" t="n"/>
    </row>
    <row r="72" ht="15" customHeight="1" s="122">
      <c r="A72" s="197">
        <f>IF(A71="","","")</f>
        <v/>
      </c>
      <c r="B72" s="197">
        <f>IF(A72="","",IFERROR(xlookup(A72,'MONTHLY ANALYSIS'!$A:$A,'MONTHLY ANALYSIS'!$L:$L),0))</f>
        <v/>
      </c>
      <c r="C72" s="204">
        <f>IF(A72="","",IFERROR(xlookup(A72,'MONTHLY ANALYSIS'!$A:$A,'MONTHLY ANALYSIS'!$L:$L),0))</f>
        <v/>
      </c>
      <c r="D72" s="205">
        <f>IF(A72="","",IFERROR(xlookup(A72,'MONTHLY ANALYSIS'!$A:$A,'MONTHLY ANALYSIS'!$M:$M),0))</f>
        <v/>
      </c>
      <c r="E72" s="190">
        <f>IF(A72="","",IF(D72&gt;0,"⚑ PAST MIDNIGHT","⚠ PAST 10PM ONLY"))</f>
        <v/>
      </c>
      <c r="F72" s="170">
        <f>IF(A72="","",IFERROR(xlookup(A72,'FLEET REGISTER'!$B:$B,'FLEET REGISTER'!$F:$F),"Unknown"))</f>
        <v/>
      </c>
      <c r="G72" s="200" t="n"/>
      <c r="H72" s="200" t="n"/>
      <c r="I72" s="200" t="n"/>
      <c r="J72" s="200" t="n"/>
      <c r="K72" s="200" t="n"/>
      <c r="L72" s="200" t="n"/>
    </row>
    <row r="73" ht="15" customHeight="1" s="122">
      <c r="A73" s="197">
        <f>IF(A72="","","")</f>
        <v/>
      </c>
      <c r="B73" s="197">
        <f>IF(A73="","",IFERROR(xlookup(A73,'MONTHLY ANALYSIS'!$A:$A,'MONTHLY ANALYSIS'!$L:$L),0))</f>
        <v/>
      </c>
      <c r="C73" s="204">
        <f>IF(A73="","",IFERROR(xlookup(A73,'MONTHLY ANALYSIS'!$A:$A,'MONTHLY ANALYSIS'!$L:$L),0))</f>
        <v/>
      </c>
      <c r="D73" s="205">
        <f>IF(A73="","",IFERROR(xlookup(A73,'MONTHLY ANALYSIS'!$A:$A,'MONTHLY ANALYSIS'!$M:$M),0))</f>
        <v/>
      </c>
      <c r="E73" s="190">
        <f>IF(A73="","",IF(D73&gt;0,"⚑ PAST MIDNIGHT","⚠ PAST 10PM ONLY"))</f>
        <v/>
      </c>
      <c r="F73" s="170">
        <f>IF(A73="","",IFERROR(xlookup(A73,'FLEET REGISTER'!$B:$B,'FLEET REGISTER'!$F:$F),"Unknown"))</f>
        <v/>
      </c>
      <c r="G73" s="200" t="n"/>
      <c r="H73" s="200" t="n"/>
      <c r="I73" s="200" t="n"/>
      <c r="J73" s="200" t="n"/>
      <c r="K73" s="200" t="n"/>
      <c r="L73" s="200" t="n"/>
    </row>
    <row r="74" ht="15" customHeight="1" s="122">
      <c r="A74" s="197">
        <f>IF(A73="","","")</f>
        <v/>
      </c>
      <c r="B74" s="197">
        <f>IF(A74="","",IFERROR(xlookup(A74,'MONTHLY ANALYSIS'!$A:$A,'MONTHLY ANALYSIS'!$L:$L),0))</f>
        <v/>
      </c>
      <c r="C74" s="204">
        <f>IF(A74="","",IFERROR(xlookup(A74,'MONTHLY ANALYSIS'!$A:$A,'MONTHLY ANALYSIS'!$L:$L),0))</f>
        <v/>
      </c>
      <c r="D74" s="205">
        <f>IF(A74="","",IFERROR(xlookup(A74,'MONTHLY ANALYSIS'!$A:$A,'MONTHLY ANALYSIS'!$M:$M),0))</f>
        <v/>
      </c>
      <c r="E74" s="190">
        <f>IF(A74="","",IF(D74&gt;0,"⚑ PAST MIDNIGHT","⚠ PAST 10PM ONLY"))</f>
        <v/>
      </c>
      <c r="F74" s="170">
        <f>IF(A74="","",IFERROR(xlookup(A74,'FLEET REGISTER'!$B:$B,'FLEET REGISTER'!$F:$F),"Unknown"))</f>
        <v/>
      </c>
      <c r="G74" s="200" t="n"/>
      <c r="H74" s="200" t="n"/>
      <c r="I74" s="200" t="n"/>
      <c r="J74" s="200" t="n"/>
      <c r="K74" s="200" t="n"/>
      <c r="L74" s="200" t="n"/>
    </row>
    <row r="75" ht="15" customHeight="1" s="122">
      <c r="A75" s="197">
        <f>IF(A74="","","")</f>
        <v/>
      </c>
      <c r="B75" s="197">
        <f>IF(A75="","",IFERROR(xlookup(A75,'MONTHLY ANALYSIS'!$A:$A,'MONTHLY ANALYSIS'!$L:$L),0))</f>
        <v/>
      </c>
      <c r="C75" s="204">
        <f>IF(A75="","",IFERROR(xlookup(A75,'MONTHLY ANALYSIS'!$A:$A,'MONTHLY ANALYSIS'!$L:$L),0))</f>
        <v/>
      </c>
      <c r="D75" s="205">
        <f>IF(A75="","",IFERROR(xlookup(A75,'MONTHLY ANALYSIS'!$A:$A,'MONTHLY ANALYSIS'!$M:$M),0))</f>
        <v/>
      </c>
      <c r="E75" s="190">
        <f>IF(A75="","",IF(D75&gt;0,"⚑ PAST MIDNIGHT","⚠ PAST 10PM ONLY"))</f>
        <v/>
      </c>
      <c r="F75" s="170">
        <f>IF(A75="","",IFERROR(xlookup(A75,'FLEET REGISTER'!$B:$B,'FLEET REGISTER'!$F:$F),"Unknown"))</f>
        <v/>
      </c>
      <c r="G75" s="200" t="n"/>
      <c r="H75" s="200" t="n"/>
      <c r="I75" s="200" t="n"/>
      <c r="J75" s="200" t="n"/>
      <c r="K75" s="200" t="n"/>
      <c r="L75" s="200" t="n"/>
    </row>
    <row r="76" ht="15" customHeight="1" s="122">
      <c r="A76" s="197">
        <f>IF(A75="","","")</f>
        <v/>
      </c>
      <c r="B76" s="197">
        <f>IF(A76="","",IFERROR(xlookup(A76,'MONTHLY ANALYSIS'!$A:$A,'MONTHLY ANALYSIS'!$L:$L),0))</f>
        <v/>
      </c>
      <c r="C76" s="204">
        <f>IF(A76="","",IFERROR(xlookup(A76,'MONTHLY ANALYSIS'!$A:$A,'MONTHLY ANALYSIS'!$L:$L),0))</f>
        <v/>
      </c>
      <c r="D76" s="205">
        <f>IF(A76="","",IFERROR(xlookup(A76,'MONTHLY ANALYSIS'!$A:$A,'MONTHLY ANALYSIS'!$M:$M),0))</f>
        <v/>
      </c>
      <c r="E76" s="190">
        <f>IF(A76="","",IF(D76&gt;0,"⚑ PAST MIDNIGHT","⚠ PAST 10PM ONLY"))</f>
        <v/>
      </c>
      <c r="F76" s="170">
        <f>IF(A76="","",IFERROR(xlookup(A76,'FLEET REGISTER'!$B:$B,'FLEET REGISTER'!$F:$F),"Unknown"))</f>
        <v/>
      </c>
      <c r="G76" s="200" t="n"/>
      <c r="H76" s="200" t="n"/>
      <c r="I76" s="200" t="n"/>
      <c r="J76" s="200" t="n"/>
      <c r="K76" s="200" t="n"/>
      <c r="L76" s="200" t="n"/>
    </row>
    <row r="77" ht="15" customHeight="1" s="122">
      <c r="A77" s="197">
        <f>IF(A76="","","")</f>
        <v/>
      </c>
      <c r="B77" s="197">
        <f>IF(A77="","",IFERROR(xlookup(A77,'MONTHLY ANALYSIS'!$A:$A,'MONTHLY ANALYSIS'!$L:$L),0))</f>
        <v/>
      </c>
      <c r="C77" s="204">
        <f>IF(A77="","",IFERROR(xlookup(A77,'MONTHLY ANALYSIS'!$A:$A,'MONTHLY ANALYSIS'!$L:$L),0))</f>
        <v/>
      </c>
      <c r="D77" s="205">
        <f>IF(A77="","",IFERROR(xlookup(A77,'MONTHLY ANALYSIS'!$A:$A,'MONTHLY ANALYSIS'!$M:$M),0))</f>
        <v/>
      </c>
      <c r="E77" s="190">
        <f>IF(A77="","",IF(D77&gt;0,"⚑ PAST MIDNIGHT","⚠ PAST 10PM ONLY"))</f>
        <v/>
      </c>
      <c r="F77" s="170">
        <f>IF(A77="","",IFERROR(xlookup(A77,'FLEET REGISTER'!$B:$B,'FLEET REGISTER'!$F:$F),"Unknown"))</f>
        <v/>
      </c>
      <c r="G77" s="200" t="n"/>
      <c r="H77" s="200" t="n"/>
      <c r="I77" s="200" t="n"/>
      <c r="J77" s="200" t="n"/>
      <c r="K77" s="200" t="n"/>
      <c r="L77" s="200" t="n"/>
    </row>
    <row r="78" ht="15" customHeight="1" s="122">
      <c r="A78" s="197">
        <f>IF(A77="","","")</f>
        <v/>
      </c>
      <c r="B78" s="197">
        <f>IF(A78="","",IFERROR(xlookup(A78,'MONTHLY ANALYSIS'!$A:$A,'MONTHLY ANALYSIS'!$L:$L),0))</f>
        <v/>
      </c>
      <c r="C78" s="204">
        <f>IF(A78="","",IFERROR(xlookup(A78,'MONTHLY ANALYSIS'!$A:$A,'MONTHLY ANALYSIS'!$L:$L),0))</f>
        <v/>
      </c>
      <c r="D78" s="205">
        <f>IF(A78="","",IFERROR(xlookup(A78,'MONTHLY ANALYSIS'!$A:$A,'MONTHLY ANALYSIS'!$M:$M),0))</f>
        <v/>
      </c>
      <c r="E78" s="190">
        <f>IF(A78="","",IF(D78&gt;0,"⚑ PAST MIDNIGHT","⚠ PAST 10PM ONLY"))</f>
        <v/>
      </c>
      <c r="F78" s="170">
        <f>IF(A78="","",IFERROR(xlookup(A78,'FLEET REGISTER'!$B:$B,'FLEET REGISTER'!$F:$F),"Unknown"))</f>
        <v/>
      </c>
      <c r="G78" s="200" t="n"/>
      <c r="H78" s="200" t="n"/>
      <c r="I78" s="200" t="n"/>
      <c r="J78" s="200" t="n"/>
      <c r="K78" s="200" t="n"/>
      <c r="L78" s="200" t="n"/>
    </row>
    <row r="79" ht="15" customHeight="1" s="122">
      <c r="A79" s="197">
        <f>IF(A78="","","")</f>
        <v/>
      </c>
      <c r="B79" s="197">
        <f>IF(A79="","",IFERROR(xlookup(A79,'MONTHLY ANALYSIS'!$A:$A,'MONTHLY ANALYSIS'!$L:$L),0))</f>
        <v/>
      </c>
      <c r="C79" s="204">
        <f>IF(A79="","",IFERROR(xlookup(A79,'MONTHLY ANALYSIS'!$A:$A,'MONTHLY ANALYSIS'!$L:$L),0))</f>
        <v/>
      </c>
      <c r="D79" s="205">
        <f>IF(A79="","",IFERROR(xlookup(A79,'MONTHLY ANALYSIS'!$A:$A,'MONTHLY ANALYSIS'!$M:$M),0))</f>
        <v/>
      </c>
      <c r="E79" s="190">
        <f>IF(A79="","",IF(D79&gt;0,"⚑ PAST MIDNIGHT","⚠ PAST 10PM ONLY"))</f>
        <v/>
      </c>
      <c r="F79" s="170">
        <f>IF(A79="","",IFERROR(xlookup(A79,'FLEET REGISTER'!$B:$B,'FLEET REGISTER'!$F:$F),"Unknown"))</f>
        <v/>
      </c>
      <c r="G79" s="200" t="n"/>
      <c r="H79" s="200" t="n"/>
      <c r="I79" s="200" t="n"/>
      <c r="J79" s="200" t="n"/>
      <c r="K79" s="200" t="n"/>
      <c r="L79" s="200" t="n"/>
    </row>
    <row r="80" ht="15" customHeight="1" s="122">
      <c r="A80" s="197">
        <f>IF(A79="","","")</f>
        <v/>
      </c>
      <c r="B80" s="197">
        <f>IF(A80="","",IFERROR(xlookup(A80,'MONTHLY ANALYSIS'!$A:$A,'MONTHLY ANALYSIS'!$L:$L),0))</f>
        <v/>
      </c>
      <c r="C80" s="204">
        <f>IF(A80="","",IFERROR(xlookup(A80,'MONTHLY ANALYSIS'!$A:$A,'MONTHLY ANALYSIS'!$L:$L),0))</f>
        <v/>
      </c>
      <c r="D80" s="205">
        <f>IF(A80="","",IFERROR(xlookup(A80,'MONTHLY ANALYSIS'!$A:$A,'MONTHLY ANALYSIS'!$M:$M),0))</f>
        <v/>
      </c>
      <c r="E80" s="190">
        <f>IF(A80="","",IF(D80&gt;0,"⚑ PAST MIDNIGHT","⚠ PAST 10PM ONLY"))</f>
        <v/>
      </c>
      <c r="F80" s="170">
        <f>IF(A80="","",IFERROR(xlookup(A80,'FLEET REGISTER'!$B:$B,'FLEET REGISTER'!$F:$F),"Unknown"))</f>
        <v/>
      </c>
      <c r="G80" s="200" t="n"/>
      <c r="H80" s="200" t="n"/>
      <c r="I80" s="200" t="n"/>
      <c r="J80" s="200" t="n"/>
      <c r="K80" s="200" t="n"/>
      <c r="L80" s="200" t="n"/>
    </row>
    <row r="81" ht="15" customHeight="1" s="122">
      <c r="A81" s="197">
        <f>IF(A80="","","")</f>
        <v/>
      </c>
      <c r="B81" s="197">
        <f>IF(A81="","",IFERROR(xlookup(A81,'MONTHLY ANALYSIS'!$A:$A,'MONTHLY ANALYSIS'!$L:$L),0))</f>
        <v/>
      </c>
      <c r="C81" s="204">
        <f>IF(A81="","",IFERROR(xlookup(A81,'MONTHLY ANALYSIS'!$A:$A,'MONTHLY ANALYSIS'!$L:$L),0))</f>
        <v/>
      </c>
      <c r="D81" s="205">
        <f>IF(A81="","",IFERROR(xlookup(A81,'MONTHLY ANALYSIS'!$A:$A,'MONTHLY ANALYSIS'!$M:$M),0))</f>
        <v/>
      </c>
      <c r="E81" s="190">
        <f>IF(A81="","",IF(D81&gt;0,"⚑ PAST MIDNIGHT","⚠ PAST 10PM ONLY"))</f>
        <v/>
      </c>
      <c r="F81" s="170">
        <f>IF(A81="","",IFERROR(xlookup(A81,'FLEET REGISTER'!$B:$B,'FLEET REGISTER'!$F:$F),"Unknown"))</f>
        <v/>
      </c>
      <c r="G81" s="200" t="n"/>
      <c r="H81" s="200" t="n"/>
      <c r="I81" s="200" t="n"/>
      <c r="J81" s="200" t="n"/>
      <c r="K81" s="200" t="n"/>
      <c r="L81" s="200" t="n"/>
    </row>
    <row r="82" ht="15" customHeight="1" s="122">
      <c r="A82" s="197">
        <f>IF(A81="","","")</f>
        <v/>
      </c>
      <c r="B82" s="197">
        <f>IF(A82="","",IFERROR(xlookup(A82,'MONTHLY ANALYSIS'!$A:$A,'MONTHLY ANALYSIS'!$L:$L),0))</f>
        <v/>
      </c>
      <c r="C82" s="204">
        <f>IF(A82="","",IFERROR(xlookup(A82,'MONTHLY ANALYSIS'!$A:$A,'MONTHLY ANALYSIS'!$L:$L),0))</f>
        <v/>
      </c>
      <c r="D82" s="205">
        <f>IF(A82="","",IFERROR(xlookup(A82,'MONTHLY ANALYSIS'!$A:$A,'MONTHLY ANALYSIS'!$M:$M),0))</f>
        <v/>
      </c>
      <c r="E82" s="190">
        <f>IF(A82="","",IF(D82&gt;0,"⚑ PAST MIDNIGHT","⚠ PAST 10PM ONLY"))</f>
        <v/>
      </c>
      <c r="F82" s="170">
        <f>IF(A82="","",IFERROR(xlookup(A82,'FLEET REGISTER'!$B:$B,'FLEET REGISTER'!$F:$F),"Unknown"))</f>
        <v/>
      </c>
      <c r="G82" s="200" t="n"/>
      <c r="H82" s="200" t="n"/>
      <c r="I82" s="200" t="n"/>
      <c r="J82" s="200" t="n"/>
      <c r="K82" s="200" t="n"/>
      <c r="L82" s="200" t="n"/>
    </row>
    <row r="83" ht="15" customHeight="1" s="122">
      <c r="A83" s="197">
        <f>IF(A82="","","")</f>
        <v/>
      </c>
      <c r="B83" s="197">
        <f>IF(A83="","",IFERROR(xlookup(A83,'MONTHLY ANALYSIS'!$A:$A,'MONTHLY ANALYSIS'!$L:$L),0))</f>
        <v/>
      </c>
      <c r="C83" s="204">
        <f>IF(A83="","",IFERROR(xlookup(A83,'MONTHLY ANALYSIS'!$A:$A,'MONTHLY ANALYSIS'!$L:$L),0))</f>
        <v/>
      </c>
      <c r="D83" s="205">
        <f>IF(A83="","",IFERROR(xlookup(A83,'MONTHLY ANALYSIS'!$A:$A,'MONTHLY ANALYSIS'!$M:$M),0))</f>
        <v/>
      </c>
      <c r="E83" s="190">
        <f>IF(A83="","",IF(D83&gt;0,"⚑ PAST MIDNIGHT","⚠ PAST 10PM ONLY"))</f>
        <v/>
      </c>
      <c r="F83" s="170">
        <f>IF(A83="","",IFERROR(xlookup(A83,'FLEET REGISTER'!$B:$B,'FLEET REGISTER'!$F:$F),"Unknown"))</f>
        <v/>
      </c>
      <c r="G83" s="200" t="n"/>
      <c r="H83" s="200" t="n"/>
      <c r="I83" s="200" t="n"/>
      <c r="J83" s="200" t="n"/>
      <c r="K83" s="200" t="n"/>
      <c r="L83" s="200" t="n"/>
    </row>
    <row r="84" ht="15" customHeight="1" s="122">
      <c r="A84" s="197">
        <f>IF(A83="","","")</f>
        <v/>
      </c>
      <c r="B84" s="197">
        <f>IF(A84="","",IFERROR(xlookup(A84,'MONTHLY ANALYSIS'!$A:$A,'MONTHLY ANALYSIS'!$L:$L),0))</f>
        <v/>
      </c>
      <c r="C84" s="204">
        <f>IF(A84="","",IFERROR(xlookup(A84,'MONTHLY ANALYSIS'!$A:$A,'MONTHLY ANALYSIS'!$L:$L),0))</f>
        <v/>
      </c>
      <c r="D84" s="205">
        <f>IF(A84="","",IFERROR(xlookup(A84,'MONTHLY ANALYSIS'!$A:$A,'MONTHLY ANALYSIS'!$M:$M),0))</f>
        <v/>
      </c>
      <c r="E84" s="190">
        <f>IF(A84="","",IF(D84&gt;0,"⚑ PAST MIDNIGHT","⚠ PAST 10PM ONLY"))</f>
        <v/>
      </c>
      <c r="F84" s="170">
        <f>IF(A84="","",IFERROR(xlookup(A84,'FLEET REGISTER'!$B:$B,'FLEET REGISTER'!$F:$F),"Unknown"))</f>
        <v/>
      </c>
      <c r="G84" s="200" t="n"/>
      <c r="H84" s="200" t="n"/>
      <c r="I84" s="200" t="n"/>
      <c r="J84" s="200" t="n"/>
      <c r="K84" s="200" t="n"/>
      <c r="L84" s="200" t="n"/>
    </row>
    <row r="85" ht="15" customHeight="1" s="122">
      <c r="A85" s="197">
        <f>IF(A84="","","")</f>
        <v/>
      </c>
      <c r="B85" s="197">
        <f>IF(A85="","",IFERROR(xlookup(A85,'MONTHLY ANALYSIS'!$A:$A,'MONTHLY ANALYSIS'!$L:$L),0))</f>
        <v/>
      </c>
      <c r="C85" s="204">
        <f>IF(A85="","",IFERROR(xlookup(A85,'MONTHLY ANALYSIS'!$A:$A,'MONTHLY ANALYSIS'!$L:$L),0))</f>
        <v/>
      </c>
      <c r="D85" s="205">
        <f>IF(A85="","",IFERROR(xlookup(A85,'MONTHLY ANALYSIS'!$A:$A,'MONTHLY ANALYSIS'!$M:$M),0))</f>
        <v/>
      </c>
      <c r="E85" s="190">
        <f>IF(A85="","",IF(D85&gt;0,"⚑ PAST MIDNIGHT","⚠ PAST 10PM ONLY"))</f>
        <v/>
      </c>
      <c r="F85" s="170">
        <f>IF(A85="","",IFERROR(xlookup(A85,'FLEET REGISTER'!$B:$B,'FLEET REGISTER'!$F:$F),"Unknown"))</f>
        <v/>
      </c>
      <c r="G85" s="200" t="n"/>
      <c r="H85" s="200" t="n"/>
      <c r="I85" s="200" t="n"/>
      <c r="J85" s="200" t="n"/>
      <c r="K85" s="200" t="n"/>
      <c r="L85" s="200" t="n"/>
    </row>
    <row r="86" ht="15" customHeight="1" s="122">
      <c r="A86" s="197">
        <f>IF(A85="","","")</f>
        <v/>
      </c>
      <c r="B86" s="197">
        <f>IF(A86="","",IFERROR(xlookup(A86,'MONTHLY ANALYSIS'!$A:$A,'MONTHLY ANALYSIS'!$L:$L),0))</f>
        <v/>
      </c>
      <c r="C86" s="204">
        <f>IF(A86="","",IFERROR(xlookup(A86,'MONTHLY ANALYSIS'!$A:$A,'MONTHLY ANALYSIS'!$L:$L),0))</f>
        <v/>
      </c>
      <c r="D86" s="205">
        <f>IF(A86="","",IFERROR(xlookup(A86,'MONTHLY ANALYSIS'!$A:$A,'MONTHLY ANALYSIS'!$M:$M),0))</f>
        <v/>
      </c>
      <c r="E86" s="190">
        <f>IF(A86="","",IF(D86&gt;0,"⚑ PAST MIDNIGHT","⚠ PAST 10PM ONLY"))</f>
        <v/>
      </c>
      <c r="F86" s="170">
        <f>IF(A86="","",IFERROR(xlookup(A86,'FLEET REGISTER'!$B:$B,'FLEET REGISTER'!$F:$F),"Unknown"))</f>
        <v/>
      </c>
      <c r="G86" s="200" t="n"/>
      <c r="H86" s="200" t="n"/>
      <c r="I86" s="200" t="n"/>
      <c r="J86" s="200" t="n"/>
      <c r="K86" s="200" t="n"/>
      <c r="L86" s="200" t="n"/>
    </row>
    <row r="87" ht="15" customHeight="1" s="122">
      <c r="A87" s="197">
        <f>IF(A86="","","")</f>
        <v/>
      </c>
      <c r="B87" s="197">
        <f>IF(A87="","",IFERROR(xlookup(A87,'MONTHLY ANALYSIS'!$A:$A,'MONTHLY ANALYSIS'!$L:$L),0))</f>
        <v/>
      </c>
      <c r="C87" s="204">
        <f>IF(A87="","",IFERROR(xlookup(A87,'MONTHLY ANALYSIS'!$A:$A,'MONTHLY ANALYSIS'!$L:$L),0))</f>
        <v/>
      </c>
      <c r="D87" s="205">
        <f>IF(A87="","",IFERROR(xlookup(A87,'MONTHLY ANALYSIS'!$A:$A,'MONTHLY ANALYSIS'!$M:$M),0))</f>
        <v/>
      </c>
      <c r="E87" s="190">
        <f>IF(A87="","",IF(D87&gt;0,"⚑ PAST MIDNIGHT","⚠ PAST 10PM ONLY"))</f>
        <v/>
      </c>
      <c r="F87" s="170">
        <f>IF(A87="","",IFERROR(xlookup(A87,'FLEET REGISTER'!$B:$B,'FLEET REGISTER'!$F:$F),"Unknown"))</f>
        <v/>
      </c>
      <c r="G87" s="200" t="n"/>
      <c r="H87" s="200" t="n"/>
      <c r="I87" s="200" t="n"/>
      <c r="J87" s="200" t="n"/>
      <c r="K87" s="200" t="n"/>
      <c r="L87" s="200" t="n"/>
    </row>
    <row r="88" ht="15" customHeight="1" s="122">
      <c r="A88" s="197">
        <f>IF(A87="","","")</f>
        <v/>
      </c>
      <c r="B88" s="197">
        <f>IF(A88="","",IFERROR(xlookup(A88,'MONTHLY ANALYSIS'!$A:$A,'MONTHLY ANALYSIS'!$L:$L),0))</f>
        <v/>
      </c>
      <c r="C88" s="204">
        <f>IF(A88="","",IFERROR(xlookup(A88,'MONTHLY ANALYSIS'!$A:$A,'MONTHLY ANALYSIS'!$L:$L),0))</f>
        <v/>
      </c>
      <c r="D88" s="205">
        <f>IF(A88="","",IFERROR(xlookup(A88,'MONTHLY ANALYSIS'!$A:$A,'MONTHLY ANALYSIS'!$M:$M),0))</f>
        <v/>
      </c>
      <c r="E88" s="190">
        <f>IF(A88="","",IF(D88&gt;0,"⚑ PAST MIDNIGHT","⚠ PAST 10PM ONLY"))</f>
        <v/>
      </c>
      <c r="F88" s="170">
        <f>IF(A88="","",IFERROR(xlookup(A88,'FLEET REGISTER'!$B:$B,'FLEET REGISTER'!$F:$F),"Unknown"))</f>
        <v/>
      </c>
      <c r="G88" s="200" t="n"/>
      <c r="H88" s="200" t="n"/>
      <c r="I88" s="200" t="n"/>
      <c r="J88" s="200" t="n"/>
      <c r="K88" s="200" t="n"/>
      <c r="L88" s="200" t="n"/>
    </row>
    <row r="89" ht="15" customHeight="1" s="122">
      <c r="A89" s="197">
        <f>IF(A88="","","")</f>
        <v/>
      </c>
      <c r="B89" s="197">
        <f>IF(A89="","",IFERROR(xlookup(A89,'MONTHLY ANALYSIS'!$A:$A,'MONTHLY ANALYSIS'!$L:$L),0))</f>
        <v/>
      </c>
      <c r="C89" s="204">
        <f>IF(A89="","",IFERROR(xlookup(A89,'MONTHLY ANALYSIS'!$A:$A,'MONTHLY ANALYSIS'!$L:$L),0))</f>
        <v/>
      </c>
      <c r="D89" s="205">
        <f>IF(A89="","",IFERROR(xlookup(A89,'MONTHLY ANALYSIS'!$A:$A,'MONTHLY ANALYSIS'!$M:$M),0))</f>
        <v/>
      </c>
      <c r="E89" s="190">
        <f>IF(A89="","",IF(D89&gt;0,"⚑ PAST MIDNIGHT","⚠ PAST 10PM ONLY"))</f>
        <v/>
      </c>
      <c r="F89" s="170">
        <f>IF(A89="","",IFERROR(xlookup(A89,'FLEET REGISTER'!$B:$B,'FLEET REGISTER'!$F:$F),"Unknown"))</f>
        <v/>
      </c>
      <c r="G89" s="200" t="n"/>
      <c r="H89" s="200" t="n"/>
      <c r="I89" s="200" t="n"/>
      <c r="J89" s="200" t="n"/>
      <c r="K89" s="200" t="n"/>
      <c r="L89" s="200" t="n"/>
    </row>
    <row r="90" ht="15" customHeight="1" s="122">
      <c r="A90" s="197">
        <f>IF(A89="","","")</f>
        <v/>
      </c>
      <c r="B90" s="197">
        <f>IF(A90="","",IFERROR(xlookup(A90,'MONTHLY ANALYSIS'!$A:$A,'MONTHLY ANALYSIS'!$L:$L),0))</f>
        <v/>
      </c>
      <c r="C90" s="204">
        <f>IF(A90="","",IFERROR(xlookup(A90,'MONTHLY ANALYSIS'!$A:$A,'MONTHLY ANALYSIS'!$L:$L),0))</f>
        <v/>
      </c>
      <c r="D90" s="205">
        <f>IF(A90="","",IFERROR(xlookup(A90,'MONTHLY ANALYSIS'!$A:$A,'MONTHLY ANALYSIS'!$M:$M),0))</f>
        <v/>
      </c>
      <c r="E90" s="190">
        <f>IF(A90="","",IF(D90&gt;0,"⚑ PAST MIDNIGHT","⚠ PAST 10PM ONLY"))</f>
        <v/>
      </c>
      <c r="F90" s="170">
        <f>IF(A90="","",IFERROR(xlookup(A90,'FLEET REGISTER'!$B:$B,'FLEET REGISTER'!$F:$F),"Unknown"))</f>
        <v/>
      </c>
      <c r="G90" s="200" t="n"/>
      <c r="H90" s="200" t="n"/>
      <c r="I90" s="200" t="n"/>
      <c r="J90" s="200" t="n"/>
      <c r="K90" s="200" t="n"/>
      <c r="L90" s="200" t="n"/>
    </row>
    <row r="91" ht="15" customHeight="1" s="122">
      <c r="A91" s="197">
        <f>IF(A90="","","")</f>
        <v/>
      </c>
      <c r="B91" s="197">
        <f>IF(A91="","",IFERROR(xlookup(A91,'MONTHLY ANALYSIS'!$A:$A,'MONTHLY ANALYSIS'!$L:$L),0))</f>
        <v/>
      </c>
      <c r="C91" s="204">
        <f>IF(A91="","",IFERROR(xlookup(A91,'MONTHLY ANALYSIS'!$A:$A,'MONTHLY ANALYSIS'!$L:$L),0))</f>
        <v/>
      </c>
      <c r="D91" s="205">
        <f>IF(A91="","",IFERROR(xlookup(A91,'MONTHLY ANALYSIS'!$A:$A,'MONTHLY ANALYSIS'!$M:$M),0))</f>
        <v/>
      </c>
      <c r="E91" s="190">
        <f>IF(A91="","",IF(D91&gt;0,"⚑ PAST MIDNIGHT","⚠ PAST 10PM ONLY"))</f>
        <v/>
      </c>
      <c r="F91" s="170">
        <f>IF(A91="","",IFERROR(xlookup(A91,'FLEET REGISTER'!$B:$B,'FLEET REGISTER'!$F:$F),"Unknown"))</f>
        <v/>
      </c>
      <c r="G91" s="200" t="n"/>
      <c r="H91" s="200" t="n"/>
      <c r="I91" s="200" t="n"/>
      <c r="J91" s="200" t="n"/>
      <c r="K91" s="200" t="n"/>
      <c r="L91" s="200" t="n"/>
    </row>
    <row r="92" ht="15" customHeight="1" s="122">
      <c r="A92" s="197">
        <f>IF(A91="","","")</f>
        <v/>
      </c>
      <c r="B92" s="197">
        <f>IF(A92="","",IFERROR(xlookup(A92,'MONTHLY ANALYSIS'!$A:$A,'MONTHLY ANALYSIS'!$L:$L),0))</f>
        <v/>
      </c>
      <c r="C92" s="204">
        <f>IF(A92="","",IFERROR(xlookup(A92,'MONTHLY ANALYSIS'!$A:$A,'MONTHLY ANALYSIS'!$L:$L),0))</f>
        <v/>
      </c>
      <c r="D92" s="205">
        <f>IF(A92="","",IFERROR(xlookup(A92,'MONTHLY ANALYSIS'!$A:$A,'MONTHLY ANALYSIS'!$M:$M),0))</f>
        <v/>
      </c>
      <c r="E92" s="190">
        <f>IF(A92="","",IF(D92&gt;0,"⚑ PAST MIDNIGHT","⚠ PAST 10PM ONLY"))</f>
        <v/>
      </c>
      <c r="F92" s="170">
        <f>IF(A92="","",IFERROR(xlookup(A92,'FLEET REGISTER'!$B:$B,'FLEET REGISTER'!$F:$F),"Unknown"))</f>
        <v/>
      </c>
      <c r="G92" s="200" t="n"/>
      <c r="H92" s="200" t="n"/>
      <c r="I92" s="200" t="n"/>
      <c r="J92" s="200" t="n"/>
      <c r="K92" s="200" t="n"/>
      <c r="L92" s="200" t="n"/>
    </row>
    <row r="93" ht="15" customHeight="1" s="122">
      <c r="A93" s="197">
        <f>IF(A92="","","")</f>
        <v/>
      </c>
      <c r="B93" s="197">
        <f>IF(A93="","",IFERROR(xlookup(A93,'MONTHLY ANALYSIS'!$A:$A,'MONTHLY ANALYSIS'!$L:$L),0))</f>
        <v/>
      </c>
      <c r="C93" s="204">
        <f>IF(A93="","",IFERROR(xlookup(A93,'MONTHLY ANALYSIS'!$A:$A,'MONTHLY ANALYSIS'!$L:$L),0))</f>
        <v/>
      </c>
      <c r="D93" s="205">
        <f>IF(A93="","",IFERROR(xlookup(A93,'MONTHLY ANALYSIS'!$A:$A,'MONTHLY ANALYSIS'!$M:$M),0))</f>
        <v/>
      </c>
      <c r="E93" s="190">
        <f>IF(A93="","",IF(D93&gt;0,"⚑ PAST MIDNIGHT","⚠ PAST 10PM ONLY"))</f>
        <v/>
      </c>
      <c r="F93" s="170">
        <f>IF(A93="","",IFERROR(xlookup(A93,'FLEET REGISTER'!$B:$B,'FLEET REGISTER'!$F:$F),"Unknown"))</f>
        <v/>
      </c>
      <c r="G93" s="200" t="n"/>
      <c r="H93" s="200" t="n"/>
      <c r="I93" s="200" t="n"/>
      <c r="J93" s="200" t="n"/>
      <c r="K93" s="200" t="n"/>
      <c r="L93" s="200" t="n"/>
    </row>
    <row r="94" ht="15" customHeight="1" s="122">
      <c r="A94" s="197">
        <f>IF(A93="","","")</f>
        <v/>
      </c>
      <c r="B94" s="197">
        <f>IF(A94="","",IFERROR(xlookup(A94,'MONTHLY ANALYSIS'!$A:$A,'MONTHLY ANALYSIS'!$L:$L),0))</f>
        <v/>
      </c>
      <c r="C94" s="204">
        <f>IF(A94="","",IFERROR(xlookup(A94,'MONTHLY ANALYSIS'!$A:$A,'MONTHLY ANALYSIS'!$L:$L),0))</f>
        <v/>
      </c>
      <c r="D94" s="205">
        <f>IF(A94="","",IFERROR(xlookup(A94,'MONTHLY ANALYSIS'!$A:$A,'MONTHLY ANALYSIS'!$M:$M),0))</f>
        <v/>
      </c>
      <c r="E94" s="190">
        <f>IF(A94="","",IF(D94&gt;0,"⚑ PAST MIDNIGHT","⚠ PAST 10PM ONLY"))</f>
        <v/>
      </c>
      <c r="F94" s="170">
        <f>IF(A94="","",IFERROR(xlookup(A94,'FLEET REGISTER'!$B:$B,'FLEET REGISTER'!$F:$F),"Unknown"))</f>
        <v/>
      </c>
      <c r="G94" s="200" t="n"/>
      <c r="H94" s="200" t="n"/>
      <c r="I94" s="200" t="n"/>
      <c r="J94" s="200" t="n"/>
      <c r="K94" s="200" t="n"/>
      <c r="L94" s="200" t="n"/>
    </row>
    <row r="95" ht="15" customHeight="1" s="122">
      <c r="A95" s="197">
        <f>IF(A94="","","")</f>
        <v/>
      </c>
      <c r="B95" s="197">
        <f>IF(A95="","",IFERROR(xlookup(A95,'MONTHLY ANALYSIS'!$A:$A,'MONTHLY ANALYSIS'!$L:$L),0))</f>
        <v/>
      </c>
      <c r="C95" s="204">
        <f>IF(A95="","",IFERROR(xlookup(A95,'MONTHLY ANALYSIS'!$A:$A,'MONTHLY ANALYSIS'!$L:$L),0))</f>
        <v/>
      </c>
      <c r="D95" s="205">
        <f>IF(A95="","",IFERROR(xlookup(A95,'MONTHLY ANALYSIS'!$A:$A,'MONTHLY ANALYSIS'!$M:$M),0))</f>
        <v/>
      </c>
      <c r="E95" s="190">
        <f>IF(A95="","",IF(D95&gt;0,"⚑ PAST MIDNIGHT","⚠ PAST 10PM ONLY"))</f>
        <v/>
      </c>
      <c r="F95" s="170">
        <f>IF(A95="","",IFERROR(xlookup(A95,'FLEET REGISTER'!$B:$B,'FLEET REGISTER'!$F:$F),"Unknown"))</f>
        <v/>
      </c>
      <c r="G95" s="200" t="n"/>
      <c r="H95" s="200" t="n"/>
      <c r="I95" s="200" t="n"/>
      <c r="J95" s="200" t="n"/>
      <c r="K95" s="200" t="n"/>
      <c r="L95" s="200" t="n"/>
    </row>
    <row r="96" ht="15" customHeight="1" s="122">
      <c r="A96" s="197">
        <f>IF(A95="","","")</f>
        <v/>
      </c>
      <c r="B96" s="197">
        <f>IF(A96="","",IFERROR(xlookup(A96,'MONTHLY ANALYSIS'!$A:$A,'MONTHLY ANALYSIS'!$L:$L),0))</f>
        <v/>
      </c>
      <c r="C96" s="204">
        <f>IF(A96="","",IFERROR(xlookup(A96,'MONTHLY ANALYSIS'!$A:$A,'MONTHLY ANALYSIS'!$L:$L),0))</f>
        <v/>
      </c>
      <c r="D96" s="205">
        <f>IF(A96="","",IFERROR(xlookup(A96,'MONTHLY ANALYSIS'!$A:$A,'MONTHLY ANALYSIS'!$M:$M),0))</f>
        <v/>
      </c>
      <c r="E96" s="190">
        <f>IF(A96="","",IF(D96&gt;0,"⚑ PAST MIDNIGHT","⚠ PAST 10PM ONLY"))</f>
        <v/>
      </c>
      <c r="F96" s="170">
        <f>IF(A96="","",IFERROR(xlookup(A96,'FLEET REGISTER'!$B:$B,'FLEET REGISTER'!$F:$F),"Unknown"))</f>
        <v/>
      </c>
      <c r="G96" s="200" t="n"/>
      <c r="H96" s="200" t="n"/>
      <c r="I96" s="200" t="n"/>
      <c r="J96" s="200" t="n"/>
      <c r="K96" s="200" t="n"/>
      <c r="L96" s="200" t="n"/>
    </row>
    <row r="97" ht="15" customHeight="1" s="122">
      <c r="A97" s="197">
        <f>IF(A96="","","")</f>
        <v/>
      </c>
      <c r="B97" s="197">
        <f>IF(A97="","",IFERROR(xlookup(A97,'MONTHLY ANALYSIS'!$A:$A,'MONTHLY ANALYSIS'!$L:$L),0))</f>
        <v/>
      </c>
      <c r="C97" s="204">
        <f>IF(A97="","",IFERROR(xlookup(A97,'MONTHLY ANALYSIS'!$A:$A,'MONTHLY ANALYSIS'!$L:$L),0))</f>
        <v/>
      </c>
      <c r="D97" s="205">
        <f>IF(A97="","",IFERROR(xlookup(A97,'MONTHLY ANALYSIS'!$A:$A,'MONTHLY ANALYSIS'!$M:$M),0))</f>
        <v/>
      </c>
      <c r="E97" s="190">
        <f>IF(A97="","",IF(D97&gt;0,"⚑ PAST MIDNIGHT","⚠ PAST 10PM ONLY"))</f>
        <v/>
      </c>
      <c r="F97" s="170">
        <f>IF(A97="","",IFERROR(xlookup(A97,'FLEET REGISTER'!$B:$B,'FLEET REGISTER'!$F:$F),"Unknown"))</f>
        <v/>
      </c>
      <c r="G97" s="200" t="n"/>
      <c r="H97" s="200" t="n"/>
      <c r="I97" s="200" t="n"/>
      <c r="J97" s="200" t="n"/>
      <c r="K97" s="200" t="n"/>
      <c r="L97" s="200" t="n"/>
    </row>
    <row r="98" ht="15" customHeight="1" s="122">
      <c r="A98" s="197">
        <f>IF(A97="","","")</f>
        <v/>
      </c>
      <c r="B98" s="197">
        <f>IF(A98="","",IFERROR(xlookup(A98,'MONTHLY ANALYSIS'!$A:$A,'MONTHLY ANALYSIS'!$L:$L),0))</f>
        <v/>
      </c>
      <c r="C98" s="204">
        <f>IF(A98="","",IFERROR(xlookup(A98,'MONTHLY ANALYSIS'!$A:$A,'MONTHLY ANALYSIS'!$L:$L),0))</f>
        <v/>
      </c>
      <c r="D98" s="205">
        <f>IF(A98="","",IFERROR(xlookup(A98,'MONTHLY ANALYSIS'!$A:$A,'MONTHLY ANALYSIS'!$M:$M),0))</f>
        <v/>
      </c>
      <c r="E98" s="190">
        <f>IF(A98="","",IF(D98&gt;0,"⚑ PAST MIDNIGHT","⚠ PAST 10PM ONLY"))</f>
        <v/>
      </c>
      <c r="F98" s="170">
        <f>IF(A98="","",IFERROR(xlookup(A98,'FLEET REGISTER'!$B:$B,'FLEET REGISTER'!$F:$F),"Unknown"))</f>
        <v/>
      </c>
      <c r="G98" s="200" t="n"/>
      <c r="H98" s="200" t="n"/>
      <c r="I98" s="200" t="n"/>
      <c r="J98" s="200" t="n"/>
      <c r="K98" s="200" t="n"/>
      <c r="L98" s="200" t="n"/>
    </row>
    <row r="99" ht="15" customHeight="1" s="122">
      <c r="A99" s="197">
        <f>IF(A98="","","")</f>
        <v/>
      </c>
      <c r="B99" s="197">
        <f>IF(A99="","",IFERROR(xlookup(A99,'MONTHLY ANALYSIS'!$A:$A,'MONTHLY ANALYSIS'!$L:$L),0))</f>
        <v/>
      </c>
      <c r="C99" s="204">
        <f>IF(A99="","",IFERROR(xlookup(A99,'MONTHLY ANALYSIS'!$A:$A,'MONTHLY ANALYSIS'!$L:$L),0))</f>
        <v/>
      </c>
      <c r="D99" s="205">
        <f>IF(A99="","",IFERROR(xlookup(A99,'MONTHLY ANALYSIS'!$A:$A,'MONTHLY ANALYSIS'!$M:$M),0))</f>
        <v/>
      </c>
      <c r="E99" s="190">
        <f>IF(A99="","",IF(D99&gt;0,"⚑ PAST MIDNIGHT","⚠ PAST 10PM ONLY"))</f>
        <v/>
      </c>
      <c r="F99" s="170">
        <f>IF(A99="","",IFERROR(xlookup(A99,'FLEET REGISTER'!$B:$B,'FLEET REGISTER'!$F:$F),"Unknown"))</f>
        <v/>
      </c>
      <c r="G99" s="200" t="n"/>
      <c r="H99" s="200" t="n"/>
      <c r="I99" s="200" t="n"/>
      <c r="J99" s="200" t="n"/>
      <c r="K99" s="200" t="n"/>
      <c r="L99" s="200" t="n"/>
    </row>
    <row r="100" ht="15" customHeight="1" s="122">
      <c r="A100" s="197">
        <f>IF(A99="","","")</f>
        <v/>
      </c>
      <c r="B100" s="197">
        <f>IF(A100="","",IFERROR(xlookup(A100,'MONTHLY ANALYSIS'!$A:$A,'MONTHLY ANALYSIS'!$L:$L),0))</f>
        <v/>
      </c>
      <c r="C100" s="204">
        <f>IF(A100="","",IFERROR(xlookup(A100,'MONTHLY ANALYSIS'!$A:$A,'MONTHLY ANALYSIS'!$L:$L),0))</f>
        <v/>
      </c>
      <c r="D100" s="205">
        <f>IF(A100="","",IFERROR(xlookup(A100,'MONTHLY ANALYSIS'!$A:$A,'MONTHLY ANALYSIS'!$M:$M),0))</f>
        <v/>
      </c>
      <c r="E100" s="190">
        <f>IF(A100="","",IF(D100&gt;0,"⚑ PAST MIDNIGHT","⚠ PAST 10PM ONLY"))</f>
        <v/>
      </c>
      <c r="F100" s="170">
        <f>IF(A100="","",IFERROR(xlookup(A100,'FLEET REGISTER'!$B:$B,'FLEET REGISTER'!$F:$F),"Unknown"))</f>
        <v/>
      </c>
      <c r="G100" s="200" t="n"/>
      <c r="H100" s="200" t="n"/>
      <c r="I100" s="200" t="n"/>
      <c r="J100" s="200" t="n"/>
      <c r="K100" s="200" t="n"/>
      <c r="L100" s="200" t="n"/>
    </row>
    <row r="101" ht="15" customHeight="1" s="122">
      <c r="A101" s="197">
        <f>IF(A100="","","")</f>
        <v/>
      </c>
      <c r="B101" s="197">
        <f>IF(A101="","",IFERROR(xlookup(A101,'MONTHLY ANALYSIS'!$A:$A,'MONTHLY ANALYSIS'!$L:$L),0))</f>
        <v/>
      </c>
      <c r="C101" s="204">
        <f>IF(A101="","",IFERROR(xlookup(A101,'MONTHLY ANALYSIS'!$A:$A,'MONTHLY ANALYSIS'!$L:$L),0))</f>
        <v/>
      </c>
      <c r="D101" s="205">
        <f>IF(A101="","",IFERROR(xlookup(A101,'MONTHLY ANALYSIS'!$A:$A,'MONTHLY ANALYSIS'!$M:$M),0))</f>
        <v/>
      </c>
      <c r="E101" s="190">
        <f>IF(A101="","",IF(D101&gt;0,"⚑ PAST MIDNIGHT","⚠ PAST 10PM ONLY"))</f>
        <v/>
      </c>
      <c r="F101" s="170">
        <f>IF(A101="","",IFERROR(xlookup(A101,'FLEET REGISTER'!$B:$B,'FLEET REGISTER'!$F:$F),"Unknown"))</f>
        <v/>
      </c>
      <c r="G101" s="200" t="n"/>
      <c r="H101" s="200" t="n"/>
      <c r="I101" s="200" t="n"/>
      <c r="J101" s="200" t="n"/>
      <c r="K101" s="200" t="n"/>
      <c r="L101" s="200" t="n"/>
    </row>
    <row r="102" ht="15" customHeight="1" s="122">
      <c r="A102" s="197">
        <f>IF(A101="","","")</f>
        <v/>
      </c>
      <c r="B102" s="197">
        <f>IF(A102="","",IFERROR(xlookup(A102,'MONTHLY ANALYSIS'!$A:$A,'MONTHLY ANALYSIS'!$L:$L),0))</f>
        <v/>
      </c>
      <c r="C102" s="204">
        <f>IF(A102="","",IFERROR(xlookup(A102,'MONTHLY ANALYSIS'!$A:$A,'MONTHLY ANALYSIS'!$L:$L),0))</f>
        <v/>
      </c>
      <c r="D102" s="205">
        <f>IF(A102="","",IFERROR(xlookup(A102,'MONTHLY ANALYSIS'!$A:$A,'MONTHLY ANALYSIS'!$M:$M),0))</f>
        <v/>
      </c>
      <c r="E102" s="190">
        <f>IF(A102="","",IF(D102&gt;0,"⚑ PAST MIDNIGHT","⚠ PAST 10PM ONLY"))</f>
        <v/>
      </c>
      <c r="F102" s="170">
        <f>IF(A102="","",IFERROR(xlookup(A102,'FLEET REGISTER'!$B:$B,'FLEET REGISTER'!$F:$F),"Unknown"))</f>
        <v/>
      </c>
      <c r="G102" s="200" t="n"/>
      <c r="H102" s="200" t="n"/>
      <c r="I102" s="200" t="n"/>
      <c r="J102" s="200" t="n"/>
      <c r="K102" s="200" t="n"/>
      <c r="L102" s="200" t="n"/>
    </row>
    <row r="103" ht="15" customHeight="1" s="122">
      <c r="A103" s="197">
        <f>IF(A102="","","")</f>
        <v/>
      </c>
      <c r="B103" s="197">
        <f>IF(A103="","",IFERROR(xlookup(A103,'MONTHLY ANALYSIS'!$A:$A,'MONTHLY ANALYSIS'!$L:$L),0))</f>
        <v/>
      </c>
      <c r="C103" s="204">
        <f>IF(A103="","",IFERROR(xlookup(A103,'MONTHLY ANALYSIS'!$A:$A,'MONTHLY ANALYSIS'!$L:$L),0))</f>
        <v/>
      </c>
      <c r="D103" s="205">
        <f>IF(A103="","",IFERROR(xlookup(A103,'MONTHLY ANALYSIS'!$A:$A,'MONTHLY ANALYSIS'!$M:$M),0))</f>
        <v/>
      </c>
      <c r="E103" s="190">
        <f>IF(A103="","",IF(D103&gt;0,"⚑ PAST MIDNIGHT","⚠ PAST 10PM ONLY"))</f>
        <v/>
      </c>
      <c r="F103" s="170">
        <f>IF(A103="","",IFERROR(xlookup(A103,'FLEET REGISTER'!$B:$B,'FLEET REGISTER'!$F:$F),"Unknown"))</f>
        <v/>
      </c>
      <c r="G103" s="200" t="n"/>
      <c r="H103" s="200" t="n"/>
      <c r="I103" s="200" t="n"/>
      <c r="J103" s="200" t="n"/>
      <c r="K103" s="200" t="n"/>
      <c r="L103" s="200" t="n"/>
    </row>
    <row r="104" ht="15" customHeight="1" s="122">
      <c r="A104" s="197">
        <f>IF(A103="","","")</f>
        <v/>
      </c>
      <c r="B104" s="197">
        <f>IF(A104="","",IFERROR(xlookup(A104,'MONTHLY ANALYSIS'!$A:$A,'MONTHLY ANALYSIS'!$L:$L),0))</f>
        <v/>
      </c>
      <c r="C104" s="204">
        <f>IF(A104="","",IFERROR(xlookup(A104,'MONTHLY ANALYSIS'!$A:$A,'MONTHLY ANALYSIS'!$L:$L),0))</f>
        <v/>
      </c>
      <c r="D104" s="205">
        <f>IF(A104="","",IFERROR(xlookup(A104,'MONTHLY ANALYSIS'!$A:$A,'MONTHLY ANALYSIS'!$M:$M),0))</f>
        <v/>
      </c>
      <c r="E104" s="190">
        <f>IF(A104="","",IF(D104&gt;0,"⚑ PAST MIDNIGHT","⚠ PAST 10PM ONLY"))</f>
        <v/>
      </c>
      <c r="F104" s="170">
        <f>IF(A104="","",IFERROR(xlookup(A104,'FLEET REGISTER'!$B:$B,'FLEET REGISTER'!$F:$F),"Unknown"))</f>
        <v/>
      </c>
      <c r="G104" s="200" t="n"/>
      <c r="H104" s="200" t="n"/>
      <c r="I104" s="200" t="n"/>
      <c r="J104" s="200" t="n"/>
      <c r="K104" s="200" t="n"/>
      <c r="L104" s="200" t="n"/>
    </row>
    <row r="105" ht="15" customHeight="1" s="122">
      <c r="A105" s="197">
        <f>IF(A104="","","")</f>
        <v/>
      </c>
      <c r="B105" s="197">
        <f>IF(A105="","",IFERROR(xlookup(A105,'MONTHLY ANALYSIS'!$A:$A,'MONTHLY ANALYSIS'!$L:$L),0))</f>
        <v/>
      </c>
      <c r="C105" s="204">
        <f>IF(A105="","",IFERROR(xlookup(A105,'MONTHLY ANALYSIS'!$A:$A,'MONTHLY ANALYSIS'!$L:$L),0))</f>
        <v/>
      </c>
      <c r="D105" s="205">
        <f>IF(A105="","",IFERROR(xlookup(A105,'MONTHLY ANALYSIS'!$A:$A,'MONTHLY ANALYSIS'!$M:$M),0))</f>
        <v/>
      </c>
      <c r="E105" s="190">
        <f>IF(A105="","",IF(D105&gt;0,"⚑ PAST MIDNIGHT","⚠ PAST 10PM ONLY"))</f>
        <v/>
      </c>
      <c r="F105" s="170">
        <f>IF(A105="","",IFERROR(xlookup(A105,'FLEET REGISTER'!$B:$B,'FLEET REGISTER'!$F:$F),"Unknown"))</f>
        <v/>
      </c>
      <c r="G105" s="200" t="n"/>
      <c r="H105" s="200" t="n"/>
      <c r="I105" s="200" t="n"/>
      <c r="J105" s="200" t="n"/>
      <c r="K105" s="200" t="n"/>
      <c r="L105" s="200" t="n"/>
    </row>
    <row r="106" ht="15" customHeight="1" s="122">
      <c r="A106" s="197">
        <f>IF(A105="","","")</f>
        <v/>
      </c>
      <c r="B106" s="197">
        <f>IF(A106="","",IFERROR(xlookup(A106,'MONTHLY ANALYSIS'!$A:$A,'MONTHLY ANALYSIS'!$L:$L),0))</f>
        <v/>
      </c>
      <c r="C106" s="204">
        <f>IF(A106="","",IFERROR(xlookup(A106,'MONTHLY ANALYSIS'!$A:$A,'MONTHLY ANALYSIS'!$L:$L),0))</f>
        <v/>
      </c>
      <c r="D106" s="205">
        <f>IF(A106="","",IFERROR(xlookup(A106,'MONTHLY ANALYSIS'!$A:$A,'MONTHLY ANALYSIS'!$M:$M),0))</f>
        <v/>
      </c>
      <c r="E106" s="190">
        <f>IF(A106="","",IF(D106&gt;0,"⚑ PAST MIDNIGHT","⚠ PAST 10PM ONLY"))</f>
        <v/>
      </c>
      <c r="F106" s="170">
        <f>IF(A106="","",IFERROR(xlookup(A106,'FLEET REGISTER'!$B:$B,'FLEET REGISTER'!$F:$F),"Unknown"))</f>
        <v/>
      </c>
      <c r="G106" s="200" t="n"/>
      <c r="H106" s="200" t="n"/>
      <c r="I106" s="200" t="n"/>
      <c r="J106" s="200" t="n"/>
      <c r="K106" s="200" t="n"/>
      <c r="L106" s="200" t="n"/>
    </row>
    <row r="107" ht="15" customHeight="1" s="122">
      <c r="A107" s="197">
        <f>IF(A106="","","")</f>
        <v/>
      </c>
      <c r="B107" s="197">
        <f>IF(A107="","",IFERROR(xlookup(A107,'MONTHLY ANALYSIS'!$A:$A,'MONTHLY ANALYSIS'!$L:$L),0))</f>
        <v/>
      </c>
      <c r="C107" s="204">
        <f>IF(A107="","",IFERROR(xlookup(A107,'MONTHLY ANALYSIS'!$A:$A,'MONTHLY ANALYSIS'!$L:$L),0))</f>
        <v/>
      </c>
      <c r="D107" s="205">
        <f>IF(A107="","",IFERROR(xlookup(A107,'MONTHLY ANALYSIS'!$A:$A,'MONTHLY ANALYSIS'!$M:$M),0))</f>
        <v/>
      </c>
      <c r="E107" s="190">
        <f>IF(A107="","",IF(D107&gt;0,"⚑ PAST MIDNIGHT","⚠ PAST 10PM ONLY"))</f>
        <v/>
      </c>
      <c r="F107" s="170">
        <f>IF(A107="","",IFERROR(xlookup(A107,'FLEET REGISTER'!$B:$B,'FLEET REGISTER'!$F:$F),"Unknown"))</f>
        <v/>
      </c>
      <c r="G107" s="200" t="n"/>
      <c r="H107" s="200" t="n"/>
      <c r="I107" s="200" t="n"/>
      <c r="J107" s="200" t="n"/>
      <c r="K107" s="200" t="n"/>
      <c r="L107" s="200" t="n"/>
    </row>
    <row r="108" ht="15" customHeight="1" s="122">
      <c r="A108" s="197">
        <f>IF(A107="","","")</f>
        <v/>
      </c>
      <c r="B108" s="197">
        <f>IF(A108="","",IFERROR(xlookup(A108,'MONTHLY ANALYSIS'!$A:$A,'MONTHLY ANALYSIS'!$L:$L),0))</f>
        <v/>
      </c>
      <c r="C108" s="204">
        <f>IF(A108="","",IFERROR(xlookup(A108,'MONTHLY ANALYSIS'!$A:$A,'MONTHLY ANALYSIS'!$L:$L),0))</f>
        <v/>
      </c>
      <c r="D108" s="205">
        <f>IF(A108="","",IFERROR(xlookup(A108,'MONTHLY ANALYSIS'!$A:$A,'MONTHLY ANALYSIS'!$M:$M),0))</f>
        <v/>
      </c>
      <c r="E108" s="190">
        <f>IF(A108="","",IF(D108&gt;0,"⚑ PAST MIDNIGHT","⚠ PAST 10PM ONLY"))</f>
        <v/>
      </c>
      <c r="F108" s="170">
        <f>IF(A108="","",IFERROR(xlookup(A108,'FLEET REGISTER'!$B:$B,'FLEET REGISTER'!$F:$F),"Unknown"))</f>
        <v/>
      </c>
      <c r="G108" s="200" t="n"/>
      <c r="H108" s="200" t="n"/>
      <c r="I108" s="200" t="n"/>
      <c r="J108" s="200" t="n"/>
      <c r="K108" s="200" t="n"/>
      <c r="L108" s="200" t="n"/>
    </row>
    <row r="109" ht="15" customHeight="1" s="122">
      <c r="A109" s="197">
        <f>IF(A108="","","")</f>
        <v/>
      </c>
      <c r="B109" s="197">
        <f>IF(A109="","",IFERROR(xlookup(A109,'MONTHLY ANALYSIS'!$A:$A,'MONTHLY ANALYSIS'!$L:$L),0))</f>
        <v/>
      </c>
      <c r="C109" s="204">
        <f>IF(A109="","",IFERROR(xlookup(A109,'MONTHLY ANALYSIS'!$A:$A,'MONTHLY ANALYSIS'!$L:$L),0))</f>
        <v/>
      </c>
      <c r="D109" s="205">
        <f>IF(A109="","",IFERROR(xlookup(A109,'MONTHLY ANALYSIS'!$A:$A,'MONTHLY ANALYSIS'!$M:$M),0))</f>
        <v/>
      </c>
      <c r="E109" s="190">
        <f>IF(A109="","",IF(D109&gt;0,"⚑ PAST MIDNIGHT","⚠ PAST 10PM ONLY"))</f>
        <v/>
      </c>
      <c r="F109" s="170">
        <f>IF(A109="","",IFERROR(xlookup(A109,'FLEET REGISTER'!$B:$B,'FLEET REGISTER'!$F:$F),"Unknown"))</f>
        <v/>
      </c>
      <c r="G109" s="200" t="n"/>
      <c r="H109" s="200" t="n"/>
      <c r="I109" s="200" t="n"/>
      <c r="J109" s="200" t="n"/>
      <c r="K109" s="200" t="n"/>
      <c r="L109" s="200" t="n"/>
    </row>
    <row r="110" ht="15" customHeight="1" s="122">
      <c r="A110" s="197">
        <f>IF(A109="","","")</f>
        <v/>
      </c>
      <c r="B110" s="197">
        <f>IF(A110="","",IFERROR(xlookup(A110,'MONTHLY ANALYSIS'!$A:$A,'MONTHLY ANALYSIS'!$L:$L),0))</f>
        <v/>
      </c>
      <c r="C110" s="204">
        <f>IF(A110="","",IFERROR(xlookup(A110,'MONTHLY ANALYSIS'!$A:$A,'MONTHLY ANALYSIS'!$L:$L),0))</f>
        <v/>
      </c>
      <c r="D110" s="205">
        <f>IF(A110="","",IFERROR(xlookup(A110,'MONTHLY ANALYSIS'!$A:$A,'MONTHLY ANALYSIS'!$M:$M),0))</f>
        <v/>
      </c>
      <c r="E110" s="190">
        <f>IF(A110="","",IF(D110&gt;0,"⚑ PAST MIDNIGHT","⚠ PAST 10PM ONLY"))</f>
        <v/>
      </c>
      <c r="F110" s="170">
        <f>IF(A110="","",IFERROR(xlookup(A110,'FLEET REGISTER'!$B:$B,'FLEET REGISTER'!$F:$F),"Unknown"))</f>
        <v/>
      </c>
      <c r="G110" s="200" t="n"/>
      <c r="H110" s="200" t="n"/>
      <c r="I110" s="200" t="n"/>
      <c r="J110" s="200" t="n"/>
      <c r="K110" s="200" t="n"/>
      <c r="L110" s="200" t="n"/>
    </row>
    <row r="111" ht="15" customHeight="1" s="122">
      <c r="A111" s="197">
        <f>IF(A110="","","")</f>
        <v/>
      </c>
      <c r="B111" s="197">
        <f>IF(A111="","",IFERROR(xlookup(A111,'MONTHLY ANALYSIS'!$A:$A,'MONTHLY ANALYSIS'!$L:$L),0))</f>
        <v/>
      </c>
      <c r="C111" s="204">
        <f>IF(A111="","",IFERROR(xlookup(A111,'MONTHLY ANALYSIS'!$A:$A,'MONTHLY ANALYSIS'!$L:$L),0))</f>
        <v/>
      </c>
      <c r="D111" s="205">
        <f>IF(A111="","",IFERROR(xlookup(A111,'MONTHLY ANALYSIS'!$A:$A,'MONTHLY ANALYSIS'!$M:$M),0))</f>
        <v/>
      </c>
      <c r="E111" s="190">
        <f>IF(A111="","",IF(D111&gt;0,"⚑ PAST MIDNIGHT","⚠ PAST 10PM ONLY"))</f>
        <v/>
      </c>
      <c r="F111" s="170">
        <f>IF(A111="","",IFERROR(xlookup(A111,'FLEET REGISTER'!$B:$B,'FLEET REGISTER'!$F:$F),"Unknown"))</f>
        <v/>
      </c>
      <c r="G111" s="200" t="n"/>
      <c r="H111" s="200" t="n"/>
      <c r="I111" s="200" t="n"/>
      <c r="J111" s="200" t="n"/>
      <c r="K111" s="200" t="n"/>
      <c r="L111" s="200" t="n"/>
    </row>
    <row r="112" ht="15" customHeight="1" s="122">
      <c r="A112" s="197">
        <f>IF(A111="","","")</f>
        <v/>
      </c>
      <c r="B112" s="197">
        <f>IF(A112="","",IFERROR(xlookup(A112,'MONTHLY ANALYSIS'!$A:$A,'MONTHLY ANALYSIS'!$L:$L),0))</f>
        <v/>
      </c>
      <c r="C112" s="204">
        <f>IF(A112="","",IFERROR(xlookup(A112,'MONTHLY ANALYSIS'!$A:$A,'MONTHLY ANALYSIS'!$L:$L),0))</f>
        <v/>
      </c>
      <c r="D112" s="205">
        <f>IF(A112="","",IFERROR(xlookup(A112,'MONTHLY ANALYSIS'!$A:$A,'MONTHLY ANALYSIS'!$M:$M),0))</f>
        <v/>
      </c>
      <c r="E112" s="190">
        <f>IF(A112="","",IF(D112&gt;0,"⚑ PAST MIDNIGHT","⚠ PAST 10PM ONLY"))</f>
        <v/>
      </c>
      <c r="F112" s="170">
        <f>IF(A112="","",IFERROR(xlookup(A112,'FLEET REGISTER'!$B:$B,'FLEET REGISTER'!$F:$F),"Unknown"))</f>
        <v/>
      </c>
      <c r="G112" s="200" t="n"/>
      <c r="H112" s="200" t="n"/>
      <c r="I112" s="200" t="n"/>
      <c r="J112" s="200" t="n"/>
      <c r="K112" s="200" t="n"/>
      <c r="L112" s="200" t="n"/>
    </row>
    <row r="113" ht="15" customHeight="1" s="122">
      <c r="A113" s="197">
        <f>IF(A112="","","")</f>
        <v/>
      </c>
      <c r="B113" s="197">
        <f>IF(A113="","",IFERROR(xlookup(A113,'MONTHLY ANALYSIS'!$A:$A,'MONTHLY ANALYSIS'!$L:$L),0))</f>
        <v/>
      </c>
      <c r="C113" s="204">
        <f>IF(A113="","",IFERROR(xlookup(A113,'MONTHLY ANALYSIS'!$A:$A,'MONTHLY ANALYSIS'!$L:$L),0))</f>
        <v/>
      </c>
      <c r="D113" s="205">
        <f>IF(A113="","",IFERROR(xlookup(A113,'MONTHLY ANALYSIS'!$A:$A,'MONTHLY ANALYSIS'!$M:$M),0))</f>
        <v/>
      </c>
      <c r="E113" s="190">
        <f>IF(A113="","",IF(D113&gt;0,"⚑ PAST MIDNIGHT","⚠ PAST 10PM ONLY"))</f>
        <v/>
      </c>
      <c r="F113" s="170">
        <f>IF(A113="","",IFERROR(xlookup(A113,'FLEET REGISTER'!$B:$B,'FLEET REGISTER'!$F:$F),"Unknown"))</f>
        <v/>
      </c>
      <c r="G113" s="200" t="n"/>
      <c r="H113" s="200" t="n"/>
      <c r="I113" s="200" t="n"/>
      <c r="J113" s="200" t="n"/>
      <c r="K113" s="200" t="n"/>
      <c r="L113" s="200" t="n"/>
    </row>
    <row r="114" ht="15" customHeight="1" s="122">
      <c r="A114" s="197">
        <f>IF(A113="","","")</f>
        <v/>
      </c>
      <c r="B114" s="197">
        <f>IF(A114="","",IFERROR(xlookup(A114,'MONTHLY ANALYSIS'!$A:$A,'MONTHLY ANALYSIS'!$L:$L),0))</f>
        <v/>
      </c>
      <c r="C114" s="204">
        <f>IF(A114="","",IFERROR(xlookup(A114,'MONTHLY ANALYSIS'!$A:$A,'MONTHLY ANALYSIS'!$L:$L),0))</f>
        <v/>
      </c>
      <c r="D114" s="205">
        <f>IF(A114="","",IFERROR(xlookup(A114,'MONTHLY ANALYSIS'!$A:$A,'MONTHLY ANALYSIS'!$M:$M),0))</f>
        <v/>
      </c>
      <c r="E114" s="190">
        <f>IF(A114="","",IF(D114&gt;0,"⚑ PAST MIDNIGHT","⚠ PAST 10PM ONLY"))</f>
        <v/>
      </c>
      <c r="F114" s="170">
        <f>IF(A114="","",IFERROR(xlookup(A114,'FLEET REGISTER'!$B:$B,'FLEET REGISTER'!$F:$F),"Unknown"))</f>
        <v/>
      </c>
      <c r="G114" s="200" t="n"/>
      <c r="H114" s="200" t="n"/>
      <c r="I114" s="200" t="n"/>
      <c r="J114" s="200" t="n"/>
      <c r="K114" s="200" t="n"/>
      <c r="L114" s="200" t="n"/>
    </row>
    <row r="115" ht="15" customHeight="1" s="122">
      <c r="A115" s="197">
        <f>IF(A114="","","")</f>
        <v/>
      </c>
      <c r="B115" s="197">
        <f>IF(A115="","",IFERROR(xlookup(A115,'MONTHLY ANALYSIS'!$A:$A,'MONTHLY ANALYSIS'!$L:$L),0))</f>
        <v/>
      </c>
      <c r="C115" s="204">
        <f>IF(A115="","",IFERROR(xlookup(A115,'MONTHLY ANALYSIS'!$A:$A,'MONTHLY ANALYSIS'!$L:$L),0))</f>
        <v/>
      </c>
      <c r="D115" s="205">
        <f>IF(A115="","",IFERROR(xlookup(A115,'MONTHLY ANALYSIS'!$A:$A,'MONTHLY ANALYSIS'!$M:$M),0))</f>
        <v/>
      </c>
      <c r="E115" s="190">
        <f>IF(A115="","",IF(D115&gt;0,"⚑ PAST MIDNIGHT","⚠ PAST 10PM ONLY"))</f>
        <v/>
      </c>
      <c r="F115" s="170">
        <f>IF(A115="","",IFERROR(xlookup(A115,'FLEET REGISTER'!$B:$B,'FLEET REGISTER'!$F:$F),"Unknown"))</f>
        <v/>
      </c>
      <c r="G115" s="200" t="n"/>
      <c r="H115" s="200" t="n"/>
      <c r="I115" s="200" t="n"/>
      <c r="J115" s="200" t="n"/>
      <c r="K115" s="200" t="n"/>
      <c r="L115" s="200" t="n"/>
    </row>
    <row r="116" ht="15" customHeight="1" s="122">
      <c r="A116" s="197">
        <f>IF(A115="","","")</f>
        <v/>
      </c>
      <c r="B116" s="197">
        <f>IF(A116="","",IFERROR(xlookup(A116,'MONTHLY ANALYSIS'!$A:$A,'MONTHLY ANALYSIS'!$L:$L),0))</f>
        <v/>
      </c>
      <c r="C116" s="204">
        <f>IF(A116="","",IFERROR(xlookup(A116,'MONTHLY ANALYSIS'!$A:$A,'MONTHLY ANALYSIS'!$L:$L),0))</f>
        <v/>
      </c>
      <c r="D116" s="205">
        <f>IF(A116="","",IFERROR(xlookup(A116,'MONTHLY ANALYSIS'!$A:$A,'MONTHLY ANALYSIS'!$M:$M),0))</f>
        <v/>
      </c>
      <c r="E116" s="190">
        <f>IF(A116="","",IF(D116&gt;0,"⚑ PAST MIDNIGHT","⚠ PAST 10PM ONLY"))</f>
        <v/>
      </c>
      <c r="F116" s="170">
        <f>IF(A116="","",IFERROR(xlookup(A116,'FLEET REGISTER'!$B:$B,'FLEET REGISTER'!$F:$F),"Unknown"))</f>
        <v/>
      </c>
      <c r="G116" s="200" t="n"/>
      <c r="H116" s="200" t="n"/>
      <c r="I116" s="200" t="n"/>
      <c r="J116" s="200" t="n"/>
      <c r="K116" s="200" t="n"/>
      <c r="L116" s="200" t="n"/>
    </row>
    <row r="117" ht="15" customHeight="1" s="122">
      <c r="A117" s="197">
        <f>IF(A116="","","")</f>
        <v/>
      </c>
      <c r="B117" s="197">
        <f>IF(A117="","",IFERROR(xlookup(A117,'MONTHLY ANALYSIS'!$A:$A,'MONTHLY ANALYSIS'!$L:$L),0))</f>
        <v/>
      </c>
      <c r="C117" s="204">
        <f>IF(A117="","",IFERROR(xlookup(A117,'MONTHLY ANALYSIS'!$A:$A,'MONTHLY ANALYSIS'!$L:$L),0))</f>
        <v/>
      </c>
      <c r="D117" s="205">
        <f>IF(A117="","",IFERROR(xlookup(A117,'MONTHLY ANALYSIS'!$A:$A,'MONTHLY ANALYSIS'!$M:$M),0))</f>
        <v/>
      </c>
      <c r="E117" s="190">
        <f>IF(A117="","",IF(D117&gt;0,"⚑ PAST MIDNIGHT","⚠ PAST 10PM ONLY"))</f>
        <v/>
      </c>
      <c r="F117" s="170">
        <f>IF(A117="","",IFERROR(xlookup(A117,'FLEET REGISTER'!$B:$B,'FLEET REGISTER'!$F:$F),"Unknown"))</f>
        <v/>
      </c>
      <c r="G117" s="200" t="n"/>
      <c r="H117" s="200" t="n"/>
      <c r="I117" s="200" t="n"/>
      <c r="J117" s="200" t="n"/>
      <c r="K117" s="200" t="n"/>
      <c r="L117" s="200" t="n"/>
    </row>
    <row r="118" ht="15" customHeight="1" s="122">
      <c r="A118" s="197">
        <f>IF(A117="","","")</f>
        <v/>
      </c>
      <c r="B118" s="197">
        <f>IF(A118="","",IFERROR(xlookup(A118,'MONTHLY ANALYSIS'!$A:$A,'MONTHLY ANALYSIS'!$L:$L),0))</f>
        <v/>
      </c>
      <c r="C118" s="204">
        <f>IF(A118="","",IFERROR(xlookup(A118,'MONTHLY ANALYSIS'!$A:$A,'MONTHLY ANALYSIS'!$L:$L),0))</f>
        <v/>
      </c>
      <c r="D118" s="205">
        <f>IF(A118="","",IFERROR(xlookup(A118,'MONTHLY ANALYSIS'!$A:$A,'MONTHLY ANALYSIS'!$M:$M),0))</f>
        <v/>
      </c>
      <c r="E118" s="190">
        <f>IF(A118="","",IF(D118&gt;0,"⚑ PAST MIDNIGHT","⚠ PAST 10PM ONLY"))</f>
        <v/>
      </c>
      <c r="F118" s="170">
        <f>IF(A118="","",IFERROR(xlookup(A118,'FLEET REGISTER'!$B:$B,'FLEET REGISTER'!$F:$F),"Unknown"))</f>
        <v/>
      </c>
      <c r="G118" s="200" t="n"/>
      <c r="H118" s="200" t="n"/>
      <c r="I118" s="200" t="n"/>
      <c r="J118" s="200" t="n"/>
      <c r="K118" s="200" t="n"/>
      <c r="L118" s="200" t="n"/>
    </row>
    <row r="119" ht="15" customHeight="1" s="122">
      <c r="A119" s="197">
        <f>IF(A118="","","")</f>
        <v/>
      </c>
      <c r="B119" s="197">
        <f>IF(A119="","",IFERROR(xlookup(A119,'MONTHLY ANALYSIS'!$A:$A,'MONTHLY ANALYSIS'!$L:$L),0))</f>
        <v/>
      </c>
      <c r="C119" s="204">
        <f>IF(A119="","",IFERROR(xlookup(A119,'MONTHLY ANALYSIS'!$A:$A,'MONTHLY ANALYSIS'!$L:$L),0))</f>
        <v/>
      </c>
      <c r="D119" s="205">
        <f>IF(A119="","",IFERROR(xlookup(A119,'MONTHLY ANALYSIS'!$A:$A,'MONTHLY ANALYSIS'!$M:$M),0))</f>
        <v/>
      </c>
      <c r="E119" s="190">
        <f>IF(A119="","",IF(D119&gt;0,"⚑ PAST MIDNIGHT","⚠ PAST 10PM ONLY"))</f>
        <v/>
      </c>
      <c r="F119" s="170">
        <f>IF(A119="","",IFERROR(xlookup(A119,'FLEET REGISTER'!$B:$B,'FLEET REGISTER'!$F:$F),"Unknown"))</f>
        <v/>
      </c>
      <c r="G119" s="200" t="n"/>
      <c r="H119" s="200" t="n"/>
      <c r="I119" s="200" t="n"/>
      <c r="J119" s="200" t="n"/>
      <c r="K119" s="200" t="n"/>
      <c r="L119" s="200" t="n"/>
    </row>
    <row r="120" ht="15" customHeight="1" s="122">
      <c r="A120" s="197">
        <f>IF(A119="","","")</f>
        <v/>
      </c>
      <c r="B120" s="197">
        <f>IF(A120="","",IFERROR(xlookup(A120,'MONTHLY ANALYSIS'!$A:$A,'MONTHLY ANALYSIS'!$L:$L),0))</f>
        <v/>
      </c>
      <c r="C120" s="204">
        <f>IF(A120="","",IFERROR(xlookup(A120,'MONTHLY ANALYSIS'!$A:$A,'MONTHLY ANALYSIS'!$L:$L),0))</f>
        <v/>
      </c>
      <c r="D120" s="205">
        <f>IF(A120="","",IFERROR(xlookup(A120,'MONTHLY ANALYSIS'!$A:$A,'MONTHLY ANALYSIS'!$M:$M),0))</f>
        <v/>
      </c>
      <c r="E120" s="190">
        <f>IF(A120="","",IF(D120&gt;0,"⚑ PAST MIDNIGHT","⚠ PAST 10PM ONLY"))</f>
        <v/>
      </c>
      <c r="F120" s="170">
        <f>IF(A120="","",IFERROR(xlookup(A120,'FLEET REGISTER'!$B:$B,'FLEET REGISTER'!$F:$F),"Unknown"))</f>
        <v/>
      </c>
      <c r="G120" s="200" t="n"/>
      <c r="H120" s="200" t="n"/>
      <c r="I120" s="200" t="n"/>
      <c r="J120" s="200" t="n"/>
      <c r="K120" s="200" t="n"/>
      <c r="L120" s="200" t="n"/>
    </row>
    <row r="121" ht="15" customHeight="1" s="122">
      <c r="A121" s="197">
        <f>IF(A120="","","")</f>
        <v/>
      </c>
      <c r="B121" s="197">
        <f>IF(A121="","",IFERROR(xlookup(A121,'MONTHLY ANALYSIS'!$A:$A,'MONTHLY ANALYSIS'!$L:$L),0))</f>
        <v/>
      </c>
      <c r="C121" s="204">
        <f>IF(A121="","",IFERROR(xlookup(A121,'MONTHLY ANALYSIS'!$A:$A,'MONTHLY ANALYSIS'!$L:$L),0))</f>
        <v/>
      </c>
      <c r="D121" s="205">
        <f>IF(A121="","",IFERROR(xlookup(A121,'MONTHLY ANALYSIS'!$A:$A,'MONTHLY ANALYSIS'!$M:$M),0))</f>
        <v/>
      </c>
      <c r="E121" s="190">
        <f>IF(A121="","",IF(D121&gt;0,"⚑ PAST MIDNIGHT","⚠ PAST 10PM ONLY"))</f>
        <v/>
      </c>
      <c r="F121" s="170">
        <f>IF(A121="","",IFERROR(xlookup(A121,'FLEET REGISTER'!$B:$B,'FLEET REGISTER'!$F:$F),"Unknown"))</f>
        <v/>
      </c>
      <c r="G121" s="200" t="n"/>
      <c r="H121" s="200" t="n"/>
      <c r="I121" s="200" t="n"/>
      <c r="J121" s="200" t="n"/>
      <c r="K121" s="200" t="n"/>
      <c r="L121" s="200" t="n"/>
    </row>
    <row r="122" ht="15" customHeight="1" s="122">
      <c r="A122" s="197">
        <f>IF(A121="","","")</f>
        <v/>
      </c>
      <c r="B122" s="197">
        <f>IF(A122="","",IFERROR(xlookup(A122,'MONTHLY ANALYSIS'!$A:$A,'MONTHLY ANALYSIS'!$L:$L),0))</f>
        <v/>
      </c>
      <c r="C122" s="204">
        <f>IF(A122="","",IFERROR(xlookup(A122,'MONTHLY ANALYSIS'!$A:$A,'MONTHLY ANALYSIS'!$L:$L),0))</f>
        <v/>
      </c>
      <c r="D122" s="205">
        <f>IF(A122="","",IFERROR(xlookup(A122,'MONTHLY ANALYSIS'!$A:$A,'MONTHLY ANALYSIS'!$M:$M),0))</f>
        <v/>
      </c>
      <c r="E122" s="190">
        <f>IF(A122="","",IF(D122&gt;0,"⚑ PAST MIDNIGHT","⚠ PAST 10PM ONLY"))</f>
        <v/>
      </c>
      <c r="F122" s="170">
        <f>IF(A122="","",IFERROR(xlookup(A122,'FLEET REGISTER'!$B:$B,'FLEET REGISTER'!$F:$F),"Unknown"))</f>
        <v/>
      </c>
      <c r="G122" s="200" t="n"/>
      <c r="H122" s="200" t="n"/>
      <c r="I122" s="200" t="n"/>
      <c r="J122" s="200" t="n"/>
      <c r="K122" s="200" t="n"/>
      <c r="L122" s="200" t="n"/>
    </row>
    <row r="123" ht="15" customHeight="1" s="122">
      <c r="A123" s="197">
        <f>IF(A122="","","")</f>
        <v/>
      </c>
      <c r="B123" s="197">
        <f>IF(A123="","",IFERROR(xlookup(A123,'MONTHLY ANALYSIS'!$A:$A,'MONTHLY ANALYSIS'!$L:$L),0))</f>
        <v/>
      </c>
      <c r="C123" s="204">
        <f>IF(A123="","",IFERROR(xlookup(A123,'MONTHLY ANALYSIS'!$A:$A,'MONTHLY ANALYSIS'!$L:$L),0))</f>
        <v/>
      </c>
      <c r="D123" s="205">
        <f>IF(A123="","",IFERROR(xlookup(A123,'MONTHLY ANALYSIS'!$A:$A,'MONTHLY ANALYSIS'!$M:$M),0))</f>
        <v/>
      </c>
      <c r="E123" s="190">
        <f>IF(A123="","",IF(D123&gt;0,"⚑ PAST MIDNIGHT","⚠ PAST 10PM ONLY"))</f>
        <v/>
      </c>
      <c r="F123" s="170">
        <f>IF(A123="","",IFERROR(xlookup(A123,'FLEET REGISTER'!$B:$B,'FLEET REGISTER'!$F:$F),"Unknown"))</f>
        <v/>
      </c>
      <c r="G123" s="200" t="n"/>
      <c r="H123" s="200" t="n"/>
      <c r="I123" s="200" t="n"/>
      <c r="J123" s="200" t="n"/>
      <c r="K123" s="200" t="n"/>
      <c r="L123" s="200" t="n"/>
    </row>
    <row r="124" ht="15" customHeight="1" s="122">
      <c r="A124" s="197">
        <f>IF(A123="","","")</f>
        <v/>
      </c>
      <c r="B124" s="197">
        <f>IF(A124="","",IFERROR(xlookup(A124,'MONTHLY ANALYSIS'!$A:$A,'MONTHLY ANALYSIS'!$L:$L),0))</f>
        <v/>
      </c>
      <c r="C124" s="204">
        <f>IF(A124="","",IFERROR(xlookup(A124,'MONTHLY ANALYSIS'!$A:$A,'MONTHLY ANALYSIS'!$L:$L),0))</f>
        <v/>
      </c>
      <c r="D124" s="205">
        <f>IF(A124="","",IFERROR(xlookup(A124,'MONTHLY ANALYSIS'!$A:$A,'MONTHLY ANALYSIS'!$M:$M),0))</f>
        <v/>
      </c>
      <c r="E124" s="190">
        <f>IF(A124="","",IF(D124&gt;0,"⚑ PAST MIDNIGHT","⚠ PAST 10PM ONLY"))</f>
        <v/>
      </c>
      <c r="F124" s="170">
        <f>IF(A124="","",IFERROR(xlookup(A124,'FLEET REGISTER'!$B:$B,'FLEET REGISTER'!$F:$F),"Unknown"))</f>
        <v/>
      </c>
      <c r="G124" s="200" t="n"/>
      <c r="H124" s="200" t="n"/>
      <c r="I124" s="200" t="n"/>
      <c r="J124" s="200" t="n"/>
      <c r="K124" s="200" t="n"/>
      <c r="L124" s="200" t="n"/>
    </row>
    <row r="125" ht="15" customHeight="1" s="122">
      <c r="A125" s="197">
        <f>IF(A124="","","")</f>
        <v/>
      </c>
      <c r="B125" s="197">
        <f>IF(A125="","",IFERROR(xlookup(A125,'MONTHLY ANALYSIS'!$A:$A,'MONTHLY ANALYSIS'!$L:$L),0))</f>
        <v/>
      </c>
      <c r="C125" s="204">
        <f>IF(A125="","",IFERROR(xlookup(A125,'MONTHLY ANALYSIS'!$A:$A,'MONTHLY ANALYSIS'!$L:$L),0))</f>
        <v/>
      </c>
      <c r="D125" s="205">
        <f>IF(A125="","",IFERROR(xlookup(A125,'MONTHLY ANALYSIS'!$A:$A,'MONTHLY ANALYSIS'!$M:$M),0))</f>
        <v/>
      </c>
      <c r="E125" s="190">
        <f>IF(A125="","",IF(D125&gt;0,"⚑ PAST MIDNIGHT","⚠ PAST 10PM ONLY"))</f>
        <v/>
      </c>
      <c r="F125" s="170">
        <f>IF(A125="","",IFERROR(xlookup(A125,'FLEET REGISTER'!$B:$B,'FLEET REGISTER'!$F:$F),"Unknown"))</f>
        <v/>
      </c>
      <c r="G125" s="200" t="n"/>
      <c r="H125" s="200" t="n"/>
      <c r="I125" s="200" t="n"/>
      <c r="J125" s="200" t="n"/>
      <c r="K125" s="200" t="n"/>
      <c r="L125" s="200" t="n"/>
    </row>
    <row r="126" ht="15" customHeight="1" s="122">
      <c r="A126" s="197">
        <f>IF(A125="","","")</f>
        <v/>
      </c>
      <c r="B126" s="197">
        <f>IF(A126="","",IFERROR(xlookup(A126,'MONTHLY ANALYSIS'!$A:$A,'MONTHLY ANALYSIS'!$L:$L),0))</f>
        <v/>
      </c>
      <c r="C126" s="204">
        <f>IF(A126="","",IFERROR(xlookup(A126,'MONTHLY ANALYSIS'!$A:$A,'MONTHLY ANALYSIS'!$L:$L),0))</f>
        <v/>
      </c>
      <c r="D126" s="205">
        <f>IF(A126="","",IFERROR(xlookup(A126,'MONTHLY ANALYSIS'!$A:$A,'MONTHLY ANALYSIS'!$M:$M),0))</f>
        <v/>
      </c>
      <c r="E126" s="190">
        <f>IF(A126="","",IF(D126&gt;0,"⚑ PAST MIDNIGHT","⚠ PAST 10PM ONLY"))</f>
        <v/>
      </c>
      <c r="F126" s="170">
        <f>IF(A126="","",IFERROR(xlookup(A126,'FLEET REGISTER'!$B:$B,'FLEET REGISTER'!$F:$F),"Unknown"))</f>
        <v/>
      </c>
      <c r="G126" s="200" t="n"/>
      <c r="H126" s="200" t="n"/>
      <c r="I126" s="200" t="n"/>
      <c r="J126" s="200" t="n"/>
      <c r="K126" s="200" t="n"/>
      <c r="L126" s="200" t="n"/>
    </row>
    <row r="127" ht="15" customHeight="1" s="122">
      <c r="A127" s="197">
        <f>IF(A126="","","")</f>
        <v/>
      </c>
      <c r="B127" s="197">
        <f>IF(A127="","",IFERROR(xlookup(A127,'MONTHLY ANALYSIS'!$A:$A,'MONTHLY ANALYSIS'!$L:$L),0))</f>
        <v/>
      </c>
      <c r="C127" s="204">
        <f>IF(A127="","",IFERROR(xlookup(A127,'MONTHLY ANALYSIS'!$A:$A,'MONTHLY ANALYSIS'!$L:$L),0))</f>
        <v/>
      </c>
      <c r="D127" s="205">
        <f>IF(A127="","",IFERROR(xlookup(A127,'MONTHLY ANALYSIS'!$A:$A,'MONTHLY ANALYSIS'!$M:$M),0))</f>
        <v/>
      </c>
      <c r="E127" s="190">
        <f>IF(A127="","",IF(D127&gt;0,"⚑ PAST MIDNIGHT","⚠ PAST 10PM ONLY"))</f>
        <v/>
      </c>
      <c r="F127" s="170">
        <f>IF(A127="","",IFERROR(xlookup(A127,'FLEET REGISTER'!$B:$B,'FLEET REGISTER'!$F:$F),"Unknown"))</f>
        <v/>
      </c>
      <c r="G127" s="200" t="n"/>
      <c r="H127" s="200" t="n"/>
      <c r="I127" s="200" t="n"/>
      <c r="J127" s="200" t="n"/>
      <c r="K127" s="200" t="n"/>
      <c r="L127" s="200" t="n"/>
    </row>
    <row r="128" ht="15" customHeight="1" s="122">
      <c r="A128" s="197">
        <f>IF(A127="","","")</f>
        <v/>
      </c>
      <c r="B128" s="197">
        <f>IF(A128="","",IFERROR(xlookup(A128,'MONTHLY ANALYSIS'!$A:$A,'MONTHLY ANALYSIS'!$L:$L),0))</f>
        <v/>
      </c>
      <c r="C128" s="204">
        <f>IF(A128="","",IFERROR(xlookup(A128,'MONTHLY ANALYSIS'!$A:$A,'MONTHLY ANALYSIS'!$L:$L),0))</f>
        <v/>
      </c>
      <c r="D128" s="205">
        <f>IF(A128="","",IFERROR(xlookup(A128,'MONTHLY ANALYSIS'!$A:$A,'MONTHLY ANALYSIS'!$M:$M),0))</f>
        <v/>
      </c>
      <c r="E128" s="190">
        <f>IF(A128="","",IF(D128&gt;0,"⚑ PAST MIDNIGHT","⚠ PAST 10PM ONLY"))</f>
        <v/>
      </c>
      <c r="F128" s="170">
        <f>IF(A128="","",IFERROR(xlookup(A128,'FLEET REGISTER'!$B:$B,'FLEET REGISTER'!$F:$F),"Unknown"))</f>
        <v/>
      </c>
      <c r="G128" s="200" t="n"/>
      <c r="H128" s="200" t="n"/>
      <c r="I128" s="200" t="n"/>
      <c r="J128" s="200" t="n"/>
      <c r="K128" s="200" t="n"/>
      <c r="L128" s="200" t="n"/>
    </row>
    <row r="129" ht="15" customHeight="1" s="122">
      <c r="A129" s="197">
        <f>IF(A128="","","")</f>
        <v/>
      </c>
      <c r="B129" s="197">
        <f>IF(A129="","",IFERROR(xlookup(A129,'MONTHLY ANALYSIS'!$A:$A,'MONTHLY ANALYSIS'!$L:$L),0))</f>
        <v/>
      </c>
      <c r="C129" s="204">
        <f>IF(A129="","",IFERROR(xlookup(A129,'MONTHLY ANALYSIS'!$A:$A,'MONTHLY ANALYSIS'!$L:$L),0))</f>
        <v/>
      </c>
      <c r="D129" s="205">
        <f>IF(A129="","",IFERROR(xlookup(A129,'MONTHLY ANALYSIS'!$A:$A,'MONTHLY ANALYSIS'!$M:$M),0))</f>
        <v/>
      </c>
      <c r="E129" s="190">
        <f>IF(A129="","",IF(D129&gt;0,"⚑ PAST MIDNIGHT","⚠ PAST 10PM ONLY"))</f>
        <v/>
      </c>
      <c r="F129" s="170">
        <f>IF(A129="","",IFERROR(xlookup(A129,'FLEET REGISTER'!$B:$B,'FLEET REGISTER'!$F:$F),"Unknown"))</f>
        <v/>
      </c>
      <c r="G129" s="200" t="n"/>
      <c r="H129" s="200" t="n"/>
      <c r="I129" s="200" t="n"/>
      <c r="J129" s="200" t="n"/>
      <c r="K129" s="200" t="n"/>
      <c r="L129" s="200" t="n"/>
    </row>
    <row r="130" ht="15" customHeight="1" s="122">
      <c r="A130" s="197">
        <f>IF(A129="","","")</f>
        <v/>
      </c>
      <c r="B130" s="197">
        <f>IF(A130="","",IFERROR(xlookup(A130,'MONTHLY ANALYSIS'!$A:$A,'MONTHLY ANALYSIS'!$L:$L),0))</f>
        <v/>
      </c>
      <c r="C130" s="204">
        <f>IF(A130="","",IFERROR(xlookup(A130,'MONTHLY ANALYSIS'!$A:$A,'MONTHLY ANALYSIS'!$L:$L),0))</f>
        <v/>
      </c>
      <c r="D130" s="205">
        <f>IF(A130="","",IFERROR(xlookup(A130,'MONTHLY ANALYSIS'!$A:$A,'MONTHLY ANALYSIS'!$M:$M),0))</f>
        <v/>
      </c>
      <c r="E130" s="190">
        <f>IF(A130="","",IF(D130&gt;0,"⚑ PAST MIDNIGHT","⚠ PAST 10PM ONLY"))</f>
        <v/>
      </c>
      <c r="F130" s="170">
        <f>IF(A130="","",IFERROR(xlookup(A130,'FLEET REGISTER'!$B:$B,'FLEET REGISTER'!$F:$F),"Unknown"))</f>
        <v/>
      </c>
      <c r="G130" s="200" t="n"/>
      <c r="H130" s="200" t="n"/>
      <c r="I130" s="200" t="n"/>
      <c r="J130" s="200" t="n"/>
      <c r="K130" s="200" t="n"/>
      <c r="L130" s="200" t="n"/>
    </row>
    <row r="131" ht="15" customHeight="1" s="122">
      <c r="A131" s="197">
        <f>IF(A130="","","")</f>
        <v/>
      </c>
      <c r="B131" s="197">
        <f>IF(A131="","",IFERROR(xlookup(A131,'MONTHLY ANALYSIS'!$A:$A,'MONTHLY ANALYSIS'!$L:$L),0))</f>
        <v/>
      </c>
      <c r="C131" s="204">
        <f>IF(A131="","",IFERROR(xlookup(A131,'MONTHLY ANALYSIS'!$A:$A,'MONTHLY ANALYSIS'!$L:$L),0))</f>
        <v/>
      </c>
      <c r="D131" s="205">
        <f>IF(A131="","",IFERROR(xlookup(A131,'MONTHLY ANALYSIS'!$A:$A,'MONTHLY ANALYSIS'!$M:$M),0))</f>
        <v/>
      </c>
      <c r="E131" s="190">
        <f>IF(A131="","",IF(D131&gt;0,"⚑ PAST MIDNIGHT","⚠ PAST 10PM ONLY"))</f>
        <v/>
      </c>
      <c r="F131" s="170">
        <f>IF(A131="","",IFERROR(xlookup(A131,'FLEET REGISTER'!$B:$B,'FLEET REGISTER'!$F:$F),"Unknown"))</f>
        <v/>
      </c>
      <c r="G131" s="200" t="n"/>
      <c r="H131" s="200" t="n"/>
      <c r="I131" s="200" t="n"/>
      <c r="J131" s="200" t="n"/>
      <c r="K131" s="200" t="n"/>
      <c r="L131" s="200" t="n"/>
    </row>
    <row r="132" ht="15" customHeight="1" s="122">
      <c r="A132" s="197">
        <f>IF(A131="","","")</f>
        <v/>
      </c>
      <c r="B132" s="197">
        <f>IF(A132="","",IFERROR(xlookup(A132,'MONTHLY ANALYSIS'!$A:$A,'MONTHLY ANALYSIS'!$L:$L),0))</f>
        <v/>
      </c>
      <c r="C132" s="204">
        <f>IF(A132="","",IFERROR(xlookup(A132,'MONTHLY ANALYSIS'!$A:$A,'MONTHLY ANALYSIS'!$L:$L),0))</f>
        <v/>
      </c>
      <c r="D132" s="205">
        <f>IF(A132="","",IFERROR(xlookup(A132,'MONTHLY ANALYSIS'!$A:$A,'MONTHLY ANALYSIS'!$M:$M),0))</f>
        <v/>
      </c>
      <c r="E132" s="190">
        <f>IF(A132="","",IF(D132&gt;0,"⚑ PAST MIDNIGHT","⚠ PAST 10PM ONLY"))</f>
        <v/>
      </c>
      <c r="F132" s="170">
        <f>IF(A132="","",IFERROR(xlookup(A132,'FLEET REGISTER'!$B:$B,'FLEET REGISTER'!$F:$F),"Unknown"))</f>
        <v/>
      </c>
      <c r="G132" s="200" t="n"/>
      <c r="H132" s="200" t="n"/>
      <c r="I132" s="200" t="n"/>
      <c r="J132" s="200" t="n"/>
      <c r="K132" s="200" t="n"/>
      <c r="L132" s="200" t="n"/>
    </row>
    <row r="133" ht="15" customHeight="1" s="122">
      <c r="A133" s="197">
        <f>IF(A132="","","")</f>
        <v/>
      </c>
      <c r="B133" s="197">
        <f>IF(A133="","",IFERROR(xlookup(A133,'MONTHLY ANALYSIS'!$A:$A,'MONTHLY ANALYSIS'!$L:$L),0))</f>
        <v/>
      </c>
      <c r="C133" s="204">
        <f>IF(A133="","",IFERROR(xlookup(A133,'MONTHLY ANALYSIS'!$A:$A,'MONTHLY ANALYSIS'!$L:$L),0))</f>
        <v/>
      </c>
      <c r="D133" s="205">
        <f>IF(A133="","",IFERROR(xlookup(A133,'MONTHLY ANALYSIS'!$A:$A,'MONTHLY ANALYSIS'!$M:$M),0))</f>
        <v/>
      </c>
      <c r="E133" s="190">
        <f>IF(A133="","",IF(D133&gt;0,"⚑ PAST MIDNIGHT","⚠ PAST 10PM ONLY"))</f>
        <v/>
      </c>
      <c r="F133" s="170">
        <f>IF(A133="","",IFERROR(xlookup(A133,'FLEET REGISTER'!$B:$B,'FLEET REGISTER'!$F:$F),"Unknown"))</f>
        <v/>
      </c>
      <c r="G133" s="200" t="n"/>
      <c r="H133" s="200" t="n"/>
      <c r="I133" s="200" t="n"/>
      <c r="J133" s="200" t="n"/>
      <c r="K133" s="200" t="n"/>
      <c r="L133" s="200" t="n"/>
    </row>
    <row r="134" ht="15" customHeight="1" s="122">
      <c r="A134" s="197">
        <f>IF(A133="","","")</f>
        <v/>
      </c>
      <c r="B134" s="197">
        <f>IF(A134="","",IFERROR(xlookup(A134,'MONTHLY ANALYSIS'!$A:$A,'MONTHLY ANALYSIS'!$L:$L),0))</f>
        <v/>
      </c>
      <c r="C134" s="204">
        <f>IF(A134="","",IFERROR(xlookup(A134,'MONTHLY ANALYSIS'!$A:$A,'MONTHLY ANALYSIS'!$L:$L),0))</f>
        <v/>
      </c>
      <c r="D134" s="205">
        <f>IF(A134="","",IFERROR(xlookup(A134,'MONTHLY ANALYSIS'!$A:$A,'MONTHLY ANALYSIS'!$M:$M),0))</f>
        <v/>
      </c>
      <c r="E134" s="190">
        <f>IF(A134="","",IF(D134&gt;0,"⚑ PAST MIDNIGHT","⚠ PAST 10PM ONLY"))</f>
        <v/>
      </c>
      <c r="F134" s="170">
        <f>IF(A134="","",IFERROR(xlookup(A134,'FLEET REGISTER'!$B:$B,'FLEET REGISTER'!$F:$F),"Unknown"))</f>
        <v/>
      </c>
      <c r="G134" s="200" t="n"/>
      <c r="H134" s="200" t="n"/>
      <c r="I134" s="200" t="n"/>
      <c r="J134" s="200" t="n"/>
      <c r="K134" s="200" t="n"/>
      <c r="L134" s="200" t="n"/>
    </row>
    <row r="135" ht="15" customHeight="1" s="122">
      <c r="A135" s="197">
        <f>IF(A134="","","")</f>
        <v/>
      </c>
      <c r="B135" s="197">
        <f>IF(A135="","",IFERROR(xlookup(A135,'MONTHLY ANALYSIS'!$A:$A,'MONTHLY ANALYSIS'!$L:$L),0))</f>
        <v/>
      </c>
      <c r="C135" s="204">
        <f>IF(A135="","",IFERROR(xlookup(A135,'MONTHLY ANALYSIS'!$A:$A,'MONTHLY ANALYSIS'!$L:$L),0))</f>
        <v/>
      </c>
      <c r="D135" s="205">
        <f>IF(A135="","",IFERROR(xlookup(A135,'MONTHLY ANALYSIS'!$A:$A,'MONTHLY ANALYSIS'!$M:$M),0))</f>
        <v/>
      </c>
      <c r="E135" s="190">
        <f>IF(A135="","",IF(D135&gt;0,"⚑ PAST MIDNIGHT","⚠ PAST 10PM ONLY"))</f>
        <v/>
      </c>
      <c r="F135" s="170">
        <f>IF(A135="","",IFERROR(xlookup(A135,'FLEET REGISTER'!$B:$B,'FLEET REGISTER'!$F:$F),"Unknown"))</f>
        <v/>
      </c>
      <c r="G135" s="200" t="n"/>
      <c r="H135" s="200" t="n"/>
      <c r="I135" s="200" t="n"/>
      <c r="J135" s="200" t="n"/>
      <c r="K135" s="200" t="n"/>
      <c r="L135" s="200" t="n"/>
    </row>
    <row r="136" ht="15" customHeight="1" s="122">
      <c r="A136" s="197">
        <f>IF(A135="","","")</f>
        <v/>
      </c>
      <c r="B136" s="197">
        <f>IF(A136="","",IFERROR(xlookup(A136,'MONTHLY ANALYSIS'!$A:$A,'MONTHLY ANALYSIS'!$L:$L),0))</f>
        <v/>
      </c>
      <c r="C136" s="204">
        <f>IF(A136="","",IFERROR(xlookup(A136,'MONTHLY ANALYSIS'!$A:$A,'MONTHLY ANALYSIS'!$L:$L),0))</f>
        <v/>
      </c>
      <c r="D136" s="205">
        <f>IF(A136="","",IFERROR(xlookup(A136,'MONTHLY ANALYSIS'!$A:$A,'MONTHLY ANALYSIS'!$M:$M),0))</f>
        <v/>
      </c>
      <c r="E136" s="190">
        <f>IF(A136="","",IF(D136&gt;0,"⚑ PAST MIDNIGHT","⚠ PAST 10PM ONLY"))</f>
        <v/>
      </c>
      <c r="F136" s="170">
        <f>IF(A136="","",IFERROR(xlookup(A136,'FLEET REGISTER'!$B:$B,'FLEET REGISTER'!$F:$F),"Unknown"))</f>
        <v/>
      </c>
      <c r="G136" s="200" t="n"/>
      <c r="H136" s="200" t="n"/>
      <c r="I136" s="200" t="n"/>
      <c r="J136" s="200" t="n"/>
      <c r="K136" s="200" t="n"/>
      <c r="L136" s="200" t="n"/>
    </row>
    <row r="137" ht="15" customHeight="1" s="122">
      <c r="A137" s="197">
        <f>IF(A136="","","")</f>
        <v/>
      </c>
      <c r="B137" s="197">
        <f>IF(A137="","",IFERROR(xlookup(A137,'MONTHLY ANALYSIS'!$A:$A,'MONTHLY ANALYSIS'!$L:$L),0))</f>
        <v/>
      </c>
      <c r="C137" s="204">
        <f>IF(A137="","",IFERROR(xlookup(A137,'MONTHLY ANALYSIS'!$A:$A,'MONTHLY ANALYSIS'!$L:$L),0))</f>
        <v/>
      </c>
      <c r="D137" s="205">
        <f>IF(A137="","",IFERROR(xlookup(A137,'MONTHLY ANALYSIS'!$A:$A,'MONTHLY ANALYSIS'!$M:$M),0))</f>
        <v/>
      </c>
      <c r="E137" s="190">
        <f>IF(A137="","",IF(D137&gt;0,"⚑ PAST MIDNIGHT","⚠ PAST 10PM ONLY"))</f>
        <v/>
      </c>
      <c r="F137" s="170">
        <f>IF(A137="","",IFERROR(xlookup(A137,'FLEET REGISTER'!$B:$B,'FLEET REGISTER'!$F:$F),"Unknown"))</f>
        <v/>
      </c>
      <c r="G137" s="200" t="n"/>
      <c r="H137" s="200" t="n"/>
      <c r="I137" s="200" t="n"/>
      <c r="J137" s="200" t="n"/>
      <c r="K137" s="200" t="n"/>
      <c r="L137" s="200" t="n"/>
    </row>
    <row r="138" ht="15" customHeight="1" s="122">
      <c r="A138" s="197">
        <f>IF(A137="","","")</f>
        <v/>
      </c>
      <c r="B138" s="197">
        <f>IF(A138="","",IFERROR(xlookup(A138,'MONTHLY ANALYSIS'!$A:$A,'MONTHLY ANALYSIS'!$L:$L),0))</f>
        <v/>
      </c>
      <c r="C138" s="204">
        <f>IF(A138="","",IFERROR(xlookup(A138,'MONTHLY ANALYSIS'!$A:$A,'MONTHLY ANALYSIS'!$L:$L),0))</f>
        <v/>
      </c>
      <c r="D138" s="205">
        <f>IF(A138="","",IFERROR(xlookup(A138,'MONTHLY ANALYSIS'!$A:$A,'MONTHLY ANALYSIS'!$M:$M),0))</f>
        <v/>
      </c>
      <c r="E138" s="190">
        <f>IF(A138="","",IF(D138&gt;0,"⚑ PAST MIDNIGHT","⚠ PAST 10PM ONLY"))</f>
        <v/>
      </c>
      <c r="F138" s="170">
        <f>IF(A138="","",IFERROR(xlookup(A138,'FLEET REGISTER'!$B:$B,'FLEET REGISTER'!$F:$F),"Unknown"))</f>
        <v/>
      </c>
      <c r="G138" s="200" t="n"/>
      <c r="H138" s="200" t="n"/>
      <c r="I138" s="200" t="n"/>
      <c r="J138" s="200" t="n"/>
      <c r="K138" s="200" t="n"/>
      <c r="L138" s="200" t="n"/>
    </row>
    <row r="139" ht="15" customHeight="1" s="122">
      <c r="A139" s="197">
        <f>IF(A138="","","")</f>
        <v/>
      </c>
      <c r="B139" s="197">
        <f>IF(A139="","",IFERROR(xlookup(A139,'MONTHLY ANALYSIS'!$A:$A,'MONTHLY ANALYSIS'!$L:$L),0))</f>
        <v/>
      </c>
      <c r="C139" s="204">
        <f>IF(A139="","",IFERROR(xlookup(A139,'MONTHLY ANALYSIS'!$A:$A,'MONTHLY ANALYSIS'!$L:$L),0))</f>
        <v/>
      </c>
      <c r="D139" s="205">
        <f>IF(A139="","",IFERROR(xlookup(A139,'MONTHLY ANALYSIS'!$A:$A,'MONTHLY ANALYSIS'!$M:$M),0))</f>
        <v/>
      </c>
      <c r="E139" s="190">
        <f>IF(A139="","",IF(D139&gt;0,"⚑ PAST MIDNIGHT","⚠ PAST 10PM ONLY"))</f>
        <v/>
      </c>
      <c r="F139" s="170">
        <f>IF(A139="","",IFERROR(xlookup(A139,'FLEET REGISTER'!$B:$B,'FLEET REGISTER'!$F:$F),"Unknown"))</f>
        <v/>
      </c>
      <c r="G139" s="200" t="n"/>
      <c r="H139" s="200" t="n"/>
      <c r="I139" s="200" t="n"/>
      <c r="J139" s="200" t="n"/>
      <c r="K139" s="200" t="n"/>
      <c r="L139" s="200" t="n"/>
    </row>
    <row r="140" ht="15" customHeight="1" s="122">
      <c r="A140" s="197">
        <f>IF(A139="","","")</f>
        <v/>
      </c>
      <c r="B140" s="197">
        <f>IF(A140="","",IFERROR(xlookup(A140,'MONTHLY ANALYSIS'!$A:$A,'MONTHLY ANALYSIS'!$L:$L),0))</f>
        <v/>
      </c>
      <c r="C140" s="204">
        <f>IF(A140="","",IFERROR(xlookup(A140,'MONTHLY ANALYSIS'!$A:$A,'MONTHLY ANALYSIS'!$L:$L),0))</f>
        <v/>
      </c>
      <c r="D140" s="205">
        <f>IF(A140="","",IFERROR(xlookup(A140,'MONTHLY ANALYSIS'!$A:$A,'MONTHLY ANALYSIS'!$M:$M),0))</f>
        <v/>
      </c>
      <c r="E140" s="190">
        <f>IF(A140="","",IF(D140&gt;0,"⚑ PAST MIDNIGHT","⚠ PAST 10PM ONLY"))</f>
        <v/>
      </c>
      <c r="F140" s="170">
        <f>IF(A140="","",IFERROR(xlookup(A140,'FLEET REGISTER'!$B:$B,'FLEET REGISTER'!$F:$F),"Unknown"))</f>
        <v/>
      </c>
      <c r="G140" s="200" t="n"/>
      <c r="H140" s="200" t="n"/>
      <c r="I140" s="200" t="n"/>
      <c r="J140" s="200" t="n"/>
      <c r="K140" s="200" t="n"/>
      <c r="L140" s="200" t="n"/>
    </row>
    <row r="141" ht="15" customHeight="1" s="122">
      <c r="A141" s="197">
        <f>IF(A140="","","")</f>
        <v/>
      </c>
      <c r="B141" s="197">
        <f>IF(A141="","",IFERROR(xlookup(A141,'MONTHLY ANALYSIS'!$A:$A,'MONTHLY ANALYSIS'!$L:$L),0))</f>
        <v/>
      </c>
      <c r="C141" s="204">
        <f>IF(A141="","",IFERROR(xlookup(A141,'MONTHLY ANALYSIS'!$A:$A,'MONTHLY ANALYSIS'!$L:$L),0))</f>
        <v/>
      </c>
      <c r="D141" s="205">
        <f>IF(A141="","",IFERROR(xlookup(A141,'MONTHLY ANALYSIS'!$A:$A,'MONTHLY ANALYSIS'!$M:$M),0))</f>
        <v/>
      </c>
      <c r="E141" s="190">
        <f>IF(A141="","",IF(D141&gt;0,"⚑ PAST MIDNIGHT","⚠ PAST 10PM ONLY"))</f>
        <v/>
      </c>
      <c r="F141" s="170">
        <f>IF(A141="","",IFERROR(xlookup(A141,'FLEET REGISTER'!$B:$B,'FLEET REGISTER'!$F:$F),"Unknown"))</f>
        <v/>
      </c>
      <c r="G141" s="200" t="n"/>
      <c r="H141" s="200" t="n"/>
      <c r="I141" s="200" t="n"/>
      <c r="J141" s="200" t="n"/>
      <c r="K141" s="200" t="n"/>
      <c r="L141" s="200" t="n"/>
    </row>
    <row r="142" ht="15" customHeight="1" s="122">
      <c r="A142" s="197">
        <f>IF(A141="","","")</f>
        <v/>
      </c>
      <c r="B142" s="197">
        <f>IF(A142="","",IFERROR(xlookup(A142,'MONTHLY ANALYSIS'!$A:$A,'MONTHLY ANALYSIS'!$L:$L),0))</f>
        <v/>
      </c>
      <c r="C142" s="204">
        <f>IF(A142="","",IFERROR(xlookup(A142,'MONTHLY ANALYSIS'!$A:$A,'MONTHLY ANALYSIS'!$L:$L),0))</f>
        <v/>
      </c>
      <c r="D142" s="205">
        <f>IF(A142="","",IFERROR(xlookup(A142,'MONTHLY ANALYSIS'!$A:$A,'MONTHLY ANALYSIS'!$M:$M),0))</f>
        <v/>
      </c>
      <c r="E142" s="190">
        <f>IF(A142="","",IF(D142&gt;0,"⚑ PAST MIDNIGHT","⚠ PAST 10PM ONLY"))</f>
        <v/>
      </c>
      <c r="F142" s="170">
        <f>IF(A142="","",IFERROR(xlookup(A142,'FLEET REGISTER'!$B:$B,'FLEET REGISTER'!$F:$F),"Unknown"))</f>
        <v/>
      </c>
      <c r="G142" s="200" t="n"/>
      <c r="H142" s="200" t="n"/>
      <c r="I142" s="200" t="n"/>
      <c r="J142" s="200" t="n"/>
      <c r="K142" s="200" t="n"/>
      <c r="L142" s="200" t="n"/>
    </row>
    <row r="143" ht="15" customHeight="1" s="122">
      <c r="A143" s="197">
        <f>IF(A142="","","")</f>
        <v/>
      </c>
      <c r="B143" s="197">
        <f>IF(A143="","",IFERROR(xlookup(A143,'MONTHLY ANALYSIS'!$A:$A,'MONTHLY ANALYSIS'!$L:$L),0))</f>
        <v/>
      </c>
      <c r="C143" s="204">
        <f>IF(A143="","",IFERROR(xlookup(A143,'MONTHLY ANALYSIS'!$A:$A,'MONTHLY ANALYSIS'!$L:$L),0))</f>
        <v/>
      </c>
      <c r="D143" s="205">
        <f>IF(A143="","",IFERROR(xlookup(A143,'MONTHLY ANALYSIS'!$A:$A,'MONTHLY ANALYSIS'!$M:$M),0))</f>
        <v/>
      </c>
      <c r="E143" s="190">
        <f>IF(A143="","",IF(D143&gt;0,"⚑ PAST MIDNIGHT","⚠ PAST 10PM ONLY"))</f>
        <v/>
      </c>
      <c r="F143" s="170">
        <f>IF(A143="","",IFERROR(xlookup(A143,'FLEET REGISTER'!$B:$B,'FLEET REGISTER'!$F:$F),"Unknown"))</f>
        <v/>
      </c>
      <c r="G143" s="200" t="n"/>
      <c r="H143" s="200" t="n"/>
      <c r="I143" s="200" t="n"/>
      <c r="J143" s="200" t="n"/>
      <c r="K143" s="200" t="n"/>
      <c r="L143" s="200" t="n"/>
    </row>
    <row r="144" ht="15" customHeight="1" s="122">
      <c r="A144" s="197">
        <f>IF(A143="","","")</f>
        <v/>
      </c>
      <c r="B144" s="197">
        <f>IF(A144="","",IFERROR(xlookup(A144,'MONTHLY ANALYSIS'!$A:$A,'MONTHLY ANALYSIS'!$L:$L),0))</f>
        <v/>
      </c>
      <c r="C144" s="204">
        <f>IF(A144="","",IFERROR(xlookup(A144,'MONTHLY ANALYSIS'!$A:$A,'MONTHLY ANALYSIS'!$L:$L),0))</f>
        <v/>
      </c>
      <c r="D144" s="205">
        <f>IF(A144="","",IFERROR(xlookup(A144,'MONTHLY ANALYSIS'!$A:$A,'MONTHLY ANALYSIS'!$M:$M),0))</f>
        <v/>
      </c>
      <c r="E144" s="190">
        <f>IF(A144="","",IF(D144&gt;0,"⚑ PAST MIDNIGHT","⚠ PAST 10PM ONLY"))</f>
        <v/>
      </c>
      <c r="F144" s="170">
        <f>IF(A144="","",IFERROR(xlookup(A144,'FLEET REGISTER'!$B:$B,'FLEET REGISTER'!$F:$F),"Unknown"))</f>
        <v/>
      </c>
      <c r="G144" s="200" t="n"/>
      <c r="H144" s="200" t="n"/>
      <c r="I144" s="200" t="n"/>
      <c r="J144" s="200" t="n"/>
      <c r="K144" s="200" t="n"/>
      <c r="L144" s="200" t="n"/>
    </row>
    <row r="145" ht="15" customHeight="1" s="122">
      <c r="A145" s="197">
        <f>IF(A144="","","")</f>
        <v/>
      </c>
      <c r="B145" s="197">
        <f>IF(A145="","",IFERROR(xlookup(A145,'MONTHLY ANALYSIS'!$A:$A,'MONTHLY ANALYSIS'!$L:$L),0))</f>
        <v/>
      </c>
      <c r="C145" s="204">
        <f>IF(A145="","",IFERROR(xlookup(A145,'MONTHLY ANALYSIS'!$A:$A,'MONTHLY ANALYSIS'!$L:$L),0))</f>
        <v/>
      </c>
      <c r="D145" s="205">
        <f>IF(A145="","",IFERROR(xlookup(A145,'MONTHLY ANALYSIS'!$A:$A,'MONTHLY ANALYSIS'!$M:$M),0))</f>
        <v/>
      </c>
      <c r="E145" s="190">
        <f>IF(A145="","",IF(D145&gt;0,"⚑ PAST MIDNIGHT","⚠ PAST 10PM ONLY"))</f>
        <v/>
      </c>
      <c r="F145" s="170">
        <f>IF(A145="","",IFERROR(xlookup(A145,'FLEET REGISTER'!$B:$B,'FLEET REGISTER'!$F:$F),"Unknown"))</f>
        <v/>
      </c>
      <c r="G145" s="200" t="n"/>
      <c r="H145" s="200" t="n"/>
      <c r="I145" s="200" t="n"/>
      <c r="J145" s="200" t="n"/>
      <c r="K145" s="200" t="n"/>
      <c r="L145" s="200" t="n"/>
    </row>
    <row r="146" ht="15" customHeight="1" s="122">
      <c r="A146" s="197">
        <f>IF(A145="","","")</f>
        <v/>
      </c>
      <c r="B146" s="197">
        <f>IF(A146="","",IFERROR(xlookup(A146,'MONTHLY ANALYSIS'!$A:$A,'MONTHLY ANALYSIS'!$L:$L),0))</f>
        <v/>
      </c>
      <c r="C146" s="204">
        <f>IF(A146="","",IFERROR(xlookup(A146,'MONTHLY ANALYSIS'!$A:$A,'MONTHLY ANALYSIS'!$L:$L),0))</f>
        <v/>
      </c>
      <c r="D146" s="205">
        <f>IF(A146="","",IFERROR(xlookup(A146,'MONTHLY ANALYSIS'!$A:$A,'MONTHLY ANALYSIS'!$M:$M),0))</f>
        <v/>
      </c>
      <c r="E146" s="190">
        <f>IF(A146="","",IF(D146&gt;0,"⚑ PAST MIDNIGHT","⚠ PAST 10PM ONLY"))</f>
        <v/>
      </c>
      <c r="F146" s="170">
        <f>IF(A146="","",IFERROR(xlookup(A146,'FLEET REGISTER'!$B:$B,'FLEET REGISTER'!$F:$F),"Unknown"))</f>
        <v/>
      </c>
      <c r="G146" s="200" t="n"/>
      <c r="H146" s="200" t="n"/>
      <c r="I146" s="200" t="n"/>
      <c r="J146" s="200" t="n"/>
      <c r="K146" s="200" t="n"/>
      <c r="L146" s="200" t="n"/>
    </row>
    <row r="147" ht="15" customHeight="1" s="122">
      <c r="A147" s="197">
        <f>IF(A146="","","")</f>
        <v/>
      </c>
      <c r="B147" s="197">
        <f>IF(A147="","",IFERROR(xlookup(A147,'MONTHLY ANALYSIS'!$A:$A,'MONTHLY ANALYSIS'!$L:$L),0))</f>
        <v/>
      </c>
      <c r="C147" s="204">
        <f>IF(A147="","",IFERROR(xlookup(A147,'MONTHLY ANALYSIS'!$A:$A,'MONTHLY ANALYSIS'!$L:$L),0))</f>
        <v/>
      </c>
      <c r="D147" s="205">
        <f>IF(A147="","",IFERROR(xlookup(A147,'MONTHLY ANALYSIS'!$A:$A,'MONTHLY ANALYSIS'!$M:$M),0))</f>
        <v/>
      </c>
      <c r="E147" s="190">
        <f>IF(A147="","",IF(D147&gt;0,"⚑ PAST MIDNIGHT","⚠ PAST 10PM ONLY"))</f>
        <v/>
      </c>
      <c r="F147" s="170">
        <f>IF(A147="","",IFERROR(xlookup(A147,'FLEET REGISTER'!$B:$B,'FLEET REGISTER'!$F:$F),"Unknown"))</f>
        <v/>
      </c>
      <c r="G147" s="200" t="n"/>
      <c r="H147" s="200" t="n"/>
      <c r="I147" s="200" t="n"/>
      <c r="J147" s="200" t="n"/>
      <c r="K147" s="200" t="n"/>
      <c r="L147" s="200" t="n"/>
    </row>
    <row r="148" ht="15" customHeight="1" s="122">
      <c r="A148" s="197">
        <f>IF(A147="","","")</f>
        <v/>
      </c>
      <c r="B148" s="197">
        <f>IF(A148="","",IFERROR(xlookup(A148,'MONTHLY ANALYSIS'!$A:$A,'MONTHLY ANALYSIS'!$L:$L),0))</f>
        <v/>
      </c>
      <c r="C148" s="204">
        <f>IF(A148="","",IFERROR(xlookup(A148,'MONTHLY ANALYSIS'!$A:$A,'MONTHLY ANALYSIS'!$L:$L),0))</f>
        <v/>
      </c>
      <c r="D148" s="205">
        <f>IF(A148="","",IFERROR(xlookup(A148,'MONTHLY ANALYSIS'!$A:$A,'MONTHLY ANALYSIS'!$M:$M),0))</f>
        <v/>
      </c>
      <c r="E148" s="190">
        <f>IF(A148="","",IF(D148&gt;0,"⚑ PAST MIDNIGHT","⚠ PAST 10PM ONLY"))</f>
        <v/>
      </c>
      <c r="F148" s="170">
        <f>IF(A148="","",IFERROR(xlookup(A148,'FLEET REGISTER'!$B:$B,'FLEET REGISTER'!$F:$F),"Unknown"))</f>
        <v/>
      </c>
      <c r="G148" s="200" t="n"/>
      <c r="H148" s="200" t="n"/>
      <c r="I148" s="200" t="n"/>
      <c r="J148" s="200" t="n"/>
      <c r="K148" s="200" t="n"/>
      <c r="L148" s="200" t="n"/>
    </row>
    <row r="149" ht="15" customHeight="1" s="122">
      <c r="A149" s="197">
        <f>IF(A148="","","")</f>
        <v/>
      </c>
      <c r="B149" s="197">
        <f>IF(A149="","",IFERROR(xlookup(A149,'MONTHLY ANALYSIS'!$A:$A,'MONTHLY ANALYSIS'!$L:$L),0))</f>
        <v/>
      </c>
      <c r="C149" s="204">
        <f>IF(A149="","",IFERROR(xlookup(A149,'MONTHLY ANALYSIS'!$A:$A,'MONTHLY ANALYSIS'!$L:$L),0))</f>
        <v/>
      </c>
      <c r="D149" s="205">
        <f>IF(A149="","",IFERROR(xlookup(A149,'MONTHLY ANALYSIS'!$A:$A,'MONTHLY ANALYSIS'!$M:$M),0))</f>
        <v/>
      </c>
      <c r="E149" s="190">
        <f>IF(A149="","",IF(D149&gt;0,"⚑ PAST MIDNIGHT","⚠ PAST 10PM ONLY"))</f>
        <v/>
      </c>
      <c r="F149" s="170">
        <f>IF(A149="","",IFERROR(xlookup(A149,'FLEET REGISTER'!$B:$B,'FLEET REGISTER'!$F:$F),"Unknown"))</f>
        <v/>
      </c>
      <c r="G149" s="200" t="n"/>
      <c r="H149" s="200" t="n"/>
      <c r="I149" s="200" t="n"/>
      <c r="J149" s="200" t="n"/>
      <c r="K149" s="200" t="n"/>
      <c r="L149" s="200" t="n"/>
    </row>
    <row r="150" ht="15" customHeight="1" s="122">
      <c r="A150" s="197">
        <f>IF(A149="","","")</f>
        <v/>
      </c>
      <c r="B150" s="197">
        <f>IF(A150="","",IFERROR(xlookup(A150,'MONTHLY ANALYSIS'!$A:$A,'MONTHLY ANALYSIS'!$L:$L),0))</f>
        <v/>
      </c>
      <c r="C150" s="204">
        <f>IF(A150="","",IFERROR(xlookup(A150,'MONTHLY ANALYSIS'!$A:$A,'MONTHLY ANALYSIS'!$L:$L),0))</f>
        <v/>
      </c>
      <c r="D150" s="205">
        <f>IF(A150="","",IFERROR(xlookup(A150,'MONTHLY ANALYSIS'!$A:$A,'MONTHLY ANALYSIS'!$M:$M),0))</f>
        <v/>
      </c>
      <c r="E150" s="190">
        <f>IF(A150="","",IF(D150&gt;0,"⚑ PAST MIDNIGHT","⚠ PAST 10PM ONLY"))</f>
        <v/>
      </c>
      <c r="F150" s="170">
        <f>IF(A150="","",IFERROR(xlookup(A150,'FLEET REGISTER'!$B:$B,'FLEET REGISTER'!$F:$F),"Unknown"))</f>
        <v/>
      </c>
      <c r="G150" s="200" t="n"/>
      <c r="H150" s="200" t="n"/>
      <c r="I150" s="200" t="n"/>
      <c r="J150" s="200" t="n"/>
      <c r="K150" s="200" t="n"/>
      <c r="L150" s="200" t="n"/>
    </row>
    <row r="151" ht="15" customHeight="1" s="122">
      <c r="A151" s="197">
        <f>IF(A150="","","")</f>
        <v/>
      </c>
      <c r="B151" s="197">
        <f>IF(A151="","",IFERROR(xlookup(A151,'MONTHLY ANALYSIS'!$A:$A,'MONTHLY ANALYSIS'!$L:$L),0))</f>
        <v/>
      </c>
      <c r="C151" s="204">
        <f>IF(A151="","",IFERROR(xlookup(A151,'MONTHLY ANALYSIS'!$A:$A,'MONTHLY ANALYSIS'!$L:$L),0))</f>
        <v/>
      </c>
      <c r="D151" s="205">
        <f>IF(A151="","",IFERROR(xlookup(A151,'MONTHLY ANALYSIS'!$A:$A,'MONTHLY ANALYSIS'!$M:$M),0))</f>
        <v/>
      </c>
      <c r="E151" s="190">
        <f>IF(A151="","",IF(D151&gt;0,"⚑ PAST MIDNIGHT","⚠ PAST 10PM ONLY"))</f>
        <v/>
      </c>
      <c r="F151" s="170">
        <f>IF(A151="","",IFERROR(xlookup(A151,'FLEET REGISTER'!$B:$B,'FLEET REGISTER'!$F:$F),"Unknown"))</f>
        <v/>
      </c>
      <c r="G151" s="200" t="n"/>
      <c r="H151" s="200" t="n"/>
      <c r="I151" s="200" t="n"/>
      <c r="J151" s="200" t="n"/>
      <c r="K151" s="200" t="n"/>
      <c r="L151" s="200" t="n"/>
    </row>
    <row r="152" ht="15" customHeight="1" s="122">
      <c r="A152" s="197">
        <f>IF(A151="","","")</f>
        <v/>
      </c>
      <c r="B152" s="197">
        <f>IF(A152="","",IFERROR(xlookup(A152,'MONTHLY ANALYSIS'!$A:$A,'MONTHLY ANALYSIS'!$L:$L),0))</f>
        <v/>
      </c>
      <c r="C152" s="204">
        <f>IF(A152="","",IFERROR(xlookup(A152,'MONTHLY ANALYSIS'!$A:$A,'MONTHLY ANALYSIS'!$L:$L),0))</f>
        <v/>
      </c>
      <c r="D152" s="205">
        <f>IF(A152="","",IFERROR(xlookup(A152,'MONTHLY ANALYSIS'!$A:$A,'MONTHLY ANALYSIS'!$M:$M),0))</f>
        <v/>
      </c>
      <c r="E152" s="190">
        <f>IF(A152="","",IF(D152&gt;0,"⚑ PAST MIDNIGHT","⚠ PAST 10PM ONLY"))</f>
        <v/>
      </c>
      <c r="F152" s="170">
        <f>IF(A152="","",IFERROR(xlookup(A152,'FLEET REGISTER'!$B:$B,'FLEET REGISTER'!$F:$F),"Unknown"))</f>
        <v/>
      </c>
      <c r="G152" s="200" t="n"/>
      <c r="H152" s="200" t="n"/>
      <c r="I152" s="200" t="n"/>
      <c r="J152" s="200" t="n"/>
      <c r="K152" s="200" t="n"/>
      <c r="L152" s="200" t="n"/>
    </row>
    <row r="153" ht="15" customHeight="1" s="122">
      <c r="A153" s="197">
        <f>IF(A152="","","")</f>
        <v/>
      </c>
      <c r="B153" s="197">
        <f>IF(A153="","",IFERROR(xlookup(A153,'MONTHLY ANALYSIS'!$A:$A,'MONTHLY ANALYSIS'!$L:$L),0))</f>
        <v/>
      </c>
      <c r="C153" s="204">
        <f>IF(A153="","",IFERROR(xlookup(A153,'MONTHLY ANALYSIS'!$A:$A,'MONTHLY ANALYSIS'!$L:$L),0))</f>
        <v/>
      </c>
      <c r="D153" s="205">
        <f>IF(A153="","",IFERROR(xlookup(A153,'MONTHLY ANALYSIS'!$A:$A,'MONTHLY ANALYSIS'!$M:$M),0))</f>
        <v/>
      </c>
      <c r="E153" s="190">
        <f>IF(A153="","",IF(D153&gt;0,"⚑ PAST MIDNIGHT","⚠ PAST 10PM ONLY"))</f>
        <v/>
      </c>
      <c r="F153" s="170">
        <f>IF(A153="","",IFERROR(xlookup(A153,'FLEET REGISTER'!$B:$B,'FLEET REGISTER'!$F:$F),"Unknown"))</f>
        <v/>
      </c>
      <c r="G153" s="200" t="n"/>
      <c r="H153" s="200" t="n"/>
      <c r="I153" s="200" t="n"/>
      <c r="J153" s="200" t="n"/>
      <c r="K153" s="200" t="n"/>
      <c r="L153" s="200" t="n"/>
    </row>
    <row r="154" ht="15" customHeight="1" s="122">
      <c r="A154" s="197">
        <f>IF(A153="","","")</f>
        <v/>
      </c>
      <c r="B154" s="197">
        <f>IF(A154="","",IFERROR(xlookup(A154,'MONTHLY ANALYSIS'!$A:$A,'MONTHLY ANALYSIS'!$L:$L),0))</f>
        <v/>
      </c>
      <c r="C154" s="204">
        <f>IF(A154="","",IFERROR(xlookup(A154,'MONTHLY ANALYSIS'!$A:$A,'MONTHLY ANALYSIS'!$L:$L),0))</f>
        <v/>
      </c>
      <c r="D154" s="205">
        <f>IF(A154="","",IFERROR(xlookup(A154,'MONTHLY ANALYSIS'!$A:$A,'MONTHLY ANALYSIS'!$M:$M),0))</f>
        <v/>
      </c>
      <c r="E154" s="190">
        <f>IF(A154="","",IF(D154&gt;0,"⚑ PAST MIDNIGHT","⚠ PAST 10PM ONLY"))</f>
        <v/>
      </c>
      <c r="F154" s="170">
        <f>IF(A154="","",IFERROR(xlookup(A154,'FLEET REGISTER'!$B:$B,'FLEET REGISTER'!$F:$F),"Unknown"))</f>
        <v/>
      </c>
      <c r="G154" s="200" t="n"/>
      <c r="H154" s="200" t="n"/>
      <c r="I154" s="200" t="n"/>
      <c r="J154" s="200" t="n"/>
      <c r="K154" s="200" t="n"/>
      <c r="L154" s="200" t="n"/>
    </row>
    <row r="155" ht="15" customHeight="1" s="122">
      <c r="A155" s="197">
        <f>IF(A154="","","")</f>
        <v/>
      </c>
      <c r="B155" s="197">
        <f>IF(A155="","",IFERROR(xlookup(A155,'MONTHLY ANALYSIS'!$A:$A,'MONTHLY ANALYSIS'!$L:$L),0))</f>
        <v/>
      </c>
      <c r="C155" s="204">
        <f>IF(A155="","",IFERROR(xlookup(A155,'MONTHLY ANALYSIS'!$A:$A,'MONTHLY ANALYSIS'!$L:$L),0))</f>
        <v/>
      </c>
      <c r="D155" s="205">
        <f>IF(A155="","",IFERROR(xlookup(A155,'MONTHLY ANALYSIS'!$A:$A,'MONTHLY ANALYSIS'!$M:$M),0))</f>
        <v/>
      </c>
      <c r="E155" s="190">
        <f>IF(A155="","",IF(D155&gt;0,"⚑ PAST MIDNIGHT","⚠ PAST 10PM ONLY"))</f>
        <v/>
      </c>
      <c r="F155" s="170">
        <f>IF(A155="","",IFERROR(xlookup(A155,'FLEET REGISTER'!$B:$B,'FLEET REGISTER'!$F:$F),"Unknown"))</f>
        <v/>
      </c>
      <c r="G155" s="200" t="n"/>
      <c r="H155" s="200" t="n"/>
      <c r="I155" s="200" t="n"/>
      <c r="J155" s="200" t="n"/>
      <c r="K155" s="200" t="n"/>
      <c r="L155" s="200" t="n"/>
    </row>
    <row r="156" ht="15" customHeight="1" s="122">
      <c r="A156" s="197">
        <f>IF(A155="","","")</f>
        <v/>
      </c>
      <c r="B156" s="197">
        <f>IF(A156="","",IFERROR(xlookup(A156,'MONTHLY ANALYSIS'!$A:$A,'MONTHLY ANALYSIS'!$L:$L),0))</f>
        <v/>
      </c>
      <c r="C156" s="204">
        <f>IF(A156="","",IFERROR(xlookup(A156,'MONTHLY ANALYSIS'!$A:$A,'MONTHLY ANALYSIS'!$L:$L),0))</f>
        <v/>
      </c>
      <c r="D156" s="205">
        <f>IF(A156="","",IFERROR(xlookup(A156,'MONTHLY ANALYSIS'!$A:$A,'MONTHLY ANALYSIS'!$M:$M),0))</f>
        <v/>
      </c>
      <c r="E156" s="190">
        <f>IF(A156="","",IF(D156&gt;0,"⚑ PAST MIDNIGHT","⚠ PAST 10PM ONLY"))</f>
        <v/>
      </c>
      <c r="F156" s="170">
        <f>IF(A156="","",IFERROR(xlookup(A156,'FLEET REGISTER'!$B:$B,'FLEET REGISTER'!$F:$F),"Unknown"))</f>
        <v/>
      </c>
      <c r="G156" s="200" t="n"/>
      <c r="H156" s="200" t="n"/>
      <c r="I156" s="200" t="n"/>
      <c r="J156" s="200" t="n"/>
      <c r="K156" s="200" t="n"/>
      <c r="L156" s="200" t="n"/>
    </row>
    <row r="157" ht="15" customHeight="1" s="122">
      <c r="A157" s="197">
        <f>IF(A156="","","")</f>
        <v/>
      </c>
      <c r="B157" s="197">
        <f>IF(A157="","",IFERROR(xlookup(A157,'MONTHLY ANALYSIS'!$A:$A,'MONTHLY ANALYSIS'!$L:$L),0))</f>
        <v/>
      </c>
      <c r="C157" s="204">
        <f>IF(A157="","",IFERROR(xlookup(A157,'MONTHLY ANALYSIS'!$A:$A,'MONTHLY ANALYSIS'!$L:$L),0))</f>
        <v/>
      </c>
      <c r="D157" s="205">
        <f>IF(A157="","",IFERROR(xlookup(A157,'MONTHLY ANALYSIS'!$A:$A,'MONTHLY ANALYSIS'!$M:$M),0))</f>
        <v/>
      </c>
      <c r="E157" s="190">
        <f>IF(A157="","",IF(D157&gt;0,"⚑ PAST MIDNIGHT","⚠ PAST 10PM ONLY"))</f>
        <v/>
      </c>
      <c r="F157" s="170">
        <f>IF(A157="","",IFERROR(xlookup(A157,'FLEET REGISTER'!$B:$B,'FLEET REGISTER'!$F:$F),"Unknown"))</f>
        <v/>
      </c>
      <c r="G157" s="200" t="n"/>
      <c r="H157" s="200" t="n"/>
      <c r="I157" s="200" t="n"/>
      <c r="J157" s="200" t="n"/>
      <c r="K157" s="200" t="n"/>
      <c r="L157" s="200" t="n"/>
    </row>
    <row r="158" ht="15" customHeight="1" s="122">
      <c r="A158" s="197">
        <f>IF(A157="","","")</f>
        <v/>
      </c>
      <c r="B158" s="197">
        <f>IF(A158="","",IFERROR(xlookup(A158,'MONTHLY ANALYSIS'!$A:$A,'MONTHLY ANALYSIS'!$L:$L),0))</f>
        <v/>
      </c>
      <c r="C158" s="204">
        <f>IF(A158="","",IFERROR(xlookup(A158,'MONTHLY ANALYSIS'!$A:$A,'MONTHLY ANALYSIS'!$L:$L),0))</f>
        <v/>
      </c>
      <c r="D158" s="205">
        <f>IF(A158="","",IFERROR(xlookup(A158,'MONTHLY ANALYSIS'!$A:$A,'MONTHLY ANALYSIS'!$M:$M),0))</f>
        <v/>
      </c>
      <c r="E158" s="190">
        <f>IF(A158="","",IF(D158&gt;0,"⚑ PAST MIDNIGHT","⚠ PAST 10PM ONLY"))</f>
        <v/>
      </c>
      <c r="F158" s="170">
        <f>IF(A158="","",IFERROR(xlookup(A158,'FLEET REGISTER'!$B:$B,'FLEET REGISTER'!$F:$F),"Unknown"))</f>
        <v/>
      </c>
      <c r="G158" s="200" t="n"/>
      <c r="H158" s="200" t="n"/>
      <c r="I158" s="200" t="n"/>
      <c r="J158" s="200" t="n"/>
      <c r="K158" s="200" t="n"/>
      <c r="L158" s="200" t="n"/>
    </row>
    <row r="159" ht="15" customHeight="1" s="122">
      <c r="A159" s="197">
        <f>IF(A158="","","")</f>
        <v/>
      </c>
      <c r="B159" s="197">
        <f>IF(A159="","",IFERROR(xlookup(A159,'MONTHLY ANALYSIS'!$A:$A,'MONTHLY ANALYSIS'!$L:$L),0))</f>
        <v/>
      </c>
      <c r="C159" s="204">
        <f>IF(A159="","",IFERROR(xlookup(A159,'MONTHLY ANALYSIS'!$A:$A,'MONTHLY ANALYSIS'!$L:$L),0))</f>
        <v/>
      </c>
      <c r="D159" s="205">
        <f>IF(A159="","",IFERROR(xlookup(A159,'MONTHLY ANALYSIS'!$A:$A,'MONTHLY ANALYSIS'!$M:$M),0))</f>
        <v/>
      </c>
      <c r="E159" s="190">
        <f>IF(A159="","",IF(D159&gt;0,"⚑ PAST MIDNIGHT","⚠ PAST 10PM ONLY"))</f>
        <v/>
      </c>
      <c r="F159" s="170">
        <f>IF(A159="","",IFERROR(xlookup(A159,'FLEET REGISTER'!$B:$B,'FLEET REGISTER'!$F:$F),"Unknown"))</f>
        <v/>
      </c>
      <c r="G159" s="200" t="n"/>
      <c r="H159" s="200" t="n"/>
      <c r="I159" s="200" t="n"/>
      <c r="J159" s="200" t="n"/>
      <c r="K159" s="200" t="n"/>
      <c r="L159" s="200" t="n"/>
    </row>
    <row r="160" ht="15" customHeight="1" s="122">
      <c r="A160" s="197">
        <f>IF(A159="","","")</f>
        <v/>
      </c>
      <c r="B160" s="197">
        <f>IF(A160="","",IFERROR(xlookup(A160,'MONTHLY ANALYSIS'!$A:$A,'MONTHLY ANALYSIS'!$L:$L),0))</f>
        <v/>
      </c>
      <c r="C160" s="204">
        <f>IF(A160="","",IFERROR(xlookup(A160,'MONTHLY ANALYSIS'!$A:$A,'MONTHLY ANALYSIS'!$L:$L),0))</f>
        <v/>
      </c>
      <c r="D160" s="205">
        <f>IF(A160="","",IFERROR(xlookup(A160,'MONTHLY ANALYSIS'!$A:$A,'MONTHLY ANALYSIS'!$M:$M),0))</f>
        <v/>
      </c>
      <c r="E160" s="190">
        <f>IF(A160="","",IF(D160&gt;0,"⚑ PAST MIDNIGHT","⚠ PAST 10PM ONLY"))</f>
        <v/>
      </c>
      <c r="F160" s="170">
        <f>IF(A160="","",IFERROR(xlookup(A160,'FLEET REGISTER'!$B:$B,'FLEET REGISTER'!$F:$F),"Unknown"))</f>
        <v/>
      </c>
      <c r="G160" s="200" t="n"/>
      <c r="H160" s="200" t="n"/>
      <c r="I160" s="200" t="n"/>
      <c r="J160" s="200" t="n"/>
      <c r="K160" s="200" t="n"/>
      <c r="L160" s="200" t="n"/>
    </row>
    <row r="161" ht="15" customHeight="1" s="122">
      <c r="A161" s="197">
        <f>IF(A160="","","")</f>
        <v/>
      </c>
      <c r="B161" s="197">
        <f>IF(A161="","",IFERROR(xlookup(A161,'MONTHLY ANALYSIS'!$A:$A,'MONTHLY ANALYSIS'!$L:$L),0))</f>
        <v/>
      </c>
      <c r="C161" s="204">
        <f>IF(A161="","",IFERROR(xlookup(A161,'MONTHLY ANALYSIS'!$A:$A,'MONTHLY ANALYSIS'!$L:$L),0))</f>
        <v/>
      </c>
      <c r="D161" s="205">
        <f>IF(A161="","",IFERROR(xlookup(A161,'MONTHLY ANALYSIS'!$A:$A,'MONTHLY ANALYSIS'!$M:$M),0))</f>
        <v/>
      </c>
      <c r="E161" s="190">
        <f>IF(A161="","",IF(D161&gt;0,"⚑ PAST MIDNIGHT","⚠ PAST 10PM ONLY"))</f>
        <v/>
      </c>
      <c r="F161" s="170">
        <f>IF(A161="","",IFERROR(xlookup(A161,'FLEET REGISTER'!$B:$B,'FLEET REGISTER'!$F:$F),"Unknown"))</f>
        <v/>
      </c>
      <c r="G161" s="200" t="n"/>
      <c r="H161" s="200" t="n"/>
      <c r="I161" s="200" t="n"/>
      <c r="J161" s="200" t="n"/>
      <c r="K161" s="200" t="n"/>
      <c r="L161" s="200" t="n"/>
    </row>
    <row r="162" ht="15" customHeight="1" s="122">
      <c r="A162" s="197">
        <f>IF(A161="","","")</f>
        <v/>
      </c>
      <c r="B162" s="197">
        <f>IF(A162="","",IFERROR(xlookup(A162,'MONTHLY ANALYSIS'!$A:$A,'MONTHLY ANALYSIS'!$L:$L),0))</f>
        <v/>
      </c>
      <c r="C162" s="204">
        <f>IF(A162="","",IFERROR(xlookup(A162,'MONTHLY ANALYSIS'!$A:$A,'MONTHLY ANALYSIS'!$L:$L),0))</f>
        <v/>
      </c>
      <c r="D162" s="205">
        <f>IF(A162="","",IFERROR(xlookup(A162,'MONTHLY ANALYSIS'!$A:$A,'MONTHLY ANALYSIS'!$M:$M),0))</f>
        <v/>
      </c>
      <c r="E162" s="190">
        <f>IF(A162="","",IF(D162&gt;0,"⚑ PAST MIDNIGHT","⚠ PAST 10PM ONLY"))</f>
        <v/>
      </c>
      <c r="F162" s="170">
        <f>IF(A162="","",IFERROR(xlookup(A162,'FLEET REGISTER'!$B:$B,'FLEET REGISTER'!$F:$F),"Unknown"))</f>
        <v/>
      </c>
      <c r="G162" s="200" t="n"/>
      <c r="H162" s="200" t="n"/>
      <c r="I162" s="200" t="n"/>
      <c r="J162" s="200" t="n"/>
      <c r="K162" s="200" t="n"/>
      <c r="L162" s="200" t="n"/>
    </row>
    <row r="163" ht="15" customHeight="1" s="122">
      <c r="A163" s="197">
        <f>IF(A162="","","")</f>
        <v/>
      </c>
      <c r="B163" s="197">
        <f>IF(A163="","",IFERROR(xlookup(A163,'MONTHLY ANALYSIS'!$A:$A,'MONTHLY ANALYSIS'!$L:$L),0))</f>
        <v/>
      </c>
      <c r="C163" s="204">
        <f>IF(A163="","",IFERROR(xlookup(A163,'MONTHLY ANALYSIS'!$A:$A,'MONTHLY ANALYSIS'!$L:$L),0))</f>
        <v/>
      </c>
      <c r="D163" s="205">
        <f>IF(A163="","",IFERROR(xlookup(A163,'MONTHLY ANALYSIS'!$A:$A,'MONTHLY ANALYSIS'!$M:$M),0))</f>
        <v/>
      </c>
      <c r="E163" s="190">
        <f>IF(A163="","",IF(D163&gt;0,"⚑ PAST MIDNIGHT","⚠ PAST 10PM ONLY"))</f>
        <v/>
      </c>
      <c r="F163" s="170">
        <f>IF(A163="","",IFERROR(xlookup(A163,'FLEET REGISTER'!$B:$B,'FLEET REGISTER'!$F:$F),"Unknown"))</f>
        <v/>
      </c>
      <c r="G163" s="200" t="n"/>
      <c r="H163" s="200" t="n"/>
      <c r="I163" s="200" t="n"/>
      <c r="J163" s="200" t="n"/>
      <c r="K163" s="200" t="n"/>
      <c r="L163" s="200" t="n"/>
    </row>
    <row r="164" ht="15" customHeight="1" s="122">
      <c r="A164" s="197">
        <f>IF(A163="","","")</f>
        <v/>
      </c>
      <c r="B164" s="197">
        <f>IF(A164="","",IFERROR(xlookup(A164,'MONTHLY ANALYSIS'!$A:$A,'MONTHLY ANALYSIS'!$L:$L),0))</f>
        <v/>
      </c>
      <c r="C164" s="204">
        <f>IF(A164="","",IFERROR(xlookup(A164,'MONTHLY ANALYSIS'!$A:$A,'MONTHLY ANALYSIS'!$L:$L),0))</f>
        <v/>
      </c>
      <c r="D164" s="205">
        <f>IF(A164="","",IFERROR(xlookup(A164,'MONTHLY ANALYSIS'!$A:$A,'MONTHLY ANALYSIS'!$M:$M),0))</f>
        <v/>
      </c>
      <c r="E164" s="190">
        <f>IF(A164="","",IF(D164&gt;0,"⚑ PAST MIDNIGHT","⚠ PAST 10PM ONLY"))</f>
        <v/>
      </c>
      <c r="F164" s="170">
        <f>IF(A164="","",IFERROR(xlookup(A164,'FLEET REGISTER'!$B:$B,'FLEET REGISTER'!$F:$F),"Unknown"))</f>
        <v/>
      </c>
      <c r="G164" s="200" t="n"/>
      <c r="H164" s="200" t="n"/>
      <c r="I164" s="200" t="n"/>
      <c r="J164" s="200" t="n"/>
      <c r="K164" s="200" t="n"/>
      <c r="L164" s="200" t="n"/>
    </row>
    <row r="165" ht="15" customHeight="1" s="122">
      <c r="A165" s="197">
        <f>IF(A164="","","")</f>
        <v/>
      </c>
      <c r="B165" s="197">
        <f>IF(A165="","",IFERROR(xlookup(A165,'MONTHLY ANALYSIS'!$A:$A,'MONTHLY ANALYSIS'!$L:$L),0))</f>
        <v/>
      </c>
      <c r="C165" s="204">
        <f>IF(A165="","",IFERROR(xlookup(A165,'MONTHLY ANALYSIS'!$A:$A,'MONTHLY ANALYSIS'!$L:$L),0))</f>
        <v/>
      </c>
      <c r="D165" s="205">
        <f>IF(A165="","",IFERROR(xlookup(A165,'MONTHLY ANALYSIS'!$A:$A,'MONTHLY ANALYSIS'!$M:$M),0))</f>
        <v/>
      </c>
      <c r="E165" s="190">
        <f>IF(A165="","",IF(D165&gt;0,"⚑ PAST MIDNIGHT","⚠ PAST 10PM ONLY"))</f>
        <v/>
      </c>
      <c r="F165" s="170">
        <f>IF(A165="","",IFERROR(xlookup(A165,'FLEET REGISTER'!$B:$B,'FLEET REGISTER'!$F:$F),"Unknown"))</f>
        <v/>
      </c>
      <c r="G165" s="200" t="n"/>
      <c r="H165" s="200" t="n"/>
      <c r="I165" s="200" t="n"/>
      <c r="J165" s="200" t="n"/>
      <c r="K165" s="200" t="n"/>
      <c r="L165" s="200" t="n"/>
    </row>
    <row r="166" ht="15" customHeight="1" s="122">
      <c r="A166" s="197">
        <f>IF(A165="","","")</f>
        <v/>
      </c>
      <c r="B166" s="197">
        <f>IF(A166="","",IFERROR(xlookup(A166,'MONTHLY ANALYSIS'!$A:$A,'MONTHLY ANALYSIS'!$L:$L),0))</f>
        <v/>
      </c>
      <c r="C166" s="204">
        <f>IF(A166="","",IFERROR(xlookup(A166,'MONTHLY ANALYSIS'!$A:$A,'MONTHLY ANALYSIS'!$L:$L),0))</f>
        <v/>
      </c>
      <c r="D166" s="205">
        <f>IF(A166="","",IFERROR(xlookup(A166,'MONTHLY ANALYSIS'!$A:$A,'MONTHLY ANALYSIS'!$M:$M),0))</f>
        <v/>
      </c>
      <c r="E166" s="190">
        <f>IF(A166="","",IF(D166&gt;0,"⚑ PAST MIDNIGHT","⚠ PAST 10PM ONLY"))</f>
        <v/>
      </c>
      <c r="F166" s="170">
        <f>IF(A166="","",IFERROR(xlookup(A166,'FLEET REGISTER'!$B:$B,'FLEET REGISTER'!$F:$F),"Unknown"))</f>
        <v/>
      </c>
      <c r="G166" s="200" t="n"/>
      <c r="H166" s="200" t="n"/>
      <c r="I166" s="200" t="n"/>
      <c r="J166" s="200" t="n"/>
      <c r="K166" s="200" t="n"/>
      <c r="L166" s="200" t="n"/>
    </row>
    <row r="167" ht="15" customHeight="1" s="122">
      <c r="A167" s="197">
        <f>IF(A166="","","")</f>
        <v/>
      </c>
      <c r="B167" s="197">
        <f>IF(A167="","",IFERROR(xlookup(A167,'MONTHLY ANALYSIS'!$A:$A,'MONTHLY ANALYSIS'!$L:$L),0))</f>
        <v/>
      </c>
      <c r="C167" s="204">
        <f>IF(A167="","",IFERROR(xlookup(A167,'MONTHLY ANALYSIS'!$A:$A,'MONTHLY ANALYSIS'!$L:$L),0))</f>
        <v/>
      </c>
      <c r="D167" s="205">
        <f>IF(A167="","",IFERROR(xlookup(A167,'MONTHLY ANALYSIS'!$A:$A,'MONTHLY ANALYSIS'!$M:$M),0))</f>
        <v/>
      </c>
      <c r="E167" s="190">
        <f>IF(A167="","",IF(D167&gt;0,"⚑ PAST MIDNIGHT","⚠ PAST 10PM ONLY"))</f>
        <v/>
      </c>
      <c r="F167" s="170">
        <f>IF(A167="","",IFERROR(xlookup(A167,'FLEET REGISTER'!$B:$B,'FLEET REGISTER'!$F:$F),"Unknown"))</f>
        <v/>
      </c>
      <c r="G167" s="200" t="n"/>
      <c r="H167" s="200" t="n"/>
      <c r="I167" s="200" t="n"/>
      <c r="J167" s="200" t="n"/>
      <c r="K167" s="200" t="n"/>
      <c r="L167" s="200" t="n"/>
    </row>
    <row r="168" ht="15" customHeight="1" s="122">
      <c r="A168" s="197">
        <f>IF(A167="","","")</f>
        <v/>
      </c>
      <c r="B168" s="197">
        <f>IF(A168="","",IFERROR(xlookup(A168,'MONTHLY ANALYSIS'!$A:$A,'MONTHLY ANALYSIS'!$L:$L),0))</f>
        <v/>
      </c>
      <c r="C168" s="204">
        <f>IF(A168="","",IFERROR(xlookup(A168,'MONTHLY ANALYSIS'!$A:$A,'MONTHLY ANALYSIS'!$L:$L),0))</f>
        <v/>
      </c>
      <c r="D168" s="205">
        <f>IF(A168="","",IFERROR(xlookup(A168,'MONTHLY ANALYSIS'!$A:$A,'MONTHLY ANALYSIS'!$M:$M),0))</f>
        <v/>
      </c>
      <c r="E168" s="190">
        <f>IF(A168="","",IF(D168&gt;0,"⚑ PAST MIDNIGHT","⚠ PAST 10PM ONLY"))</f>
        <v/>
      </c>
      <c r="F168" s="170">
        <f>IF(A168="","",IFERROR(xlookup(A168,'FLEET REGISTER'!$B:$B,'FLEET REGISTER'!$F:$F),"Unknown"))</f>
        <v/>
      </c>
      <c r="G168" s="200" t="n"/>
      <c r="H168" s="200" t="n"/>
      <c r="I168" s="200" t="n"/>
      <c r="J168" s="200" t="n"/>
      <c r="K168" s="200" t="n"/>
      <c r="L168" s="200" t="n"/>
    </row>
    <row r="169" ht="15" customHeight="1" s="122">
      <c r="A169" s="197">
        <f>IF(A168="","","")</f>
        <v/>
      </c>
      <c r="B169" s="197">
        <f>IF(A169="","",IFERROR(xlookup(A169,'MONTHLY ANALYSIS'!$A:$A,'MONTHLY ANALYSIS'!$L:$L),0))</f>
        <v/>
      </c>
      <c r="C169" s="204">
        <f>IF(A169="","",IFERROR(xlookup(A169,'MONTHLY ANALYSIS'!$A:$A,'MONTHLY ANALYSIS'!$L:$L),0))</f>
        <v/>
      </c>
      <c r="D169" s="205">
        <f>IF(A169="","",IFERROR(xlookup(A169,'MONTHLY ANALYSIS'!$A:$A,'MONTHLY ANALYSIS'!$M:$M),0))</f>
        <v/>
      </c>
      <c r="E169" s="190">
        <f>IF(A169="","",IF(D169&gt;0,"⚑ PAST MIDNIGHT","⚠ PAST 10PM ONLY"))</f>
        <v/>
      </c>
      <c r="F169" s="170">
        <f>IF(A169="","",IFERROR(xlookup(A169,'FLEET REGISTER'!$B:$B,'FLEET REGISTER'!$F:$F),"Unknown"))</f>
        <v/>
      </c>
      <c r="G169" s="200" t="n"/>
      <c r="H169" s="200" t="n"/>
      <c r="I169" s="200" t="n"/>
      <c r="J169" s="200" t="n"/>
      <c r="K169" s="200" t="n"/>
      <c r="L169" s="200" t="n"/>
    </row>
    <row r="170" ht="15" customHeight="1" s="122">
      <c r="A170" s="197">
        <f>IF(A169="","","")</f>
        <v/>
      </c>
      <c r="B170" s="197">
        <f>IF(A170="","",IFERROR(xlookup(A170,'MONTHLY ANALYSIS'!$A:$A,'MONTHLY ANALYSIS'!$L:$L),0))</f>
        <v/>
      </c>
      <c r="C170" s="204">
        <f>IF(A170="","",IFERROR(xlookup(A170,'MONTHLY ANALYSIS'!$A:$A,'MONTHLY ANALYSIS'!$L:$L),0))</f>
        <v/>
      </c>
      <c r="D170" s="205">
        <f>IF(A170="","",IFERROR(xlookup(A170,'MONTHLY ANALYSIS'!$A:$A,'MONTHLY ANALYSIS'!$M:$M),0))</f>
        <v/>
      </c>
      <c r="E170" s="190">
        <f>IF(A170="","",IF(D170&gt;0,"⚑ PAST MIDNIGHT","⚠ PAST 10PM ONLY"))</f>
        <v/>
      </c>
      <c r="F170" s="170">
        <f>IF(A170="","",IFERROR(xlookup(A170,'FLEET REGISTER'!$B:$B,'FLEET REGISTER'!$F:$F),"Unknown"))</f>
        <v/>
      </c>
      <c r="G170" s="200" t="n"/>
      <c r="H170" s="200" t="n"/>
      <c r="I170" s="200" t="n"/>
      <c r="J170" s="200" t="n"/>
      <c r="K170" s="200" t="n"/>
      <c r="L170" s="200" t="n"/>
    </row>
    <row r="171" ht="15" customHeight="1" s="122">
      <c r="A171" s="197">
        <f>IF(A170="","","")</f>
        <v/>
      </c>
      <c r="B171" s="197">
        <f>IF(A171="","",IFERROR(xlookup(A171,'MONTHLY ANALYSIS'!$A:$A,'MONTHLY ANALYSIS'!$L:$L),0))</f>
        <v/>
      </c>
      <c r="C171" s="204">
        <f>IF(A171="","",IFERROR(xlookup(A171,'MONTHLY ANALYSIS'!$A:$A,'MONTHLY ANALYSIS'!$L:$L),0))</f>
        <v/>
      </c>
      <c r="D171" s="205">
        <f>IF(A171="","",IFERROR(xlookup(A171,'MONTHLY ANALYSIS'!$A:$A,'MONTHLY ANALYSIS'!$M:$M),0))</f>
        <v/>
      </c>
      <c r="E171" s="190">
        <f>IF(A171="","",IF(D171&gt;0,"⚑ PAST MIDNIGHT","⚠ PAST 10PM ONLY"))</f>
        <v/>
      </c>
      <c r="F171" s="170">
        <f>IF(A171="","",IFERROR(xlookup(A171,'FLEET REGISTER'!$B:$B,'FLEET REGISTER'!$F:$F),"Unknown"))</f>
        <v/>
      </c>
      <c r="G171" s="200" t="n"/>
      <c r="H171" s="200" t="n"/>
      <c r="I171" s="200" t="n"/>
      <c r="J171" s="200" t="n"/>
      <c r="K171" s="200" t="n"/>
      <c r="L171" s="200" t="n"/>
    </row>
    <row r="172" ht="15" customHeight="1" s="122">
      <c r="A172" s="197">
        <f>IF(A171="","","")</f>
        <v/>
      </c>
      <c r="B172" s="197">
        <f>IF(A172="","",IFERROR(xlookup(A172,'MONTHLY ANALYSIS'!$A:$A,'MONTHLY ANALYSIS'!$L:$L),0))</f>
        <v/>
      </c>
      <c r="C172" s="204">
        <f>IF(A172="","",IFERROR(xlookup(A172,'MONTHLY ANALYSIS'!$A:$A,'MONTHLY ANALYSIS'!$L:$L),0))</f>
        <v/>
      </c>
      <c r="D172" s="205">
        <f>IF(A172="","",IFERROR(xlookup(A172,'MONTHLY ANALYSIS'!$A:$A,'MONTHLY ANALYSIS'!$M:$M),0))</f>
        <v/>
      </c>
      <c r="E172" s="190">
        <f>IF(A172="","",IF(D172&gt;0,"⚑ PAST MIDNIGHT","⚠ PAST 10PM ONLY"))</f>
        <v/>
      </c>
      <c r="F172" s="170">
        <f>IF(A172="","",IFERROR(xlookup(A172,'FLEET REGISTER'!$B:$B,'FLEET REGISTER'!$F:$F),"Unknown"))</f>
        <v/>
      </c>
      <c r="G172" s="200" t="n"/>
      <c r="H172" s="200" t="n"/>
      <c r="I172" s="200" t="n"/>
      <c r="J172" s="200" t="n"/>
      <c r="K172" s="200" t="n"/>
      <c r="L172" s="200" t="n"/>
    </row>
    <row r="173" ht="15" customHeight="1" s="122">
      <c r="A173" s="197">
        <f>IF(A172="","","")</f>
        <v/>
      </c>
      <c r="B173" s="197">
        <f>IF(A173="","",IFERROR(xlookup(A173,'MONTHLY ANALYSIS'!$A:$A,'MONTHLY ANALYSIS'!$L:$L),0))</f>
        <v/>
      </c>
      <c r="C173" s="204">
        <f>IF(A173="","",IFERROR(xlookup(A173,'MONTHLY ANALYSIS'!$A:$A,'MONTHLY ANALYSIS'!$L:$L),0))</f>
        <v/>
      </c>
      <c r="D173" s="205">
        <f>IF(A173="","",IFERROR(xlookup(A173,'MONTHLY ANALYSIS'!$A:$A,'MONTHLY ANALYSIS'!$M:$M),0))</f>
        <v/>
      </c>
      <c r="E173" s="190">
        <f>IF(A173="","",IF(D173&gt;0,"⚑ PAST MIDNIGHT","⚠ PAST 10PM ONLY"))</f>
        <v/>
      </c>
      <c r="F173" s="170">
        <f>IF(A173="","",IFERROR(xlookup(A173,'FLEET REGISTER'!$B:$B,'FLEET REGISTER'!$F:$F),"Unknown"))</f>
        <v/>
      </c>
      <c r="G173" s="200" t="n"/>
      <c r="H173" s="200" t="n"/>
      <c r="I173" s="200" t="n"/>
      <c r="J173" s="200" t="n"/>
      <c r="K173" s="200" t="n"/>
      <c r="L173" s="200" t="n"/>
    </row>
    <row r="174" ht="15" customHeight="1" s="122">
      <c r="A174" s="197">
        <f>IF(A173="","","")</f>
        <v/>
      </c>
      <c r="B174" s="197">
        <f>IF(A174="","",IFERROR(xlookup(A174,'MONTHLY ANALYSIS'!$A:$A,'MONTHLY ANALYSIS'!$L:$L),0))</f>
        <v/>
      </c>
      <c r="C174" s="204">
        <f>IF(A174="","",IFERROR(xlookup(A174,'MONTHLY ANALYSIS'!$A:$A,'MONTHLY ANALYSIS'!$L:$L),0))</f>
        <v/>
      </c>
      <c r="D174" s="205">
        <f>IF(A174="","",IFERROR(xlookup(A174,'MONTHLY ANALYSIS'!$A:$A,'MONTHLY ANALYSIS'!$M:$M),0))</f>
        <v/>
      </c>
      <c r="E174" s="190">
        <f>IF(A174="","",IF(D174&gt;0,"⚑ PAST MIDNIGHT","⚠ PAST 10PM ONLY"))</f>
        <v/>
      </c>
      <c r="F174" s="170">
        <f>IF(A174="","",IFERROR(xlookup(A174,'FLEET REGISTER'!$B:$B,'FLEET REGISTER'!$F:$F),"Unknown"))</f>
        <v/>
      </c>
      <c r="G174" s="200" t="n"/>
      <c r="H174" s="200" t="n"/>
      <c r="I174" s="200" t="n"/>
      <c r="J174" s="200" t="n"/>
      <c r="K174" s="200" t="n"/>
      <c r="L174" s="200" t="n"/>
    </row>
    <row r="175" ht="15" customHeight="1" s="122">
      <c r="A175" s="197">
        <f>IF(A174="","","")</f>
        <v/>
      </c>
      <c r="B175" s="197">
        <f>IF(A175="","",IFERROR(xlookup(A175,'MONTHLY ANALYSIS'!$A:$A,'MONTHLY ANALYSIS'!$L:$L),0))</f>
        <v/>
      </c>
      <c r="C175" s="204">
        <f>IF(A175="","",IFERROR(xlookup(A175,'MONTHLY ANALYSIS'!$A:$A,'MONTHLY ANALYSIS'!$L:$L),0))</f>
        <v/>
      </c>
      <c r="D175" s="205">
        <f>IF(A175="","",IFERROR(xlookup(A175,'MONTHLY ANALYSIS'!$A:$A,'MONTHLY ANALYSIS'!$M:$M),0))</f>
        <v/>
      </c>
      <c r="E175" s="190">
        <f>IF(A175="","",IF(D175&gt;0,"⚑ PAST MIDNIGHT","⚠ PAST 10PM ONLY"))</f>
        <v/>
      </c>
      <c r="F175" s="170">
        <f>IF(A175="","",IFERROR(xlookup(A175,'FLEET REGISTER'!$B:$B,'FLEET REGISTER'!$F:$F),"Unknown"))</f>
        <v/>
      </c>
      <c r="G175" s="200" t="n"/>
      <c r="H175" s="200" t="n"/>
      <c r="I175" s="200" t="n"/>
      <c r="J175" s="200" t="n"/>
      <c r="K175" s="200" t="n"/>
      <c r="L175" s="200" t="n"/>
    </row>
    <row r="176" ht="15" customHeight="1" s="122">
      <c r="A176" s="197">
        <f>IF(A175="","","")</f>
        <v/>
      </c>
      <c r="B176" s="197">
        <f>IF(A176="","",IFERROR(xlookup(A176,'MONTHLY ANALYSIS'!$A:$A,'MONTHLY ANALYSIS'!$L:$L),0))</f>
        <v/>
      </c>
      <c r="C176" s="204">
        <f>IF(A176="","",IFERROR(xlookup(A176,'MONTHLY ANALYSIS'!$A:$A,'MONTHLY ANALYSIS'!$L:$L),0))</f>
        <v/>
      </c>
      <c r="D176" s="205">
        <f>IF(A176="","",IFERROR(xlookup(A176,'MONTHLY ANALYSIS'!$A:$A,'MONTHLY ANALYSIS'!$M:$M),0))</f>
        <v/>
      </c>
      <c r="E176" s="190">
        <f>IF(A176="","",IF(D176&gt;0,"⚑ PAST MIDNIGHT","⚠ PAST 10PM ONLY"))</f>
        <v/>
      </c>
      <c r="F176" s="170">
        <f>IF(A176="","",IFERROR(xlookup(A176,'FLEET REGISTER'!$B:$B,'FLEET REGISTER'!$F:$F),"Unknown"))</f>
        <v/>
      </c>
      <c r="G176" s="200" t="n"/>
      <c r="H176" s="200" t="n"/>
      <c r="I176" s="200" t="n"/>
      <c r="J176" s="200" t="n"/>
      <c r="K176" s="200" t="n"/>
      <c r="L176" s="200" t="n"/>
    </row>
    <row r="177" ht="15" customHeight="1" s="122">
      <c r="A177" s="197">
        <f>IF(A176="","","")</f>
        <v/>
      </c>
      <c r="B177" s="197">
        <f>IF(A177="","",IFERROR(xlookup(A177,'MONTHLY ANALYSIS'!$A:$A,'MONTHLY ANALYSIS'!$L:$L),0))</f>
        <v/>
      </c>
      <c r="C177" s="204">
        <f>IF(A177="","",IFERROR(xlookup(A177,'MONTHLY ANALYSIS'!$A:$A,'MONTHLY ANALYSIS'!$L:$L),0))</f>
        <v/>
      </c>
      <c r="D177" s="205">
        <f>IF(A177="","",IFERROR(xlookup(A177,'MONTHLY ANALYSIS'!$A:$A,'MONTHLY ANALYSIS'!$M:$M),0))</f>
        <v/>
      </c>
      <c r="E177" s="190">
        <f>IF(A177="","",IF(D177&gt;0,"⚑ PAST MIDNIGHT","⚠ PAST 10PM ONLY"))</f>
        <v/>
      </c>
      <c r="F177" s="170">
        <f>IF(A177="","",IFERROR(xlookup(A177,'FLEET REGISTER'!$B:$B,'FLEET REGISTER'!$F:$F),"Unknown"))</f>
        <v/>
      </c>
      <c r="G177" s="200" t="n"/>
      <c r="H177" s="200" t="n"/>
      <c r="I177" s="200" t="n"/>
      <c r="J177" s="200" t="n"/>
      <c r="K177" s="200" t="n"/>
      <c r="L177" s="200" t="n"/>
    </row>
    <row r="178" ht="15" customHeight="1" s="122">
      <c r="A178" s="197">
        <f>IF(A177="","","")</f>
        <v/>
      </c>
      <c r="B178" s="197">
        <f>IF(A178="","",IFERROR(xlookup(A178,'MONTHLY ANALYSIS'!$A:$A,'MONTHLY ANALYSIS'!$L:$L),0))</f>
        <v/>
      </c>
      <c r="C178" s="204">
        <f>IF(A178="","",IFERROR(xlookup(A178,'MONTHLY ANALYSIS'!$A:$A,'MONTHLY ANALYSIS'!$L:$L),0))</f>
        <v/>
      </c>
      <c r="D178" s="205">
        <f>IF(A178="","",IFERROR(xlookup(A178,'MONTHLY ANALYSIS'!$A:$A,'MONTHLY ANALYSIS'!$M:$M),0))</f>
        <v/>
      </c>
      <c r="E178" s="190">
        <f>IF(A178="","",IF(D178&gt;0,"⚑ PAST MIDNIGHT","⚠ PAST 10PM ONLY"))</f>
        <v/>
      </c>
      <c r="F178" s="170">
        <f>IF(A178="","",IFERROR(xlookup(A178,'FLEET REGISTER'!$B:$B,'FLEET REGISTER'!$F:$F),"Unknown"))</f>
        <v/>
      </c>
      <c r="G178" s="200" t="n"/>
      <c r="H178" s="200" t="n"/>
      <c r="I178" s="200" t="n"/>
      <c r="J178" s="200" t="n"/>
      <c r="K178" s="200" t="n"/>
      <c r="L178" s="200" t="n"/>
    </row>
    <row r="179" ht="15" customHeight="1" s="122">
      <c r="A179" s="197">
        <f>IF(A178="","","")</f>
        <v/>
      </c>
      <c r="B179" s="197">
        <f>IF(A179="","",IFERROR(xlookup(A179,'MONTHLY ANALYSIS'!$A:$A,'MONTHLY ANALYSIS'!$L:$L),0))</f>
        <v/>
      </c>
      <c r="C179" s="204">
        <f>IF(A179="","",IFERROR(xlookup(A179,'MONTHLY ANALYSIS'!$A:$A,'MONTHLY ANALYSIS'!$L:$L),0))</f>
        <v/>
      </c>
      <c r="D179" s="205">
        <f>IF(A179="","",IFERROR(xlookup(A179,'MONTHLY ANALYSIS'!$A:$A,'MONTHLY ANALYSIS'!$M:$M),0))</f>
        <v/>
      </c>
      <c r="E179" s="190">
        <f>IF(A179="","",IF(D179&gt;0,"⚑ PAST MIDNIGHT","⚠ PAST 10PM ONLY"))</f>
        <v/>
      </c>
      <c r="F179" s="170">
        <f>IF(A179="","",IFERROR(xlookup(A179,'FLEET REGISTER'!$B:$B,'FLEET REGISTER'!$F:$F),"Unknown"))</f>
        <v/>
      </c>
      <c r="G179" s="200" t="n"/>
      <c r="H179" s="200" t="n"/>
      <c r="I179" s="200" t="n"/>
      <c r="J179" s="200" t="n"/>
      <c r="K179" s="200" t="n"/>
      <c r="L179" s="200" t="n"/>
    </row>
    <row r="180" ht="15" customHeight="1" s="122">
      <c r="A180" s="197">
        <f>IF(A179="","","")</f>
        <v/>
      </c>
      <c r="B180" s="197">
        <f>IF(A180="","",IFERROR(xlookup(A180,'MONTHLY ANALYSIS'!$A:$A,'MONTHLY ANALYSIS'!$L:$L),0))</f>
        <v/>
      </c>
      <c r="C180" s="204">
        <f>IF(A180="","",IFERROR(xlookup(A180,'MONTHLY ANALYSIS'!$A:$A,'MONTHLY ANALYSIS'!$L:$L),0))</f>
        <v/>
      </c>
      <c r="D180" s="205">
        <f>IF(A180="","",IFERROR(xlookup(A180,'MONTHLY ANALYSIS'!$A:$A,'MONTHLY ANALYSIS'!$M:$M),0))</f>
        <v/>
      </c>
      <c r="E180" s="190">
        <f>IF(A180="","",IF(D180&gt;0,"⚑ PAST MIDNIGHT","⚠ PAST 10PM ONLY"))</f>
        <v/>
      </c>
      <c r="F180" s="170">
        <f>IF(A180="","",IFERROR(xlookup(A180,'FLEET REGISTER'!$B:$B,'FLEET REGISTER'!$F:$F),"Unknown"))</f>
        <v/>
      </c>
      <c r="G180" s="200" t="n"/>
      <c r="H180" s="200" t="n"/>
      <c r="I180" s="200" t="n"/>
      <c r="J180" s="200" t="n"/>
      <c r="K180" s="200" t="n"/>
      <c r="L180" s="200" t="n"/>
    </row>
    <row r="181" ht="15" customHeight="1" s="122">
      <c r="A181" s="197">
        <f>IF(A180="","","")</f>
        <v/>
      </c>
      <c r="B181" s="197">
        <f>IF(A181="","",IFERROR(xlookup(A181,'MONTHLY ANALYSIS'!$A:$A,'MONTHLY ANALYSIS'!$L:$L),0))</f>
        <v/>
      </c>
      <c r="C181" s="204">
        <f>IF(A181="","",IFERROR(xlookup(A181,'MONTHLY ANALYSIS'!$A:$A,'MONTHLY ANALYSIS'!$L:$L),0))</f>
        <v/>
      </c>
      <c r="D181" s="205">
        <f>IF(A181="","",IFERROR(xlookup(A181,'MONTHLY ANALYSIS'!$A:$A,'MONTHLY ANALYSIS'!$M:$M),0))</f>
        <v/>
      </c>
      <c r="E181" s="190">
        <f>IF(A181="","",IF(D181&gt;0,"⚑ PAST MIDNIGHT","⚠ PAST 10PM ONLY"))</f>
        <v/>
      </c>
      <c r="F181" s="170">
        <f>IF(A181="","",IFERROR(xlookup(A181,'FLEET REGISTER'!$B:$B,'FLEET REGISTER'!$F:$F),"Unknown"))</f>
        <v/>
      </c>
      <c r="G181" s="200" t="n"/>
      <c r="H181" s="200" t="n"/>
      <c r="I181" s="200" t="n"/>
      <c r="J181" s="200" t="n"/>
      <c r="K181" s="200" t="n"/>
      <c r="L181" s="200" t="n"/>
    </row>
    <row r="182" ht="15" customHeight="1" s="122">
      <c r="A182" s="197">
        <f>IF(A181="","","")</f>
        <v/>
      </c>
      <c r="B182" s="197">
        <f>IF(A182="","",IFERROR(xlookup(A182,'MONTHLY ANALYSIS'!$A:$A,'MONTHLY ANALYSIS'!$L:$L),0))</f>
        <v/>
      </c>
      <c r="C182" s="204">
        <f>IF(A182="","",IFERROR(xlookup(A182,'MONTHLY ANALYSIS'!$A:$A,'MONTHLY ANALYSIS'!$L:$L),0))</f>
        <v/>
      </c>
      <c r="D182" s="205">
        <f>IF(A182="","",IFERROR(xlookup(A182,'MONTHLY ANALYSIS'!$A:$A,'MONTHLY ANALYSIS'!$M:$M),0))</f>
        <v/>
      </c>
      <c r="E182" s="190">
        <f>IF(A182="","",IF(D182&gt;0,"⚑ PAST MIDNIGHT","⚠ PAST 10PM ONLY"))</f>
        <v/>
      </c>
      <c r="F182" s="170">
        <f>IF(A182="","",IFERROR(xlookup(A182,'FLEET REGISTER'!$B:$B,'FLEET REGISTER'!$F:$F),"Unknown"))</f>
        <v/>
      </c>
      <c r="G182" s="200" t="n"/>
      <c r="H182" s="200" t="n"/>
      <c r="I182" s="200" t="n"/>
      <c r="J182" s="200" t="n"/>
      <c r="K182" s="200" t="n"/>
      <c r="L182" s="200" t="n"/>
    </row>
    <row r="183" ht="15" customHeight="1" s="122">
      <c r="A183" s="197">
        <f>IF(A182="","","")</f>
        <v/>
      </c>
      <c r="B183" s="197">
        <f>IF(A183="","",IFERROR(xlookup(A183,'MONTHLY ANALYSIS'!$A:$A,'MONTHLY ANALYSIS'!$L:$L),0))</f>
        <v/>
      </c>
      <c r="C183" s="204">
        <f>IF(A183="","",IFERROR(xlookup(A183,'MONTHLY ANALYSIS'!$A:$A,'MONTHLY ANALYSIS'!$L:$L),0))</f>
        <v/>
      </c>
      <c r="D183" s="205">
        <f>IF(A183="","",IFERROR(xlookup(A183,'MONTHLY ANALYSIS'!$A:$A,'MONTHLY ANALYSIS'!$M:$M),0))</f>
        <v/>
      </c>
      <c r="E183" s="190">
        <f>IF(A183="","",IF(D183&gt;0,"⚑ PAST MIDNIGHT","⚠ PAST 10PM ONLY"))</f>
        <v/>
      </c>
      <c r="F183" s="170">
        <f>IF(A183="","",IFERROR(xlookup(A183,'FLEET REGISTER'!$B:$B,'FLEET REGISTER'!$F:$F),"Unknown"))</f>
        <v/>
      </c>
      <c r="G183" s="200" t="n"/>
      <c r="H183" s="200" t="n"/>
      <c r="I183" s="200" t="n"/>
      <c r="J183" s="200" t="n"/>
      <c r="K183" s="200" t="n"/>
      <c r="L183" s="200" t="n"/>
    </row>
    <row r="184" ht="15" customHeight="1" s="122">
      <c r="A184" s="197">
        <f>IF(A183="","","")</f>
        <v/>
      </c>
      <c r="B184" s="197">
        <f>IF(A184="","",IFERROR(xlookup(A184,'MONTHLY ANALYSIS'!$A:$A,'MONTHLY ANALYSIS'!$L:$L),0))</f>
        <v/>
      </c>
      <c r="C184" s="204">
        <f>IF(A184="","",IFERROR(xlookup(A184,'MONTHLY ANALYSIS'!$A:$A,'MONTHLY ANALYSIS'!$L:$L),0))</f>
        <v/>
      </c>
      <c r="D184" s="205">
        <f>IF(A184="","",IFERROR(xlookup(A184,'MONTHLY ANALYSIS'!$A:$A,'MONTHLY ANALYSIS'!$M:$M),0))</f>
        <v/>
      </c>
      <c r="E184" s="190">
        <f>IF(A184="","",IF(D184&gt;0,"⚑ PAST MIDNIGHT","⚠ PAST 10PM ONLY"))</f>
        <v/>
      </c>
      <c r="F184" s="170">
        <f>IF(A184="","",IFERROR(xlookup(A184,'FLEET REGISTER'!$B:$B,'FLEET REGISTER'!$F:$F),"Unknown"))</f>
        <v/>
      </c>
      <c r="G184" s="200" t="n"/>
      <c r="H184" s="200" t="n"/>
      <c r="I184" s="200" t="n"/>
      <c r="J184" s="200" t="n"/>
      <c r="K184" s="200" t="n"/>
      <c r="L184" s="200" t="n"/>
    </row>
    <row r="185" ht="15" customHeight="1" s="122">
      <c r="A185" s="197">
        <f>IF(A184="","","")</f>
        <v/>
      </c>
      <c r="B185" s="197">
        <f>IF(A185="","",IFERROR(xlookup(A185,'MONTHLY ANALYSIS'!$A:$A,'MONTHLY ANALYSIS'!$L:$L),0))</f>
        <v/>
      </c>
      <c r="C185" s="204">
        <f>IF(A185="","",IFERROR(xlookup(A185,'MONTHLY ANALYSIS'!$A:$A,'MONTHLY ANALYSIS'!$L:$L),0))</f>
        <v/>
      </c>
      <c r="D185" s="205">
        <f>IF(A185="","",IFERROR(xlookup(A185,'MONTHLY ANALYSIS'!$A:$A,'MONTHLY ANALYSIS'!$M:$M),0))</f>
        <v/>
      </c>
      <c r="E185" s="190">
        <f>IF(A185="","",IF(D185&gt;0,"⚑ PAST MIDNIGHT","⚠ PAST 10PM ONLY"))</f>
        <v/>
      </c>
      <c r="F185" s="170">
        <f>IF(A185="","",IFERROR(xlookup(A185,'FLEET REGISTER'!$B:$B,'FLEET REGISTER'!$F:$F),"Unknown"))</f>
        <v/>
      </c>
      <c r="G185" s="200" t="n"/>
      <c r="H185" s="200" t="n"/>
      <c r="I185" s="200" t="n"/>
      <c r="J185" s="200" t="n"/>
      <c r="K185" s="200" t="n"/>
      <c r="L185" s="200" t="n"/>
    </row>
    <row r="186" ht="15" customHeight="1" s="122">
      <c r="A186" s="197">
        <f>IF(A185="","","")</f>
        <v/>
      </c>
      <c r="B186" s="197">
        <f>IF(A186="","",IFERROR(xlookup(A186,'MONTHLY ANALYSIS'!$A:$A,'MONTHLY ANALYSIS'!$L:$L),0))</f>
        <v/>
      </c>
      <c r="C186" s="204">
        <f>IF(A186="","",IFERROR(xlookup(A186,'MONTHLY ANALYSIS'!$A:$A,'MONTHLY ANALYSIS'!$L:$L),0))</f>
        <v/>
      </c>
      <c r="D186" s="205">
        <f>IF(A186="","",IFERROR(xlookup(A186,'MONTHLY ANALYSIS'!$A:$A,'MONTHLY ANALYSIS'!$M:$M),0))</f>
        <v/>
      </c>
      <c r="E186" s="190">
        <f>IF(A186="","",IF(D186&gt;0,"⚑ PAST MIDNIGHT","⚠ PAST 10PM ONLY"))</f>
        <v/>
      </c>
      <c r="F186" s="170">
        <f>IF(A186="","",IFERROR(xlookup(A186,'FLEET REGISTER'!$B:$B,'FLEET REGISTER'!$F:$F),"Unknown"))</f>
        <v/>
      </c>
      <c r="G186" s="200" t="n"/>
      <c r="H186" s="200" t="n"/>
      <c r="I186" s="200" t="n"/>
      <c r="J186" s="200" t="n"/>
      <c r="K186" s="200" t="n"/>
      <c r="L186" s="200" t="n"/>
    </row>
    <row r="187" ht="15" customHeight="1" s="122">
      <c r="A187" s="197">
        <f>IF(A186="","","")</f>
        <v/>
      </c>
      <c r="B187" s="197">
        <f>IF(A187="","",IFERROR(xlookup(A187,'MONTHLY ANALYSIS'!$A:$A,'MONTHLY ANALYSIS'!$L:$L),0))</f>
        <v/>
      </c>
      <c r="C187" s="204">
        <f>IF(A187="","",IFERROR(xlookup(A187,'MONTHLY ANALYSIS'!$A:$A,'MONTHLY ANALYSIS'!$L:$L),0))</f>
        <v/>
      </c>
      <c r="D187" s="205">
        <f>IF(A187="","",IFERROR(xlookup(A187,'MONTHLY ANALYSIS'!$A:$A,'MONTHLY ANALYSIS'!$M:$M),0))</f>
        <v/>
      </c>
      <c r="E187" s="190">
        <f>IF(A187="","",IF(D187&gt;0,"⚑ PAST MIDNIGHT","⚠ PAST 10PM ONLY"))</f>
        <v/>
      </c>
      <c r="F187" s="170">
        <f>IF(A187="","",IFERROR(xlookup(A187,'FLEET REGISTER'!$B:$B,'FLEET REGISTER'!$F:$F),"Unknown"))</f>
        <v/>
      </c>
      <c r="G187" s="200" t="n"/>
      <c r="H187" s="200" t="n"/>
      <c r="I187" s="200" t="n"/>
      <c r="J187" s="200" t="n"/>
      <c r="K187" s="200" t="n"/>
      <c r="L187" s="200" t="n"/>
    </row>
    <row r="188" ht="15" customHeight="1" s="122">
      <c r="A188" s="197">
        <f>IF(A187="","","")</f>
        <v/>
      </c>
      <c r="B188" s="197">
        <f>IF(A188="","",IFERROR(xlookup(A188,'MONTHLY ANALYSIS'!$A:$A,'MONTHLY ANALYSIS'!$L:$L),0))</f>
        <v/>
      </c>
      <c r="C188" s="204">
        <f>IF(A188="","",IFERROR(xlookup(A188,'MONTHLY ANALYSIS'!$A:$A,'MONTHLY ANALYSIS'!$L:$L),0))</f>
        <v/>
      </c>
      <c r="D188" s="205">
        <f>IF(A188="","",IFERROR(xlookup(A188,'MONTHLY ANALYSIS'!$A:$A,'MONTHLY ANALYSIS'!$M:$M),0))</f>
        <v/>
      </c>
      <c r="E188" s="190">
        <f>IF(A188="","",IF(D188&gt;0,"⚑ PAST MIDNIGHT","⚠ PAST 10PM ONLY"))</f>
        <v/>
      </c>
      <c r="F188" s="170">
        <f>IF(A188="","",IFERROR(xlookup(A188,'FLEET REGISTER'!$B:$B,'FLEET REGISTER'!$F:$F),"Unknown"))</f>
        <v/>
      </c>
      <c r="G188" s="200" t="n"/>
      <c r="H188" s="200" t="n"/>
      <c r="I188" s="200" t="n"/>
      <c r="J188" s="200" t="n"/>
      <c r="K188" s="200" t="n"/>
      <c r="L188" s="200" t="n"/>
    </row>
    <row r="189" ht="15" customHeight="1" s="122">
      <c r="A189" s="197">
        <f>IF(A188="","","")</f>
        <v/>
      </c>
      <c r="B189" s="197">
        <f>IF(A189="","",IFERROR(xlookup(A189,'MONTHLY ANALYSIS'!$A:$A,'MONTHLY ANALYSIS'!$L:$L),0))</f>
        <v/>
      </c>
      <c r="C189" s="204">
        <f>IF(A189="","",IFERROR(xlookup(A189,'MONTHLY ANALYSIS'!$A:$A,'MONTHLY ANALYSIS'!$L:$L),0))</f>
        <v/>
      </c>
      <c r="D189" s="205">
        <f>IF(A189="","",IFERROR(xlookup(A189,'MONTHLY ANALYSIS'!$A:$A,'MONTHLY ANALYSIS'!$M:$M),0))</f>
        <v/>
      </c>
      <c r="E189" s="190">
        <f>IF(A189="","",IF(D189&gt;0,"⚑ PAST MIDNIGHT","⚠ PAST 10PM ONLY"))</f>
        <v/>
      </c>
      <c r="F189" s="170">
        <f>IF(A189="","",IFERROR(xlookup(A189,'FLEET REGISTER'!$B:$B,'FLEET REGISTER'!$F:$F),"Unknown"))</f>
        <v/>
      </c>
      <c r="G189" s="200" t="n"/>
      <c r="H189" s="200" t="n"/>
      <c r="I189" s="200" t="n"/>
      <c r="J189" s="200" t="n"/>
      <c r="K189" s="200" t="n"/>
      <c r="L189" s="200" t="n"/>
    </row>
    <row r="190" ht="15" customHeight="1" s="122">
      <c r="A190" s="197">
        <f>IF(A189="","","")</f>
        <v/>
      </c>
      <c r="B190" s="197">
        <f>IF(A190="","",IFERROR(xlookup(A190,'MONTHLY ANALYSIS'!$A:$A,'MONTHLY ANALYSIS'!$L:$L),0))</f>
        <v/>
      </c>
      <c r="C190" s="204">
        <f>IF(A190="","",IFERROR(xlookup(A190,'MONTHLY ANALYSIS'!$A:$A,'MONTHLY ANALYSIS'!$L:$L),0))</f>
        <v/>
      </c>
      <c r="D190" s="205">
        <f>IF(A190="","",IFERROR(xlookup(A190,'MONTHLY ANALYSIS'!$A:$A,'MONTHLY ANALYSIS'!$M:$M),0))</f>
        <v/>
      </c>
      <c r="E190" s="190">
        <f>IF(A190="","",IF(D190&gt;0,"⚑ PAST MIDNIGHT","⚠ PAST 10PM ONLY"))</f>
        <v/>
      </c>
      <c r="F190" s="170">
        <f>IF(A190="","",IFERROR(xlookup(A190,'FLEET REGISTER'!$B:$B,'FLEET REGISTER'!$F:$F),"Unknown"))</f>
        <v/>
      </c>
      <c r="G190" s="200" t="n"/>
      <c r="H190" s="200" t="n"/>
      <c r="I190" s="200" t="n"/>
      <c r="J190" s="200" t="n"/>
      <c r="K190" s="200" t="n"/>
      <c r="L190" s="200" t="n"/>
    </row>
    <row r="191" ht="15" customHeight="1" s="122">
      <c r="A191" s="197">
        <f>IF(A190="","","")</f>
        <v/>
      </c>
      <c r="B191" s="197">
        <f>IF(A191="","",IFERROR(xlookup(A191,'MONTHLY ANALYSIS'!$A:$A,'MONTHLY ANALYSIS'!$L:$L),0))</f>
        <v/>
      </c>
      <c r="C191" s="204">
        <f>IF(A191="","",IFERROR(xlookup(A191,'MONTHLY ANALYSIS'!$A:$A,'MONTHLY ANALYSIS'!$L:$L),0))</f>
        <v/>
      </c>
      <c r="D191" s="205">
        <f>IF(A191="","",IFERROR(xlookup(A191,'MONTHLY ANALYSIS'!$A:$A,'MONTHLY ANALYSIS'!$M:$M),0))</f>
        <v/>
      </c>
      <c r="E191" s="190">
        <f>IF(A191="","",IF(D191&gt;0,"⚑ PAST MIDNIGHT","⚠ PAST 10PM ONLY"))</f>
        <v/>
      </c>
      <c r="F191" s="170">
        <f>IF(A191="","",IFERROR(xlookup(A191,'FLEET REGISTER'!$B:$B,'FLEET REGISTER'!$F:$F),"Unknown"))</f>
        <v/>
      </c>
      <c r="G191" s="200" t="n"/>
      <c r="H191" s="200" t="n"/>
      <c r="I191" s="200" t="n"/>
      <c r="J191" s="200" t="n"/>
      <c r="K191" s="200" t="n"/>
      <c r="L191" s="200" t="n"/>
    </row>
    <row r="192" ht="15" customHeight="1" s="122">
      <c r="A192" s="197">
        <f>IF(A191="","","")</f>
        <v/>
      </c>
      <c r="B192" s="197">
        <f>IF(A192="","",IFERROR(xlookup(A192,'MONTHLY ANALYSIS'!$A:$A,'MONTHLY ANALYSIS'!$L:$L),0))</f>
        <v/>
      </c>
      <c r="C192" s="204">
        <f>IF(A192="","",IFERROR(xlookup(A192,'MONTHLY ANALYSIS'!$A:$A,'MONTHLY ANALYSIS'!$L:$L),0))</f>
        <v/>
      </c>
      <c r="D192" s="205">
        <f>IF(A192="","",IFERROR(xlookup(A192,'MONTHLY ANALYSIS'!$A:$A,'MONTHLY ANALYSIS'!$M:$M),0))</f>
        <v/>
      </c>
      <c r="E192" s="190">
        <f>IF(A192="","",IF(D192&gt;0,"⚑ PAST MIDNIGHT","⚠ PAST 10PM ONLY"))</f>
        <v/>
      </c>
      <c r="F192" s="170">
        <f>IF(A192="","",IFERROR(xlookup(A192,'FLEET REGISTER'!$B:$B,'FLEET REGISTER'!$F:$F),"Unknown"))</f>
        <v/>
      </c>
      <c r="G192" s="200" t="n"/>
      <c r="H192" s="200" t="n"/>
      <c r="I192" s="200" t="n"/>
      <c r="J192" s="200" t="n"/>
      <c r="K192" s="200" t="n"/>
      <c r="L192" s="200" t="n"/>
    </row>
    <row r="193" ht="15" customHeight="1" s="122">
      <c r="A193" s="197">
        <f>IF(A192="","","")</f>
        <v/>
      </c>
      <c r="B193" s="197">
        <f>IF(A193="","",IFERROR(xlookup(A193,'MONTHLY ANALYSIS'!$A:$A,'MONTHLY ANALYSIS'!$L:$L),0))</f>
        <v/>
      </c>
      <c r="C193" s="204">
        <f>IF(A193="","",IFERROR(xlookup(A193,'MONTHLY ANALYSIS'!$A:$A,'MONTHLY ANALYSIS'!$L:$L),0))</f>
        <v/>
      </c>
      <c r="D193" s="205">
        <f>IF(A193="","",IFERROR(xlookup(A193,'MONTHLY ANALYSIS'!$A:$A,'MONTHLY ANALYSIS'!$M:$M),0))</f>
        <v/>
      </c>
      <c r="E193" s="190">
        <f>IF(A193="","",IF(D193&gt;0,"⚑ PAST MIDNIGHT","⚠ PAST 10PM ONLY"))</f>
        <v/>
      </c>
      <c r="F193" s="170">
        <f>IF(A193="","",IFERROR(xlookup(A193,'FLEET REGISTER'!$B:$B,'FLEET REGISTER'!$F:$F),"Unknown"))</f>
        <v/>
      </c>
      <c r="G193" s="200" t="n"/>
      <c r="H193" s="200" t="n"/>
      <c r="I193" s="200" t="n"/>
      <c r="J193" s="200" t="n"/>
      <c r="K193" s="200" t="n"/>
      <c r="L193" s="200" t="n"/>
    </row>
    <row r="194" ht="15" customHeight="1" s="122">
      <c r="A194" s="197">
        <f>IF(A193="","","")</f>
        <v/>
      </c>
      <c r="B194" s="197">
        <f>IF(A194="","",IFERROR(xlookup(A194,'MONTHLY ANALYSIS'!$A:$A,'MONTHLY ANALYSIS'!$L:$L),0))</f>
        <v/>
      </c>
      <c r="C194" s="204">
        <f>IF(A194="","",IFERROR(xlookup(A194,'MONTHLY ANALYSIS'!$A:$A,'MONTHLY ANALYSIS'!$L:$L),0))</f>
        <v/>
      </c>
      <c r="D194" s="205">
        <f>IF(A194="","",IFERROR(xlookup(A194,'MONTHLY ANALYSIS'!$A:$A,'MONTHLY ANALYSIS'!$M:$M),0))</f>
        <v/>
      </c>
      <c r="E194" s="190">
        <f>IF(A194="","",IF(D194&gt;0,"⚑ PAST MIDNIGHT","⚠ PAST 10PM ONLY"))</f>
        <v/>
      </c>
      <c r="F194" s="170">
        <f>IF(A194="","",IFERROR(xlookup(A194,'FLEET REGISTER'!$B:$B,'FLEET REGISTER'!$F:$F),"Unknown"))</f>
        <v/>
      </c>
      <c r="G194" s="200" t="n"/>
      <c r="H194" s="200" t="n"/>
      <c r="I194" s="200" t="n"/>
      <c r="J194" s="200" t="n"/>
      <c r="K194" s="200" t="n"/>
      <c r="L194" s="200" t="n"/>
    </row>
    <row r="195" ht="15" customHeight="1" s="122">
      <c r="A195" s="197">
        <f>IF(A194="","","")</f>
        <v/>
      </c>
      <c r="B195" s="197">
        <f>IF(A195="","",IFERROR(xlookup(A195,'MONTHLY ANALYSIS'!$A:$A,'MONTHLY ANALYSIS'!$L:$L),0))</f>
        <v/>
      </c>
      <c r="C195" s="204">
        <f>IF(A195="","",IFERROR(xlookup(A195,'MONTHLY ANALYSIS'!$A:$A,'MONTHLY ANALYSIS'!$L:$L),0))</f>
        <v/>
      </c>
      <c r="D195" s="205">
        <f>IF(A195="","",IFERROR(xlookup(A195,'MONTHLY ANALYSIS'!$A:$A,'MONTHLY ANALYSIS'!$M:$M),0))</f>
        <v/>
      </c>
      <c r="E195" s="190">
        <f>IF(A195="","",IF(D195&gt;0,"⚑ PAST MIDNIGHT","⚠ PAST 10PM ONLY"))</f>
        <v/>
      </c>
      <c r="F195" s="170">
        <f>IF(A195="","",IFERROR(xlookup(A195,'FLEET REGISTER'!$B:$B,'FLEET REGISTER'!$F:$F),"Unknown"))</f>
        <v/>
      </c>
      <c r="G195" s="200" t="n"/>
      <c r="H195" s="200" t="n"/>
      <c r="I195" s="200" t="n"/>
      <c r="J195" s="200" t="n"/>
      <c r="K195" s="200" t="n"/>
      <c r="L195" s="200" t="n"/>
    </row>
    <row r="196" ht="15" customHeight="1" s="122">
      <c r="A196" s="197">
        <f>IF(A195="","","")</f>
        <v/>
      </c>
      <c r="B196" s="197">
        <f>IF(A196="","",IFERROR(xlookup(A196,'MONTHLY ANALYSIS'!$A:$A,'MONTHLY ANALYSIS'!$L:$L),0))</f>
        <v/>
      </c>
      <c r="C196" s="204">
        <f>IF(A196="","",IFERROR(xlookup(A196,'MONTHLY ANALYSIS'!$A:$A,'MONTHLY ANALYSIS'!$L:$L),0))</f>
        <v/>
      </c>
      <c r="D196" s="205">
        <f>IF(A196="","",IFERROR(xlookup(A196,'MONTHLY ANALYSIS'!$A:$A,'MONTHLY ANALYSIS'!$M:$M),0))</f>
        <v/>
      </c>
      <c r="E196" s="190">
        <f>IF(A196="","",IF(D196&gt;0,"⚑ PAST MIDNIGHT","⚠ PAST 10PM ONLY"))</f>
        <v/>
      </c>
      <c r="F196" s="170">
        <f>IF(A196="","",IFERROR(xlookup(A196,'FLEET REGISTER'!$B:$B,'FLEET REGISTER'!$F:$F),"Unknown"))</f>
        <v/>
      </c>
      <c r="G196" s="200" t="n"/>
      <c r="H196" s="200" t="n"/>
      <c r="I196" s="200" t="n"/>
      <c r="J196" s="200" t="n"/>
      <c r="K196" s="200" t="n"/>
      <c r="L196" s="200" t="n"/>
    </row>
    <row r="197" ht="15" customHeight="1" s="122">
      <c r="A197" s="197">
        <f>IF(A196="","","")</f>
        <v/>
      </c>
      <c r="B197" s="197">
        <f>IF(A197="","",IFERROR(xlookup(A197,'MONTHLY ANALYSIS'!$A:$A,'MONTHLY ANALYSIS'!$L:$L),0))</f>
        <v/>
      </c>
      <c r="C197" s="204">
        <f>IF(A197="","",IFERROR(xlookup(A197,'MONTHLY ANALYSIS'!$A:$A,'MONTHLY ANALYSIS'!$L:$L),0))</f>
        <v/>
      </c>
      <c r="D197" s="205">
        <f>IF(A197="","",IFERROR(xlookup(A197,'MONTHLY ANALYSIS'!$A:$A,'MONTHLY ANALYSIS'!$M:$M),0))</f>
        <v/>
      </c>
      <c r="E197" s="190">
        <f>IF(A197="","",IF(D197&gt;0,"⚑ PAST MIDNIGHT","⚠ PAST 10PM ONLY"))</f>
        <v/>
      </c>
      <c r="F197" s="170">
        <f>IF(A197="","",IFERROR(xlookup(A197,'FLEET REGISTER'!$B:$B,'FLEET REGISTER'!$F:$F),"Unknown"))</f>
        <v/>
      </c>
      <c r="G197" s="200" t="n"/>
      <c r="H197" s="200" t="n"/>
      <c r="I197" s="200" t="n"/>
      <c r="J197" s="200" t="n"/>
      <c r="K197" s="200" t="n"/>
      <c r="L197" s="200" t="n"/>
    </row>
    <row r="198" ht="15" customHeight="1" s="122">
      <c r="A198" s="197">
        <f>IF(A197="","","")</f>
        <v/>
      </c>
      <c r="B198" s="197">
        <f>IF(A198="","",IFERROR(xlookup(A198,'MONTHLY ANALYSIS'!$A:$A,'MONTHLY ANALYSIS'!$L:$L),0))</f>
        <v/>
      </c>
      <c r="C198" s="204">
        <f>IF(A198="","",IFERROR(xlookup(A198,'MONTHLY ANALYSIS'!$A:$A,'MONTHLY ANALYSIS'!$L:$L),0))</f>
        <v/>
      </c>
      <c r="D198" s="205">
        <f>IF(A198="","",IFERROR(xlookup(A198,'MONTHLY ANALYSIS'!$A:$A,'MONTHLY ANALYSIS'!$M:$M),0))</f>
        <v/>
      </c>
      <c r="E198" s="190">
        <f>IF(A198="","",IF(D198&gt;0,"⚑ PAST MIDNIGHT","⚠ PAST 10PM ONLY"))</f>
        <v/>
      </c>
      <c r="F198" s="170">
        <f>IF(A198="","",IFERROR(xlookup(A198,'FLEET REGISTER'!$B:$B,'FLEET REGISTER'!$F:$F),"Unknown"))</f>
        <v/>
      </c>
      <c r="G198" s="200" t="n"/>
      <c r="H198" s="200" t="n"/>
      <c r="I198" s="200" t="n"/>
      <c r="J198" s="200" t="n"/>
      <c r="K198" s="200" t="n"/>
      <c r="L198" s="200" t="n"/>
    </row>
    <row r="199" ht="15" customHeight="1" s="122">
      <c r="A199" s="197">
        <f>IF(A198="","","")</f>
        <v/>
      </c>
      <c r="B199" s="197">
        <f>IF(A199="","",IFERROR(xlookup(A199,'MONTHLY ANALYSIS'!$A:$A,'MONTHLY ANALYSIS'!$L:$L),0))</f>
        <v/>
      </c>
      <c r="C199" s="204">
        <f>IF(A199="","",IFERROR(xlookup(A199,'MONTHLY ANALYSIS'!$A:$A,'MONTHLY ANALYSIS'!$L:$L),0))</f>
        <v/>
      </c>
      <c r="D199" s="205">
        <f>IF(A199="","",IFERROR(xlookup(A199,'MONTHLY ANALYSIS'!$A:$A,'MONTHLY ANALYSIS'!$M:$M),0))</f>
        <v/>
      </c>
      <c r="E199" s="190">
        <f>IF(A199="","",IF(D199&gt;0,"⚑ PAST MIDNIGHT","⚠ PAST 10PM ONLY"))</f>
        <v/>
      </c>
      <c r="F199" s="170">
        <f>IF(A199="","",IFERROR(xlookup(A199,'FLEET REGISTER'!$B:$B,'FLEET REGISTER'!$F:$F),"Unknown"))</f>
        <v/>
      </c>
      <c r="G199" s="200" t="n"/>
      <c r="H199" s="200" t="n"/>
      <c r="I199" s="200" t="n"/>
      <c r="J199" s="200" t="n"/>
      <c r="K199" s="200" t="n"/>
      <c r="L199" s="200" t="n"/>
    </row>
    <row r="200" ht="15" customHeight="1" s="122">
      <c r="A200" s="197">
        <f>IF(A199="","","")</f>
        <v/>
      </c>
      <c r="B200" s="197">
        <f>IF(A200="","",IFERROR(xlookup(A200,'MONTHLY ANALYSIS'!$A:$A,'MONTHLY ANALYSIS'!$L:$L),0))</f>
        <v/>
      </c>
      <c r="C200" s="204">
        <f>IF(A200="","",IFERROR(xlookup(A200,'MONTHLY ANALYSIS'!$A:$A,'MONTHLY ANALYSIS'!$L:$L),0))</f>
        <v/>
      </c>
      <c r="D200" s="205">
        <f>IF(A200="","",IFERROR(xlookup(A200,'MONTHLY ANALYSIS'!$A:$A,'MONTHLY ANALYSIS'!$M:$M),0))</f>
        <v/>
      </c>
      <c r="E200" s="190">
        <f>IF(A200="","",IF(D200&gt;0,"⚑ PAST MIDNIGHT","⚠ PAST 10PM ONLY"))</f>
        <v/>
      </c>
      <c r="F200" s="170">
        <f>IF(A200="","",IFERROR(xlookup(A200,'FLEET REGISTER'!$B:$B,'FLEET REGISTER'!$F:$F),"Unknown"))</f>
        <v/>
      </c>
      <c r="G200" s="200" t="n"/>
      <c r="H200" s="200" t="n"/>
      <c r="I200" s="200" t="n"/>
      <c r="J200" s="200" t="n"/>
      <c r="K200" s="200" t="n"/>
      <c r="L200" s="200" t="n"/>
    </row>
    <row r="201" ht="15" customHeight="1" s="122">
      <c r="A201" s="197">
        <f>IF(A200="","","")</f>
        <v/>
      </c>
      <c r="B201" s="197">
        <f>IF(A201="","",IFERROR(xlookup(A201,'MONTHLY ANALYSIS'!$A:$A,'MONTHLY ANALYSIS'!$L:$L),0))</f>
        <v/>
      </c>
      <c r="C201" s="204">
        <f>IF(A201="","",IFERROR(xlookup(A201,'MONTHLY ANALYSIS'!$A:$A,'MONTHLY ANALYSIS'!$L:$L),0))</f>
        <v/>
      </c>
      <c r="D201" s="205">
        <f>IF(A201="","",IFERROR(xlookup(A201,'MONTHLY ANALYSIS'!$A:$A,'MONTHLY ANALYSIS'!$M:$M),0))</f>
        <v/>
      </c>
      <c r="E201" s="190">
        <f>IF(A201="","",IF(D201&gt;0,"⚑ PAST MIDNIGHT","⚠ PAST 10PM ONLY"))</f>
        <v/>
      </c>
      <c r="F201" s="170">
        <f>IF(A201="","",IFERROR(xlookup(A201,'FLEET REGISTER'!$B:$B,'FLEET REGISTER'!$F:$F),"Unknown"))</f>
        <v/>
      </c>
      <c r="G201" s="200" t="n"/>
      <c r="H201" s="200" t="n"/>
      <c r="I201" s="200" t="n"/>
      <c r="J201" s="200" t="n"/>
      <c r="K201" s="200" t="n"/>
      <c r="L201" s="200" t="n"/>
    </row>
    <row r="202" ht="15" customHeight="1" s="122">
      <c r="A202" s="197">
        <f>IF(A201="","","")</f>
        <v/>
      </c>
      <c r="B202" s="197">
        <f>IF(A202="","",IFERROR(xlookup(A202,'MONTHLY ANALYSIS'!$A:$A,'MONTHLY ANALYSIS'!$L:$L),0))</f>
        <v/>
      </c>
      <c r="C202" s="204">
        <f>IF(A202="","",IFERROR(xlookup(A202,'MONTHLY ANALYSIS'!$A:$A,'MONTHLY ANALYSIS'!$L:$L),0))</f>
        <v/>
      </c>
      <c r="D202" s="205">
        <f>IF(A202="","",IFERROR(xlookup(A202,'MONTHLY ANALYSIS'!$A:$A,'MONTHLY ANALYSIS'!$M:$M),0))</f>
        <v/>
      </c>
      <c r="E202" s="190">
        <f>IF(A202="","",IF(D202&gt;0,"⚑ PAST MIDNIGHT","⚠ PAST 10PM ONLY"))</f>
        <v/>
      </c>
      <c r="F202" s="170">
        <f>IF(A202="","",IFERROR(xlookup(A202,'FLEET REGISTER'!$B:$B,'FLEET REGISTER'!$F:$F),"Unknown"))</f>
        <v/>
      </c>
      <c r="G202" s="200" t="n"/>
      <c r="H202" s="200" t="n"/>
      <c r="I202" s="200" t="n"/>
      <c r="J202" s="200" t="n"/>
      <c r="K202" s="200" t="n"/>
      <c r="L202" s="200" t="n"/>
    </row>
    <row r="203" ht="15" customHeight="1" s="122">
      <c r="A203" s="197">
        <f>IF(A202="","","")</f>
        <v/>
      </c>
      <c r="B203" s="197">
        <f>IF(A203="","",IFERROR(xlookup(A203,'MONTHLY ANALYSIS'!$A:$A,'MONTHLY ANALYSIS'!$L:$L),0))</f>
        <v/>
      </c>
      <c r="C203" s="204">
        <f>IF(A203="","",IFERROR(xlookup(A203,'MONTHLY ANALYSIS'!$A:$A,'MONTHLY ANALYSIS'!$L:$L),0))</f>
        <v/>
      </c>
      <c r="D203" s="205">
        <f>IF(A203="","",IFERROR(xlookup(A203,'MONTHLY ANALYSIS'!$A:$A,'MONTHLY ANALYSIS'!$M:$M),0))</f>
        <v/>
      </c>
      <c r="E203" s="190">
        <f>IF(A203="","",IF(D203&gt;0,"⚑ PAST MIDNIGHT","⚠ PAST 10PM ONLY"))</f>
        <v/>
      </c>
      <c r="F203" s="170">
        <f>IF(A203="","",IFERROR(xlookup(A203,'FLEET REGISTER'!$B:$B,'FLEET REGISTER'!$F:$F),"Unknown"))</f>
        <v/>
      </c>
      <c r="G203" s="200" t="n"/>
      <c r="H203" s="200" t="n"/>
      <c r="I203" s="200" t="n"/>
      <c r="J203" s="200" t="n"/>
      <c r="K203" s="200" t="n"/>
      <c r="L203" s="200" t="n"/>
    </row>
    <row r="204" ht="15" customHeight="1" s="122">
      <c r="A204" s="197">
        <f>IF(A203="","","")</f>
        <v/>
      </c>
      <c r="B204" s="197">
        <f>IF(A204="","",IFERROR(xlookup(A204,'MONTHLY ANALYSIS'!$A:$A,'MONTHLY ANALYSIS'!$L:$L),0))</f>
        <v/>
      </c>
      <c r="C204" s="204">
        <f>IF(A204="","",IFERROR(xlookup(A204,'MONTHLY ANALYSIS'!$A:$A,'MONTHLY ANALYSIS'!$L:$L),0))</f>
        <v/>
      </c>
      <c r="D204" s="205">
        <f>IF(A204="","",IFERROR(xlookup(A204,'MONTHLY ANALYSIS'!$A:$A,'MONTHLY ANALYSIS'!$M:$M),0))</f>
        <v/>
      </c>
      <c r="E204" s="190">
        <f>IF(A204="","",IF(D204&gt;0,"⚑ PAST MIDNIGHT","⚠ PAST 10PM ONLY"))</f>
        <v/>
      </c>
      <c r="F204" s="170">
        <f>IF(A204="","",IFERROR(xlookup(A204,'FLEET REGISTER'!$B:$B,'FLEET REGISTER'!$F:$F),"Unknown"))</f>
        <v/>
      </c>
      <c r="G204" s="200" t="n"/>
      <c r="H204" s="200" t="n"/>
      <c r="I204" s="200" t="n"/>
      <c r="J204" s="200" t="n"/>
      <c r="K204" s="200" t="n"/>
      <c r="L204" s="200" t="n"/>
    </row>
    <row r="205" ht="15" customHeight="1" s="122">
      <c r="A205" s="197">
        <f>IF(A204="","","")</f>
        <v/>
      </c>
      <c r="B205" s="197">
        <f>IF(A205="","",IFERROR(xlookup(A205,'MONTHLY ANALYSIS'!$A:$A,'MONTHLY ANALYSIS'!$L:$L),0))</f>
        <v/>
      </c>
      <c r="C205" s="204">
        <f>IF(A205="","",IFERROR(xlookup(A205,'MONTHLY ANALYSIS'!$A:$A,'MONTHLY ANALYSIS'!$L:$L),0))</f>
        <v/>
      </c>
      <c r="D205" s="205">
        <f>IF(A205="","",IFERROR(xlookup(A205,'MONTHLY ANALYSIS'!$A:$A,'MONTHLY ANALYSIS'!$M:$M),0))</f>
        <v/>
      </c>
      <c r="E205" s="190">
        <f>IF(A205="","",IF(D205&gt;0,"⚑ PAST MIDNIGHT","⚠ PAST 10PM ONLY"))</f>
        <v/>
      </c>
      <c r="F205" s="170">
        <f>IF(A205="","",IFERROR(xlookup(A205,'FLEET REGISTER'!$B:$B,'FLEET REGISTER'!$F:$F),"Unknown"))</f>
        <v/>
      </c>
      <c r="G205" s="200" t="n"/>
      <c r="H205" s="200" t="n"/>
      <c r="I205" s="200" t="n"/>
      <c r="J205" s="200" t="n"/>
      <c r="K205" s="200" t="n"/>
      <c r="L205" s="200" t="n"/>
    </row>
    <row r="206" ht="15" customHeight="1" s="122">
      <c r="A206" s="197">
        <f>IF(A205="","","")</f>
        <v/>
      </c>
      <c r="B206" s="197">
        <f>IF(A206="","",IFERROR(xlookup(A206,'MONTHLY ANALYSIS'!$A:$A,'MONTHLY ANALYSIS'!$L:$L),0))</f>
        <v/>
      </c>
      <c r="C206" s="204">
        <f>IF(A206="","",IFERROR(xlookup(A206,'MONTHLY ANALYSIS'!$A:$A,'MONTHLY ANALYSIS'!$L:$L),0))</f>
        <v/>
      </c>
      <c r="D206" s="205">
        <f>IF(A206="","",IFERROR(xlookup(A206,'MONTHLY ANALYSIS'!$A:$A,'MONTHLY ANALYSIS'!$M:$M),0))</f>
        <v/>
      </c>
      <c r="E206" s="190">
        <f>IF(A206="","",IF(D206&gt;0,"⚑ PAST MIDNIGHT","⚠ PAST 10PM ONLY"))</f>
        <v/>
      </c>
      <c r="F206" s="170">
        <f>IF(A206="","",IFERROR(xlookup(A206,'FLEET REGISTER'!$B:$B,'FLEET REGISTER'!$F:$F),"Unknown"))</f>
        <v/>
      </c>
      <c r="G206" s="200" t="n"/>
      <c r="H206" s="200" t="n"/>
      <c r="I206" s="200" t="n"/>
      <c r="J206" s="200" t="n"/>
      <c r="K206" s="200" t="n"/>
      <c r="L206" s="200" t="n"/>
    </row>
    <row r="207" ht="15" customHeight="1" s="122">
      <c r="A207" s="197">
        <f>IF(A206="","","")</f>
        <v/>
      </c>
      <c r="B207" s="197">
        <f>IF(A207="","",IFERROR(xlookup(A207,'MONTHLY ANALYSIS'!$A:$A,'MONTHLY ANALYSIS'!$L:$L),0))</f>
        <v/>
      </c>
      <c r="C207" s="204">
        <f>IF(A207="","",IFERROR(xlookup(A207,'MONTHLY ANALYSIS'!$A:$A,'MONTHLY ANALYSIS'!$L:$L),0))</f>
        <v/>
      </c>
      <c r="D207" s="205">
        <f>IF(A207="","",IFERROR(xlookup(A207,'MONTHLY ANALYSIS'!$A:$A,'MONTHLY ANALYSIS'!$M:$M),0))</f>
        <v/>
      </c>
      <c r="E207" s="190">
        <f>IF(A207="","",IF(D207&gt;0,"⚑ PAST MIDNIGHT","⚠ PAST 10PM ONLY"))</f>
        <v/>
      </c>
      <c r="F207" s="170">
        <f>IF(A207="","",IFERROR(xlookup(A207,'FLEET REGISTER'!$B:$B,'FLEET REGISTER'!$F:$F),"Unknown"))</f>
        <v/>
      </c>
      <c r="G207" s="200" t="n"/>
      <c r="H207" s="200" t="n"/>
      <c r="I207" s="200" t="n"/>
      <c r="J207" s="200" t="n"/>
      <c r="K207" s="200" t="n"/>
      <c r="L207" s="200" t="n"/>
    </row>
    <row r="208" ht="15" customHeight="1" s="122">
      <c r="A208" s="197">
        <f>IF(A207="","","")</f>
        <v/>
      </c>
      <c r="B208" s="197">
        <f>IF(A208="","",IFERROR(xlookup(A208,'MONTHLY ANALYSIS'!$A:$A,'MONTHLY ANALYSIS'!$L:$L),0))</f>
        <v/>
      </c>
      <c r="C208" s="204">
        <f>IF(A208="","",IFERROR(xlookup(A208,'MONTHLY ANALYSIS'!$A:$A,'MONTHLY ANALYSIS'!$L:$L),0))</f>
        <v/>
      </c>
      <c r="D208" s="205">
        <f>IF(A208="","",IFERROR(xlookup(A208,'MONTHLY ANALYSIS'!$A:$A,'MONTHLY ANALYSIS'!$M:$M),0))</f>
        <v/>
      </c>
      <c r="E208" s="190">
        <f>IF(A208="","",IF(D208&gt;0,"⚑ PAST MIDNIGHT","⚠ PAST 10PM ONLY"))</f>
        <v/>
      </c>
      <c r="F208" s="170">
        <f>IF(A208="","",IFERROR(xlookup(A208,'FLEET REGISTER'!$B:$B,'FLEET REGISTER'!$F:$F),"Unknown"))</f>
        <v/>
      </c>
      <c r="G208" s="200" t="n"/>
      <c r="H208" s="200" t="n"/>
      <c r="I208" s="200" t="n"/>
      <c r="J208" s="200" t="n"/>
      <c r="K208" s="200" t="n"/>
      <c r="L208" s="200" t="n"/>
    </row>
    <row r="209" ht="15" customHeight="1" s="122">
      <c r="A209" s="197">
        <f>IF(A208="","","")</f>
        <v/>
      </c>
      <c r="B209" s="197">
        <f>IF(A209="","",IFERROR(xlookup(A209,'MONTHLY ANALYSIS'!$A:$A,'MONTHLY ANALYSIS'!$L:$L),0))</f>
        <v/>
      </c>
      <c r="C209" s="204">
        <f>IF(A209="","",IFERROR(xlookup(A209,'MONTHLY ANALYSIS'!$A:$A,'MONTHLY ANALYSIS'!$L:$L),0))</f>
        <v/>
      </c>
      <c r="D209" s="205">
        <f>IF(A209="","",IFERROR(xlookup(A209,'MONTHLY ANALYSIS'!$A:$A,'MONTHLY ANALYSIS'!$M:$M),0))</f>
        <v/>
      </c>
      <c r="E209" s="190">
        <f>IF(A209="","",IF(D209&gt;0,"⚑ PAST MIDNIGHT","⚠ PAST 10PM ONLY"))</f>
        <v/>
      </c>
      <c r="F209" s="170">
        <f>IF(A209="","",IFERROR(xlookup(A209,'FLEET REGISTER'!$B:$B,'FLEET REGISTER'!$F:$F),"Unknown"))</f>
        <v/>
      </c>
      <c r="G209" s="200" t="n"/>
      <c r="H209" s="200" t="n"/>
      <c r="I209" s="200" t="n"/>
      <c r="J209" s="200" t="n"/>
      <c r="K209" s="200" t="n"/>
      <c r="L209" s="200" t="n"/>
    </row>
    <row r="210" ht="15" customHeight="1" s="122">
      <c r="A210" s="197">
        <f>IF(A209="","","")</f>
        <v/>
      </c>
      <c r="B210" s="197">
        <f>IF(A210="","",IFERROR(xlookup(A210,'MONTHLY ANALYSIS'!$A:$A,'MONTHLY ANALYSIS'!$L:$L),0))</f>
        <v/>
      </c>
      <c r="C210" s="204">
        <f>IF(A210="","",IFERROR(xlookup(A210,'MONTHLY ANALYSIS'!$A:$A,'MONTHLY ANALYSIS'!$L:$L),0))</f>
        <v/>
      </c>
      <c r="D210" s="205">
        <f>IF(A210="","",IFERROR(xlookup(A210,'MONTHLY ANALYSIS'!$A:$A,'MONTHLY ANALYSIS'!$M:$M),0))</f>
        <v/>
      </c>
      <c r="E210" s="190">
        <f>IF(A210="","",IF(D210&gt;0,"⚑ PAST MIDNIGHT","⚠ PAST 10PM ONLY"))</f>
        <v/>
      </c>
      <c r="F210" s="170">
        <f>IF(A210="","",IFERROR(xlookup(A210,'FLEET REGISTER'!$B:$B,'FLEET REGISTER'!$F:$F),"Unknown"))</f>
        <v/>
      </c>
      <c r="G210" s="200" t="n"/>
      <c r="H210" s="200" t="n"/>
      <c r="I210" s="200" t="n"/>
      <c r="J210" s="200" t="n"/>
      <c r="K210" s="200" t="n"/>
      <c r="L210" s="200" t="n"/>
    </row>
    <row r="211" ht="15" customHeight="1" s="122">
      <c r="A211" s="197">
        <f>IF(A210="","","")</f>
        <v/>
      </c>
      <c r="B211" s="197">
        <f>IF(A211="","",IFERROR(xlookup(A211,'MONTHLY ANALYSIS'!$A:$A,'MONTHLY ANALYSIS'!$L:$L),0))</f>
        <v/>
      </c>
      <c r="C211" s="204">
        <f>IF(A211="","",IFERROR(xlookup(A211,'MONTHLY ANALYSIS'!$A:$A,'MONTHLY ANALYSIS'!$L:$L),0))</f>
        <v/>
      </c>
      <c r="D211" s="205">
        <f>IF(A211="","",IFERROR(xlookup(A211,'MONTHLY ANALYSIS'!$A:$A,'MONTHLY ANALYSIS'!$M:$M),0))</f>
        <v/>
      </c>
      <c r="E211" s="190">
        <f>IF(A211="","",IF(D211&gt;0,"⚑ PAST MIDNIGHT","⚠ PAST 10PM ONLY"))</f>
        <v/>
      </c>
      <c r="F211" s="170">
        <f>IF(A211="","",IFERROR(xlookup(A211,'FLEET REGISTER'!$B:$B,'FLEET REGISTER'!$F:$F),"Unknown"))</f>
        <v/>
      </c>
      <c r="G211" s="200" t="n"/>
      <c r="H211" s="200" t="n"/>
      <c r="I211" s="200" t="n"/>
      <c r="J211" s="200" t="n"/>
      <c r="K211" s="200" t="n"/>
      <c r="L211" s="200" t="n"/>
    </row>
    <row r="212" ht="15" customHeight="1" s="122">
      <c r="A212" s="197">
        <f>IF(A211="","","")</f>
        <v/>
      </c>
      <c r="B212" s="197">
        <f>IF(A212="","",IFERROR(xlookup(A212,'MONTHLY ANALYSIS'!$A:$A,'MONTHLY ANALYSIS'!$L:$L),0))</f>
        <v/>
      </c>
      <c r="C212" s="204">
        <f>IF(A212="","",IFERROR(xlookup(A212,'MONTHLY ANALYSIS'!$A:$A,'MONTHLY ANALYSIS'!$L:$L),0))</f>
        <v/>
      </c>
      <c r="D212" s="205">
        <f>IF(A212="","",IFERROR(xlookup(A212,'MONTHLY ANALYSIS'!$A:$A,'MONTHLY ANALYSIS'!$M:$M),0))</f>
        <v/>
      </c>
      <c r="E212" s="190">
        <f>IF(A212="","",IF(D212&gt;0,"⚑ PAST MIDNIGHT","⚠ PAST 10PM ONLY"))</f>
        <v/>
      </c>
      <c r="F212" s="170">
        <f>IF(A212="","",IFERROR(xlookup(A212,'FLEET REGISTER'!$B:$B,'FLEET REGISTER'!$F:$F),"Unknown"))</f>
        <v/>
      </c>
      <c r="G212" s="200" t="n"/>
      <c r="H212" s="200" t="n"/>
      <c r="I212" s="200" t="n"/>
      <c r="J212" s="200" t="n"/>
      <c r="K212" s="200" t="n"/>
      <c r="L212" s="200" t="n"/>
    </row>
    <row r="213" ht="15" customHeight="1" s="122">
      <c r="A213" s="197">
        <f>IF(A212="","","")</f>
        <v/>
      </c>
      <c r="B213" s="197">
        <f>IF(A213="","",IFERROR(xlookup(A213,'MONTHLY ANALYSIS'!$A:$A,'MONTHLY ANALYSIS'!$L:$L),0))</f>
        <v/>
      </c>
      <c r="C213" s="204">
        <f>IF(A213="","",IFERROR(xlookup(A213,'MONTHLY ANALYSIS'!$A:$A,'MONTHLY ANALYSIS'!$L:$L),0))</f>
        <v/>
      </c>
      <c r="D213" s="205">
        <f>IF(A213="","",IFERROR(xlookup(A213,'MONTHLY ANALYSIS'!$A:$A,'MONTHLY ANALYSIS'!$M:$M),0))</f>
        <v/>
      </c>
      <c r="E213" s="190">
        <f>IF(A213="","",IF(D213&gt;0,"⚑ PAST MIDNIGHT","⚠ PAST 10PM ONLY"))</f>
        <v/>
      </c>
      <c r="F213" s="170">
        <f>IF(A213="","",IFERROR(xlookup(A213,'FLEET REGISTER'!$B:$B,'FLEET REGISTER'!$F:$F),"Unknown"))</f>
        <v/>
      </c>
      <c r="G213" s="200" t="n"/>
      <c r="H213" s="200" t="n"/>
      <c r="I213" s="200" t="n"/>
      <c r="J213" s="200" t="n"/>
      <c r="K213" s="200" t="n"/>
      <c r="L213" s="200" t="n"/>
    </row>
    <row r="214" ht="15" customHeight="1" s="122">
      <c r="A214" s="197">
        <f>IF(A213="","","")</f>
        <v/>
      </c>
      <c r="B214" s="197">
        <f>IF(A214="","",IFERROR(xlookup(A214,'MONTHLY ANALYSIS'!$A:$A,'MONTHLY ANALYSIS'!$L:$L),0))</f>
        <v/>
      </c>
      <c r="C214" s="204">
        <f>IF(A214="","",IFERROR(xlookup(A214,'MONTHLY ANALYSIS'!$A:$A,'MONTHLY ANALYSIS'!$L:$L),0))</f>
        <v/>
      </c>
      <c r="D214" s="205">
        <f>IF(A214="","",IFERROR(xlookup(A214,'MONTHLY ANALYSIS'!$A:$A,'MONTHLY ANALYSIS'!$M:$M),0))</f>
        <v/>
      </c>
      <c r="E214" s="190">
        <f>IF(A214="","",IF(D214&gt;0,"⚑ PAST MIDNIGHT","⚠ PAST 10PM ONLY"))</f>
        <v/>
      </c>
      <c r="F214" s="170">
        <f>IF(A214="","",IFERROR(xlookup(A214,'FLEET REGISTER'!$B:$B,'FLEET REGISTER'!$F:$F),"Unknown"))</f>
        <v/>
      </c>
      <c r="G214" s="200" t="n"/>
      <c r="H214" s="200" t="n"/>
      <c r="I214" s="200" t="n"/>
      <c r="J214" s="200" t="n"/>
      <c r="K214" s="200" t="n"/>
      <c r="L214" s="200" t="n"/>
    </row>
    <row r="215" ht="15" customHeight="1" s="122">
      <c r="A215" s="197">
        <f>IF(A214="","","")</f>
        <v/>
      </c>
      <c r="B215" s="197">
        <f>IF(A215="","",IFERROR(xlookup(A215,'MONTHLY ANALYSIS'!$A:$A,'MONTHLY ANALYSIS'!$L:$L),0))</f>
        <v/>
      </c>
      <c r="C215" s="204">
        <f>IF(A215="","",IFERROR(xlookup(A215,'MONTHLY ANALYSIS'!$A:$A,'MONTHLY ANALYSIS'!$L:$L),0))</f>
        <v/>
      </c>
      <c r="D215" s="205">
        <f>IF(A215="","",IFERROR(xlookup(A215,'MONTHLY ANALYSIS'!$A:$A,'MONTHLY ANALYSIS'!$M:$M),0))</f>
        <v/>
      </c>
      <c r="E215" s="190">
        <f>IF(A215="","",IF(D215&gt;0,"⚑ PAST MIDNIGHT","⚠ PAST 10PM ONLY"))</f>
        <v/>
      </c>
      <c r="F215" s="170">
        <f>IF(A215="","",IFERROR(xlookup(A215,'FLEET REGISTER'!$B:$B,'FLEET REGISTER'!$F:$F),"Unknown"))</f>
        <v/>
      </c>
      <c r="G215" s="200" t="n"/>
      <c r="H215" s="200" t="n"/>
      <c r="I215" s="200" t="n"/>
      <c r="J215" s="200" t="n"/>
      <c r="K215" s="200" t="n"/>
      <c r="L215" s="200" t="n"/>
    </row>
    <row r="216" ht="15" customHeight="1" s="122">
      <c r="A216" s="197">
        <f>IF(A215="","","")</f>
        <v/>
      </c>
      <c r="B216" s="197">
        <f>IF(A216="","",IFERROR(xlookup(A216,'MONTHLY ANALYSIS'!$A:$A,'MONTHLY ANALYSIS'!$L:$L),0))</f>
        <v/>
      </c>
      <c r="C216" s="204">
        <f>IF(A216="","",IFERROR(xlookup(A216,'MONTHLY ANALYSIS'!$A:$A,'MONTHLY ANALYSIS'!$L:$L),0))</f>
        <v/>
      </c>
      <c r="D216" s="205">
        <f>IF(A216="","",IFERROR(xlookup(A216,'MONTHLY ANALYSIS'!$A:$A,'MONTHLY ANALYSIS'!$M:$M),0))</f>
        <v/>
      </c>
      <c r="E216" s="190">
        <f>IF(A216="","",IF(D216&gt;0,"⚑ PAST MIDNIGHT","⚠ PAST 10PM ONLY"))</f>
        <v/>
      </c>
      <c r="F216" s="170">
        <f>IF(A216="","",IFERROR(xlookup(A216,'FLEET REGISTER'!$B:$B,'FLEET REGISTER'!$F:$F),"Unknown"))</f>
        <v/>
      </c>
      <c r="G216" s="200" t="n"/>
      <c r="H216" s="200" t="n"/>
      <c r="I216" s="200" t="n"/>
      <c r="J216" s="200" t="n"/>
      <c r="K216" s="200" t="n"/>
      <c r="L216" s="200" t="n"/>
    </row>
    <row r="217" ht="15" customHeight="1" s="122">
      <c r="A217" s="197">
        <f>IF(A216="","","")</f>
        <v/>
      </c>
      <c r="B217" s="197">
        <f>IF(A217="","",IFERROR(xlookup(A217,'MONTHLY ANALYSIS'!$A:$A,'MONTHLY ANALYSIS'!$L:$L),0))</f>
        <v/>
      </c>
      <c r="C217" s="204">
        <f>IF(A217="","",IFERROR(xlookup(A217,'MONTHLY ANALYSIS'!$A:$A,'MONTHLY ANALYSIS'!$L:$L),0))</f>
        <v/>
      </c>
      <c r="D217" s="205">
        <f>IF(A217="","",IFERROR(xlookup(A217,'MONTHLY ANALYSIS'!$A:$A,'MONTHLY ANALYSIS'!$M:$M),0))</f>
        <v/>
      </c>
      <c r="E217" s="190">
        <f>IF(A217="","",IF(D217&gt;0,"⚑ PAST MIDNIGHT","⚠ PAST 10PM ONLY"))</f>
        <v/>
      </c>
      <c r="F217" s="170">
        <f>IF(A217="","",IFERROR(xlookup(A217,'FLEET REGISTER'!$B:$B,'FLEET REGISTER'!$F:$F),"Unknown"))</f>
        <v/>
      </c>
      <c r="G217" s="200" t="n"/>
      <c r="H217" s="200" t="n"/>
      <c r="I217" s="200" t="n"/>
      <c r="J217" s="200" t="n"/>
      <c r="K217" s="200" t="n"/>
      <c r="L217" s="200" t="n"/>
    </row>
    <row r="218" ht="15" customHeight="1" s="122">
      <c r="A218" s="197">
        <f>IF(A217="","","")</f>
        <v/>
      </c>
      <c r="B218" s="197">
        <f>IF(A218="","",IFERROR(xlookup(A218,'MONTHLY ANALYSIS'!$A:$A,'MONTHLY ANALYSIS'!$L:$L),0))</f>
        <v/>
      </c>
      <c r="C218" s="204">
        <f>IF(A218="","",IFERROR(xlookup(A218,'MONTHLY ANALYSIS'!$A:$A,'MONTHLY ANALYSIS'!$L:$L),0))</f>
        <v/>
      </c>
      <c r="D218" s="205">
        <f>IF(A218="","",IFERROR(xlookup(A218,'MONTHLY ANALYSIS'!$A:$A,'MONTHLY ANALYSIS'!$M:$M),0))</f>
        <v/>
      </c>
      <c r="E218" s="190">
        <f>IF(A218="","",IF(D218&gt;0,"⚑ PAST MIDNIGHT","⚠ PAST 10PM ONLY"))</f>
        <v/>
      </c>
      <c r="F218" s="170">
        <f>IF(A218="","",IFERROR(xlookup(A218,'FLEET REGISTER'!$B:$B,'FLEET REGISTER'!$F:$F),"Unknown"))</f>
        <v/>
      </c>
      <c r="G218" s="200" t="n"/>
      <c r="H218" s="200" t="n"/>
      <c r="I218" s="200" t="n"/>
      <c r="J218" s="200" t="n"/>
      <c r="K218" s="200" t="n"/>
      <c r="L218" s="200" t="n"/>
    </row>
    <row r="219" ht="15" customHeight="1" s="122">
      <c r="A219" s="197">
        <f>IF(A218="","","")</f>
        <v/>
      </c>
      <c r="B219" s="197">
        <f>IF(A219="","",IFERROR(xlookup(A219,'MONTHLY ANALYSIS'!$A:$A,'MONTHLY ANALYSIS'!$L:$L),0))</f>
        <v/>
      </c>
      <c r="C219" s="204">
        <f>IF(A219="","",IFERROR(xlookup(A219,'MONTHLY ANALYSIS'!$A:$A,'MONTHLY ANALYSIS'!$L:$L),0))</f>
        <v/>
      </c>
      <c r="D219" s="205">
        <f>IF(A219="","",IFERROR(xlookup(A219,'MONTHLY ANALYSIS'!$A:$A,'MONTHLY ANALYSIS'!$M:$M),0))</f>
        <v/>
      </c>
      <c r="E219" s="190">
        <f>IF(A219="","",IF(D219&gt;0,"⚑ PAST MIDNIGHT","⚠ PAST 10PM ONLY"))</f>
        <v/>
      </c>
      <c r="F219" s="170">
        <f>IF(A219="","",IFERROR(xlookup(A219,'FLEET REGISTER'!$B:$B,'FLEET REGISTER'!$F:$F),"Unknown"))</f>
        <v/>
      </c>
      <c r="G219" s="200" t="n"/>
      <c r="H219" s="200" t="n"/>
      <c r="I219" s="200" t="n"/>
      <c r="J219" s="200" t="n"/>
      <c r="K219" s="200" t="n"/>
      <c r="L219" s="200" t="n"/>
    </row>
    <row r="220" ht="15" customHeight="1" s="122">
      <c r="A220" s="197">
        <f>IF(A219="","","")</f>
        <v/>
      </c>
      <c r="B220" s="197">
        <f>IF(A220="","",IFERROR(xlookup(A220,'MONTHLY ANALYSIS'!$A:$A,'MONTHLY ANALYSIS'!$L:$L),0))</f>
        <v/>
      </c>
      <c r="C220" s="204">
        <f>IF(A220="","",IFERROR(xlookup(A220,'MONTHLY ANALYSIS'!$A:$A,'MONTHLY ANALYSIS'!$L:$L),0))</f>
        <v/>
      </c>
      <c r="D220" s="205">
        <f>IF(A220="","",IFERROR(xlookup(A220,'MONTHLY ANALYSIS'!$A:$A,'MONTHLY ANALYSIS'!$M:$M),0))</f>
        <v/>
      </c>
      <c r="E220" s="190">
        <f>IF(A220="","",IF(D220&gt;0,"⚑ PAST MIDNIGHT","⚠ PAST 10PM ONLY"))</f>
        <v/>
      </c>
      <c r="F220" s="170">
        <f>IF(A220="","",IFERROR(xlookup(A220,'FLEET REGISTER'!$B:$B,'FLEET REGISTER'!$F:$F),"Unknown"))</f>
        <v/>
      </c>
      <c r="G220" s="200" t="n"/>
      <c r="H220" s="200" t="n"/>
      <c r="I220" s="200" t="n"/>
      <c r="J220" s="200" t="n"/>
      <c r="K220" s="200" t="n"/>
      <c r="L220" s="200" t="n"/>
    </row>
    <row r="221" ht="15" customHeight="1" s="122">
      <c r="A221" s="197">
        <f>IF(A220="","","")</f>
        <v/>
      </c>
      <c r="B221" s="197">
        <f>IF(A221="","",IFERROR(xlookup(A221,'MONTHLY ANALYSIS'!$A:$A,'MONTHLY ANALYSIS'!$L:$L),0))</f>
        <v/>
      </c>
      <c r="C221" s="204">
        <f>IF(A221="","",IFERROR(xlookup(A221,'MONTHLY ANALYSIS'!$A:$A,'MONTHLY ANALYSIS'!$L:$L),0))</f>
        <v/>
      </c>
      <c r="D221" s="205">
        <f>IF(A221="","",IFERROR(xlookup(A221,'MONTHLY ANALYSIS'!$A:$A,'MONTHLY ANALYSIS'!$M:$M),0))</f>
        <v/>
      </c>
      <c r="E221" s="190">
        <f>IF(A221="","",IF(D221&gt;0,"⚑ PAST MIDNIGHT","⚠ PAST 10PM ONLY"))</f>
        <v/>
      </c>
      <c r="F221" s="170">
        <f>IF(A221="","",IFERROR(xlookup(A221,'FLEET REGISTER'!$B:$B,'FLEET REGISTER'!$F:$F),"Unknown"))</f>
        <v/>
      </c>
      <c r="G221" s="200" t="n"/>
      <c r="H221" s="200" t="n"/>
      <c r="I221" s="200" t="n"/>
      <c r="J221" s="200" t="n"/>
      <c r="K221" s="200" t="n"/>
      <c r="L221" s="200" t="n"/>
    </row>
    <row r="222" ht="15" customHeight="1" s="122">
      <c r="A222" s="197">
        <f>IF(A221="","","")</f>
        <v/>
      </c>
      <c r="B222" s="197">
        <f>IF(A222="","",IFERROR(xlookup(A222,'MONTHLY ANALYSIS'!$A:$A,'MONTHLY ANALYSIS'!$L:$L),0))</f>
        <v/>
      </c>
      <c r="C222" s="204">
        <f>IF(A222="","",IFERROR(xlookup(A222,'MONTHLY ANALYSIS'!$A:$A,'MONTHLY ANALYSIS'!$L:$L),0))</f>
        <v/>
      </c>
      <c r="D222" s="205">
        <f>IF(A222="","",IFERROR(xlookup(A222,'MONTHLY ANALYSIS'!$A:$A,'MONTHLY ANALYSIS'!$M:$M),0))</f>
        <v/>
      </c>
      <c r="E222" s="190">
        <f>IF(A222="","",IF(D222&gt;0,"⚑ PAST MIDNIGHT","⚠ PAST 10PM ONLY"))</f>
        <v/>
      </c>
      <c r="F222" s="170">
        <f>IF(A222="","",IFERROR(xlookup(A222,'FLEET REGISTER'!$B:$B,'FLEET REGISTER'!$F:$F),"Unknown"))</f>
        <v/>
      </c>
      <c r="G222" s="200" t="n"/>
      <c r="H222" s="200" t="n"/>
      <c r="I222" s="200" t="n"/>
      <c r="J222" s="200" t="n"/>
      <c r="K222" s="200" t="n"/>
      <c r="L222" s="200" t="n"/>
    </row>
    <row r="223" ht="15" customHeight="1" s="122">
      <c r="A223" s="197">
        <f>IF(A222="","","")</f>
        <v/>
      </c>
      <c r="B223" s="197">
        <f>IF(A223="","",IFERROR(xlookup(A223,'MONTHLY ANALYSIS'!$A:$A,'MONTHLY ANALYSIS'!$L:$L),0))</f>
        <v/>
      </c>
      <c r="C223" s="204">
        <f>IF(A223="","",IFERROR(xlookup(A223,'MONTHLY ANALYSIS'!$A:$A,'MONTHLY ANALYSIS'!$L:$L),0))</f>
        <v/>
      </c>
      <c r="D223" s="205">
        <f>IF(A223="","",IFERROR(xlookup(A223,'MONTHLY ANALYSIS'!$A:$A,'MONTHLY ANALYSIS'!$M:$M),0))</f>
        <v/>
      </c>
      <c r="E223" s="190">
        <f>IF(A223="","",IF(D223&gt;0,"⚑ PAST MIDNIGHT","⚠ PAST 10PM ONLY"))</f>
        <v/>
      </c>
      <c r="F223" s="170">
        <f>IF(A223="","",IFERROR(xlookup(A223,'FLEET REGISTER'!$B:$B,'FLEET REGISTER'!$F:$F),"Unknown"))</f>
        <v/>
      </c>
      <c r="G223" s="200" t="n"/>
      <c r="H223" s="200" t="n"/>
      <c r="I223" s="200" t="n"/>
      <c r="J223" s="200" t="n"/>
      <c r="K223" s="200" t="n"/>
      <c r="L223" s="200" t="n"/>
    </row>
    <row r="224" ht="15" customHeight="1" s="122">
      <c r="A224" s="197">
        <f>IF(A223="","","")</f>
        <v/>
      </c>
      <c r="B224" s="197">
        <f>IF(A224="","",IFERROR(xlookup(A224,'MONTHLY ANALYSIS'!$A:$A,'MONTHLY ANALYSIS'!$L:$L),0))</f>
        <v/>
      </c>
      <c r="C224" s="204">
        <f>IF(A224="","",IFERROR(xlookup(A224,'MONTHLY ANALYSIS'!$A:$A,'MONTHLY ANALYSIS'!$L:$L),0))</f>
        <v/>
      </c>
      <c r="D224" s="205">
        <f>IF(A224="","",IFERROR(xlookup(A224,'MONTHLY ANALYSIS'!$A:$A,'MONTHLY ANALYSIS'!$M:$M),0))</f>
        <v/>
      </c>
      <c r="E224" s="190">
        <f>IF(A224="","",IF(D224&gt;0,"⚑ PAST MIDNIGHT","⚠ PAST 10PM ONLY"))</f>
        <v/>
      </c>
      <c r="F224" s="170">
        <f>IF(A224="","",IFERROR(xlookup(A224,'FLEET REGISTER'!$B:$B,'FLEET REGISTER'!$F:$F),"Unknown"))</f>
        <v/>
      </c>
      <c r="G224" s="200" t="n"/>
      <c r="H224" s="200" t="n"/>
      <c r="I224" s="200" t="n"/>
      <c r="J224" s="200" t="n"/>
      <c r="K224" s="200" t="n"/>
      <c r="L224" s="200" t="n"/>
    </row>
    <row r="225" ht="15" customHeight="1" s="122">
      <c r="A225" s="197">
        <f>IF(A224="","","")</f>
        <v/>
      </c>
      <c r="B225" s="197">
        <f>IF(A225="","",IFERROR(xlookup(A225,'MONTHLY ANALYSIS'!$A:$A,'MONTHLY ANALYSIS'!$L:$L),0))</f>
        <v/>
      </c>
      <c r="C225" s="204">
        <f>IF(A225="","",IFERROR(xlookup(A225,'MONTHLY ANALYSIS'!$A:$A,'MONTHLY ANALYSIS'!$L:$L),0))</f>
        <v/>
      </c>
      <c r="D225" s="205">
        <f>IF(A225="","",IFERROR(xlookup(A225,'MONTHLY ANALYSIS'!$A:$A,'MONTHLY ANALYSIS'!$M:$M),0))</f>
        <v/>
      </c>
      <c r="E225" s="190">
        <f>IF(A225="","",IF(D225&gt;0,"⚑ PAST MIDNIGHT","⚠ PAST 10PM ONLY"))</f>
        <v/>
      </c>
      <c r="F225" s="170">
        <f>IF(A225="","",IFERROR(xlookup(A225,'FLEET REGISTER'!$B:$B,'FLEET REGISTER'!$F:$F),"Unknown"))</f>
        <v/>
      </c>
      <c r="G225" s="200" t="n"/>
      <c r="H225" s="200" t="n"/>
      <c r="I225" s="200" t="n"/>
      <c r="J225" s="200" t="n"/>
      <c r="K225" s="200" t="n"/>
      <c r="L225" s="200" t="n"/>
    </row>
    <row r="226" ht="15" customHeight="1" s="122">
      <c r="A226" s="197">
        <f>IF(A225="","","")</f>
        <v/>
      </c>
      <c r="B226" s="197">
        <f>IF(A226="","",IFERROR(xlookup(A226,'MONTHLY ANALYSIS'!$A:$A,'MONTHLY ANALYSIS'!$L:$L),0))</f>
        <v/>
      </c>
      <c r="C226" s="204">
        <f>IF(A226="","",IFERROR(xlookup(A226,'MONTHLY ANALYSIS'!$A:$A,'MONTHLY ANALYSIS'!$L:$L),0))</f>
        <v/>
      </c>
      <c r="D226" s="205">
        <f>IF(A226="","",IFERROR(xlookup(A226,'MONTHLY ANALYSIS'!$A:$A,'MONTHLY ANALYSIS'!$M:$M),0))</f>
        <v/>
      </c>
      <c r="E226" s="190">
        <f>IF(A226="","",IF(D226&gt;0,"⚑ PAST MIDNIGHT","⚠ PAST 10PM ONLY"))</f>
        <v/>
      </c>
      <c r="F226" s="170">
        <f>IF(A226="","",IFERROR(xlookup(A226,'FLEET REGISTER'!$B:$B,'FLEET REGISTER'!$F:$F),"Unknown"))</f>
        <v/>
      </c>
      <c r="G226" s="200" t="n"/>
      <c r="H226" s="200" t="n"/>
      <c r="I226" s="200" t="n"/>
      <c r="J226" s="200" t="n"/>
      <c r="K226" s="200" t="n"/>
      <c r="L226" s="200" t="n"/>
    </row>
    <row r="227" ht="15" customHeight="1" s="122">
      <c r="A227" s="197">
        <f>IF(A226="","","")</f>
        <v/>
      </c>
      <c r="B227" s="197">
        <f>IF(A227="","",IFERROR(xlookup(A227,'MONTHLY ANALYSIS'!$A:$A,'MONTHLY ANALYSIS'!$L:$L),0))</f>
        <v/>
      </c>
      <c r="C227" s="204">
        <f>IF(A227="","",IFERROR(xlookup(A227,'MONTHLY ANALYSIS'!$A:$A,'MONTHLY ANALYSIS'!$L:$L),0))</f>
        <v/>
      </c>
      <c r="D227" s="205">
        <f>IF(A227="","",IFERROR(xlookup(A227,'MONTHLY ANALYSIS'!$A:$A,'MONTHLY ANALYSIS'!$M:$M),0))</f>
        <v/>
      </c>
      <c r="E227" s="190">
        <f>IF(A227="","",IF(D227&gt;0,"⚑ PAST MIDNIGHT","⚠ PAST 10PM ONLY"))</f>
        <v/>
      </c>
      <c r="F227" s="170">
        <f>IF(A227="","",IFERROR(xlookup(A227,'FLEET REGISTER'!$B:$B,'FLEET REGISTER'!$F:$F),"Unknown"))</f>
        <v/>
      </c>
      <c r="G227" s="200" t="n"/>
      <c r="H227" s="200" t="n"/>
      <c r="I227" s="200" t="n"/>
      <c r="J227" s="200" t="n"/>
      <c r="K227" s="200" t="n"/>
      <c r="L227" s="200" t="n"/>
    </row>
    <row r="228" ht="15" customHeight="1" s="122">
      <c r="A228" s="197">
        <f>IF(A227="","","")</f>
        <v/>
      </c>
      <c r="B228" s="197">
        <f>IF(A228="","",IFERROR(xlookup(A228,'MONTHLY ANALYSIS'!$A:$A,'MONTHLY ANALYSIS'!$L:$L),0))</f>
        <v/>
      </c>
      <c r="C228" s="204">
        <f>IF(A228="","",IFERROR(xlookup(A228,'MONTHLY ANALYSIS'!$A:$A,'MONTHLY ANALYSIS'!$L:$L),0))</f>
        <v/>
      </c>
      <c r="D228" s="205">
        <f>IF(A228="","",IFERROR(xlookup(A228,'MONTHLY ANALYSIS'!$A:$A,'MONTHLY ANALYSIS'!$M:$M),0))</f>
        <v/>
      </c>
      <c r="E228" s="190">
        <f>IF(A228="","",IF(D228&gt;0,"⚑ PAST MIDNIGHT","⚠ PAST 10PM ONLY"))</f>
        <v/>
      </c>
      <c r="F228" s="170">
        <f>IF(A228="","",IFERROR(xlookup(A228,'FLEET REGISTER'!$B:$B,'FLEET REGISTER'!$F:$F),"Unknown"))</f>
        <v/>
      </c>
      <c r="G228" s="200" t="n"/>
      <c r="H228" s="200" t="n"/>
      <c r="I228" s="200" t="n"/>
      <c r="J228" s="200" t="n"/>
      <c r="K228" s="200" t="n"/>
      <c r="L228" s="200" t="n"/>
    </row>
    <row r="229" ht="15" customHeight="1" s="122">
      <c r="A229" s="197">
        <f>IF(A228="","","")</f>
        <v/>
      </c>
      <c r="B229" s="197">
        <f>IF(A229="","",IFERROR(xlookup(A229,'MONTHLY ANALYSIS'!$A:$A,'MONTHLY ANALYSIS'!$L:$L),0))</f>
        <v/>
      </c>
      <c r="C229" s="204">
        <f>IF(A229="","",IFERROR(xlookup(A229,'MONTHLY ANALYSIS'!$A:$A,'MONTHLY ANALYSIS'!$L:$L),0))</f>
        <v/>
      </c>
      <c r="D229" s="205">
        <f>IF(A229="","",IFERROR(xlookup(A229,'MONTHLY ANALYSIS'!$A:$A,'MONTHLY ANALYSIS'!$M:$M),0))</f>
        <v/>
      </c>
      <c r="E229" s="190">
        <f>IF(A229="","",IF(D229&gt;0,"⚑ PAST MIDNIGHT","⚠ PAST 10PM ONLY"))</f>
        <v/>
      </c>
      <c r="F229" s="170">
        <f>IF(A229="","",IFERROR(xlookup(A229,'FLEET REGISTER'!$B:$B,'FLEET REGISTER'!$F:$F),"Unknown"))</f>
        <v/>
      </c>
      <c r="G229" s="200" t="n"/>
      <c r="H229" s="200" t="n"/>
      <c r="I229" s="200" t="n"/>
      <c r="J229" s="200" t="n"/>
      <c r="K229" s="200" t="n"/>
      <c r="L229" s="200" t="n"/>
    </row>
    <row r="230" ht="15" customHeight="1" s="122">
      <c r="A230" s="197">
        <f>IF(A229="","","")</f>
        <v/>
      </c>
      <c r="B230" s="197">
        <f>IF(A230="","",IFERROR(xlookup(A230,'MONTHLY ANALYSIS'!$A:$A,'MONTHLY ANALYSIS'!$L:$L),0))</f>
        <v/>
      </c>
      <c r="C230" s="204">
        <f>IF(A230="","",IFERROR(xlookup(A230,'MONTHLY ANALYSIS'!$A:$A,'MONTHLY ANALYSIS'!$L:$L),0))</f>
        <v/>
      </c>
      <c r="D230" s="205">
        <f>IF(A230="","",IFERROR(xlookup(A230,'MONTHLY ANALYSIS'!$A:$A,'MONTHLY ANALYSIS'!$M:$M),0))</f>
        <v/>
      </c>
      <c r="E230" s="190">
        <f>IF(A230="","",IF(D230&gt;0,"⚑ PAST MIDNIGHT","⚠ PAST 10PM ONLY"))</f>
        <v/>
      </c>
      <c r="F230" s="170">
        <f>IF(A230="","",IFERROR(xlookup(A230,'FLEET REGISTER'!$B:$B,'FLEET REGISTER'!$F:$F),"Unknown"))</f>
        <v/>
      </c>
      <c r="G230" s="200" t="n"/>
      <c r="H230" s="200" t="n"/>
      <c r="I230" s="200" t="n"/>
      <c r="J230" s="200" t="n"/>
      <c r="K230" s="200" t="n"/>
      <c r="L230" s="200" t="n"/>
    </row>
    <row r="231" ht="15" customHeight="1" s="122">
      <c r="A231" s="197">
        <f>IF(A230="","","")</f>
        <v/>
      </c>
      <c r="B231" s="197">
        <f>IF(A231="","",IFERROR(xlookup(A231,'MONTHLY ANALYSIS'!$A:$A,'MONTHLY ANALYSIS'!$L:$L),0))</f>
        <v/>
      </c>
      <c r="C231" s="204">
        <f>IF(A231="","",IFERROR(xlookup(A231,'MONTHLY ANALYSIS'!$A:$A,'MONTHLY ANALYSIS'!$L:$L),0))</f>
        <v/>
      </c>
      <c r="D231" s="205">
        <f>IF(A231="","",IFERROR(xlookup(A231,'MONTHLY ANALYSIS'!$A:$A,'MONTHLY ANALYSIS'!$M:$M),0))</f>
        <v/>
      </c>
      <c r="E231" s="190">
        <f>IF(A231="","",IF(D231&gt;0,"⚑ PAST MIDNIGHT","⚠ PAST 10PM ONLY"))</f>
        <v/>
      </c>
      <c r="F231" s="170">
        <f>IF(A231="","",IFERROR(xlookup(A231,'FLEET REGISTER'!$B:$B,'FLEET REGISTER'!$F:$F),"Unknown"))</f>
        <v/>
      </c>
      <c r="G231" s="200" t="n"/>
      <c r="H231" s="200" t="n"/>
      <c r="I231" s="200" t="n"/>
      <c r="J231" s="200" t="n"/>
      <c r="K231" s="200" t="n"/>
      <c r="L231" s="200" t="n"/>
    </row>
    <row r="232" ht="15" customHeight="1" s="122">
      <c r="A232" s="197">
        <f>IF(A231="","","")</f>
        <v/>
      </c>
      <c r="B232" s="197">
        <f>IF(A232="","",IFERROR(xlookup(A232,'MONTHLY ANALYSIS'!$A:$A,'MONTHLY ANALYSIS'!$L:$L),0))</f>
        <v/>
      </c>
      <c r="C232" s="204">
        <f>IF(A232="","",IFERROR(xlookup(A232,'MONTHLY ANALYSIS'!$A:$A,'MONTHLY ANALYSIS'!$L:$L),0))</f>
        <v/>
      </c>
      <c r="D232" s="205">
        <f>IF(A232="","",IFERROR(xlookup(A232,'MONTHLY ANALYSIS'!$A:$A,'MONTHLY ANALYSIS'!$M:$M),0))</f>
        <v/>
      </c>
      <c r="E232" s="190">
        <f>IF(A232="","",IF(D232&gt;0,"⚑ PAST MIDNIGHT","⚠ PAST 10PM ONLY"))</f>
        <v/>
      </c>
      <c r="F232" s="170">
        <f>IF(A232="","",IFERROR(xlookup(A232,'FLEET REGISTER'!$B:$B,'FLEET REGISTER'!$F:$F),"Unknown"))</f>
        <v/>
      </c>
      <c r="G232" s="200" t="n"/>
      <c r="H232" s="200" t="n"/>
      <c r="I232" s="200" t="n"/>
      <c r="J232" s="200" t="n"/>
      <c r="K232" s="200" t="n"/>
      <c r="L232" s="200" t="n"/>
    </row>
    <row r="233" ht="15" customHeight="1" s="122">
      <c r="A233" s="197">
        <f>IF(A232="","","")</f>
        <v/>
      </c>
      <c r="B233" s="197">
        <f>IF(A233="","",IFERROR(xlookup(A233,'MONTHLY ANALYSIS'!$A:$A,'MONTHLY ANALYSIS'!$L:$L),0))</f>
        <v/>
      </c>
      <c r="C233" s="204">
        <f>IF(A233="","",IFERROR(xlookup(A233,'MONTHLY ANALYSIS'!$A:$A,'MONTHLY ANALYSIS'!$L:$L),0))</f>
        <v/>
      </c>
      <c r="D233" s="205">
        <f>IF(A233="","",IFERROR(xlookup(A233,'MONTHLY ANALYSIS'!$A:$A,'MONTHLY ANALYSIS'!$M:$M),0))</f>
        <v/>
      </c>
      <c r="E233" s="190">
        <f>IF(A233="","",IF(D233&gt;0,"⚑ PAST MIDNIGHT","⚠ PAST 10PM ONLY"))</f>
        <v/>
      </c>
      <c r="F233" s="170">
        <f>IF(A233="","",IFERROR(xlookup(A233,'FLEET REGISTER'!$B:$B,'FLEET REGISTER'!$F:$F),"Unknown"))</f>
        <v/>
      </c>
      <c r="G233" s="200" t="n"/>
      <c r="H233" s="200" t="n"/>
      <c r="I233" s="200" t="n"/>
      <c r="J233" s="200" t="n"/>
      <c r="K233" s="200" t="n"/>
      <c r="L233" s="200" t="n"/>
    </row>
    <row r="234" ht="15" customHeight="1" s="122">
      <c r="A234" s="197">
        <f>IF(A233="","","")</f>
        <v/>
      </c>
      <c r="B234" s="197">
        <f>IF(A234="","",IFERROR(xlookup(A234,'MONTHLY ANALYSIS'!$A:$A,'MONTHLY ANALYSIS'!$L:$L),0))</f>
        <v/>
      </c>
      <c r="C234" s="204">
        <f>IF(A234="","",IFERROR(xlookup(A234,'MONTHLY ANALYSIS'!$A:$A,'MONTHLY ANALYSIS'!$L:$L),0))</f>
        <v/>
      </c>
      <c r="D234" s="205">
        <f>IF(A234="","",IFERROR(xlookup(A234,'MONTHLY ANALYSIS'!$A:$A,'MONTHLY ANALYSIS'!$M:$M),0))</f>
        <v/>
      </c>
      <c r="E234" s="190">
        <f>IF(A234="","",IF(D234&gt;0,"⚑ PAST MIDNIGHT","⚠ PAST 10PM ONLY"))</f>
        <v/>
      </c>
      <c r="F234" s="170">
        <f>IF(A234="","",IFERROR(xlookup(A234,'FLEET REGISTER'!$B:$B,'FLEET REGISTER'!$F:$F),"Unknown"))</f>
        <v/>
      </c>
      <c r="G234" s="200" t="n"/>
      <c r="H234" s="200" t="n"/>
      <c r="I234" s="200" t="n"/>
      <c r="J234" s="200" t="n"/>
      <c r="K234" s="200" t="n"/>
      <c r="L234" s="200" t="n"/>
    </row>
    <row r="235" ht="15" customHeight="1" s="122">
      <c r="A235" s="197">
        <f>IF(A234="","","")</f>
        <v/>
      </c>
      <c r="B235" s="197">
        <f>IF(A235="","",IFERROR(xlookup(A235,'MONTHLY ANALYSIS'!$A:$A,'MONTHLY ANALYSIS'!$L:$L),0))</f>
        <v/>
      </c>
      <c r="C235" s="204">
        <f>IF(A235="","",IFERROR(xlookup(A235,'MONTHLY ANALYSIS'!$A:$A,'MONTHLY ANALYSIS'!$L:$L),0))</f>
        <v/>
      </c>
      <c r="D235" s="205">
        <f>IF(A235="","",IFERROR(xlookup(A235,'MONTHLY ANALYSIS'!$A:$A,'MONTHLY ANALYSIS'!$M:$M),0))</f>
        <v/>
      </c>
      <c r="E235" s="190">
        <f>IF(A235="","",IF(D235&gt;0,"⚑ PAST MIDNIGHT","⚠ PAST 10PM ONLY"))</f>
        <v/>
      </c>
      <c r="F235" s="170">
        <f>IF(A235="","",IFERROR(xlookup(A235,'FLEET REGISTER'!$B:$B,'FLEET REGISTER'!$F:$F),"Unknown"))</f>
        <v/>
      </c>
      <c r="G235" s="200" t="n"/>
      <c r="H235" s="200" t="n"/>
      <c r="I235" s="200" t="n"/>
      <c r="J235" s="200" t="n"/>
      <c r="K235" s="200" t="n"/>
      <c r="L235" s="200" t="n"/>
    </row>
    <row r="236" ht="15" customHeight="1" s="122">
      <c r="A236" s="197">
        <f>IF(A235="","","")</f>
        <v/>
      </c>
      <c r="B236" s="197">
        <f>IF(A236="","",IFERROR(xlookup(A236,'MONTHLY ANALYSIS'!$A:$A,'MONTHLY ANALYSIS'!$L:$L),0))</f>
        <v/>
      </c>
      <c r="C236" s="204">
        <f>IF(A236="","",IFERROR(xlookup(A236,'MONTHLY ANALYSIS'!$A:$A,'MONTHLY ANALYSIS'!$L:$L),0))</f>
        <v/>
      </c>
      <c r="D236" s="205">
        <f>IF(A236="","",IFERROR(xlookup(A236,'MONTHLY ANALYSIS'!$A:$A,'MONTHLY ANALYSIS'!$M:$M),0))</f>
        <v/>
      </c>
      <c r="E236" s="190">
        <f>IF(A236="","",IF(D236&gt;0,"⚑ PAST MIDNIGHT","⚠ PAST 10PM ONLY"))</f>
        <v/>
      </c>
      <c r="F236" s="170">
        <f>IF(A236="","",IFERROR(xlookup(A236,'FLEET REGISTER'!$B:$B,'FLEET REGISTER'!$F:$F),"Unknown"))</f>
        <v/>
      </c>
      <c r="G236" s="200" t="n"/>
      <c r="H236" s="200" t="n"/>
      <c r="I236" s="200" t="n"/>
      <c r="J236" s="200" t="n"/>
      <c r="K236" s="200" t="n"/>
      <c r="L236" s="200" t="n"/>
    </row>
    <row r="237" ht="15" customHeight="1" s="122">
      <c r="A237" s="197">
        <f>IF(A236="","","")</f>
        <v/>
      </c>
      <c r="B237" s="197">
        <f>IF(A237="","",IFERROR(xlookup(A237,'MONTHLY ANALYSIS'!$A:$A,'MONTHLY ANALYSIS'!$L:$L),0))</f>
        <v/>
      </c>
      <c r="C237" s="204">
        <f>IF(A237="","",IFERROR(xlookup(A237,'MONTHLY ANALYSIS'!$A:$A,'MONTHLY ANALYSIS'!$L:$L),0))</f>
        <v/>
      </c>
      <c r="D237" s="205">
        <f>IF(A237="","",IFERROR(xlookup(A237,'MONTHLY ANALYSIS'!$A:$A,'MONTHLY ANALYSIS'!$M:$M),0))</f>
        <v/>
      </c>
      <c r="E237" s="190">
        <f>IF(A237="","",IF(D237&gt;0,"⚑ PAST MIDNIGHT","⚠ PAST 10PM ONLY"))</f>
        <v/>
      </c>
      <c r="F237" s="170">
        <f>IF(A237="","",IFERROR(xlookup(A237,'FLEET REGISTER'!$B:$B,'FLEET REGISTER'!$F:$F),"Unknown"))</f>
        <v/>
      </c>
      <c r="G237" s="200" t="n"/>
      <c r="H237" s="200" t="n"/>
      <c r="I237" s="200" t="n"/>
      <c r="J237" s="200" t="n"/>
      <c r="K237" s="200" t="n"/>
      <c r="L237" s="200" t="n"/>
    </row>
    <row r="238" ht="15" customHeight="1" s="122">
      <c r="A238" s="197">
        <f>IF(A237="","","")</f>
        <v/>
      </c>
      <c r="B238" s="197">
        <f>IF(A238="","",IFERROR(xlookup(A238,'MONTHLY ANALYSIS'!$A:$A,'MONTHLY ANALYSIS'!$L:$L),0))</f>
        <v/>
      </c>
      <c r="C238" s="204">
        <f>IF(A238="","",IFERROR(xlookup(A238,'MONTHLY ANALYSIS'!$A:$A,'MONTHLY ANALYSIS'!$L:$L),0))</f>
        <v/>
      </c>
      <c r="D238" s="205">
        <f>IF(A238="","",IFERROR(xlookup(A238,'MONTHLY ANALYSIS'!$A:$A,'MONTHLY ANALYSIS'!$M:$M),0))</f>
        <v/>
      </c>
      <c r="E238" s="190">
        <f>IF(A238="","",IF(D238&gt;0,"⚑ PAST MIDNIGHT","⚠ PAST 10PM ONLY"))</f>
        <v/>
      </c>
      <c r="F238" s="170">
        <f>IF(A238="","",IFERROR(xlookup(A238,'FLEET REGISTER'!$B:$B,'FLEET REGISTER'!$F:$F),"Unknown"))</f>
        <v/>
      </c>
      <c r="G238" s="200" t="n"/>
      <c r="H238" s="200" t="n"/>
      <c r="I238" s="200" t="n"/>
      <c r="J238" s="200" t="n"/>
      <c r="K238" s="200" t="n"/>
      <c r="L238" s="200" t="n"/>
    </row>
    <row r="239" ht="15" customHeight="1" s="122">
      <c r="A239" s="197">
        <f>IF(A238="","","")</f>
        <v/>
      </c>
      <c r="B239" s="197">
        <f>IF(A239="","",IFERROR(xlookup(A239,'MONTHLY ANALYSIS'!$A:$A,'MONTHLY ANALYSIS'!$L:$L),0))</f>
        <v/>
      </c>
      <c r="C239" s="204">
        <f>IF(A239="","",IFERROR(xlookup(A239,'MONTHLY ANALYSIS'!$A:$A,'MONTHLY ANALYSIS'!$L:$L),0))</f>
        <v/>
      </c>
      <c r="D239" s="205">
        <f>IF(A239="","",IFERROR(xlookup(A239,'MONTHLY ANALYSIS'!$A:$A,'MONTHLY ANALYSIS'!$M:$M),0))</f>
        <v/>
      </c>
      <c r="E239" s="190">
        <f>IF(A239="","",IF(D239&gt;0,"⚑ PAST MIDNIGHT","⚠ PAST 10PM ONLY"))</f>
        <v/>
      </c>
      <c r="F239" s="170">
        <f>IF(A239="","",IFERROR(xlookup(A239,'FLEET REGISTER'!$B:$B,'FLEET REGISTER'!$F:$F),"Unknown"))</f>
        <v/>
      </c>
      <c r="G239" s="200" t="n"/>
      <c r="H239" s="200" t="n"/>
      <c r="I239" s="200" t="n"/>
      <c r="J239" s="200" t="n"/>
      <c r="K239" s="200" t="n"/>
      <c r="L239" s="200" t="n"/>
    </row>
    <row r="240" ht="15" customHeight="1" s="122">
      <c r="A240" s="197">
        <f>IF(A239="","","")</f>
        <v/>
      </c>
      <c r="B240" s="197">
        <f>IF(A240="","",IFERROR(xlookup(A240,'MONTHLY ANALYSIS'!$A:$A,'MONTHLY ANALYSIS'!$L:$L),0))</f>
        <v/>
      </c>
      <c r="C240" s="204">
        <f>IF(A240="","",IFERROR(xlookup(A240,'MONTHLY ANALYSIS'!$A:$A,'MONTHLY ANALYSIS'!$L:$L),0))</f>
        <v/>
      </c>
      <c r="D240" s="205">
        <f>IF(A240="","",IFERROR(xlookup(A240,'MONTHLY ANALYSIS'!$A:$A,'MONTHLY ANALYSIS'!$M:$M),0))</f>
        <v/>
      </c>
      <c r="E240" s="190">
        <f>IF(A240="","",IF(D240&gt;0,"⚑ PAST MIDNIGHT","⚠ PAST 10PM ONLY"))</f>
        <v/>
      </c>
      <c r="F240" s="170">
        <f>IF(A240="","",IFERROR(xlookup(A240,'FLEET REGISTER'!$B:$B,'FLEET REGISTER'!$F:$F),"Unknown"))</f>
        <v/>
      </c>
      <c r="G240" s="200" t="n"/>
      <c r="H240" s="200" t="n"/>
      <c r="I240" s="200" t="n"/>
      <c r="J240" s="200" t="n"/>
      <c r="K240" s="200" t="n"/>
      <c r="L240" s="200" t="n"/>
    </row>
    <row r="241" ht="15" customHeight="1" s="122">
      <c r="A241" s="197">
        <f>IF(A240="","","")</f>
        <v/>
      </c>
      <c r="B241" s="197">
        <f>IF(A241="","",IFERROR(xlookup(A241,'MONTHLY ANALYSIS'!$A:$A,'MONTHLY ANALYSIS'!$L:$L),0))</f>
        <v/>
      </c>
      <c r="C241" s="204">
        <f>IF(A241="","",IFERROR(xlookup(A241,'MONTHLY ANALYSIS'!$A:$A,'MONTHLY ANALYSIS'!$L:$L),0))</f>
        <v/>
      </c>
      <c r="D241" s="205">
        <f>IF(A241="","",IFERROR(xlookup(A241,'MONTHLY ANALYSIS'!$A:$A,'MONTHLY ANALYSIS'!$M:$M),0))</f>
        <v/>
      </c>
      <c r="E241" s="190">
        <f>IF(A241="","",IF(D241&gt;0,"⚑ PAST MIDNIGHT","⚠ PAST 10PM ONLY"))</f>
        <v/>
      </c>
      <c r="F241" s="170">
        <f>IF(A241="","",IFERROR(xlookup(A241,'FLEET REGISTER'!$B:$B,'FLEET REGISTER'!$F:$F),"Unknown"))</f>
        <v/>
      </c>
      <c r="G241" s="200" t="n"/>
      <c r="H241" s="200" t="n"/>
      <c r="I241" s="200" t="n"/>
      <c r="J241" s="200" t="n"/>
      <c r="K241" s="200" t="n"/>
      <c r="L241" s="200" t="n"/>
    </row>
    <row r="242" ht="15" customHeight="1" s="122">
      <c r="A242" s="197">
        <f>IF(A241="","","")</f>
        <v/>
      </c>
      <c r="B242" s="197">
        <f>IF(A242="","",IFERROR(xlookup(A242,'MONTHLY ANALYSIS'!$A:$A,'MONTHLY ANALYSIS'!$L:$L),0))</f>
        <v/>
      </c>
      <c r="C242" s="204">
        <f>IF(A242="","",IFERROR(xlookup(A242,'MONTHLY ANALYSIS'!$A:$A,'MONTHLY ANALYSIS'!$L:$L),0))</f>
        <v/>
      </c>
      <c r="D242" s="205">
        <f>IF(A242="","",IFERROR(xlookup(A242,'MONTHLY ANALYSIS'!$A:$A,'MONTHLY ANALYSIS'!$M:$M),0))</f>
        <v/>
      </c>
      <c r="E242" s="190">
        <f>IF(A242="","",IF(D242&gt;0,"⚑ PAST MIDNIGHT","⚠ PAST 10PM ONLY"))</f>
        <v/>
      </c>
      <c r="F242" s="170">
        <f>IF(A242="","",IFERROR(xlookup(A242,'FLEET REGISTER'!$B:$B,'FLEET REGISTER'!$F:$F),"Unknown"))</f>
        <v/>
      </c>
      <c r="G242" s="200" t="n"/>
      <c r="H242" s="200" t="n"/>
      <c r="I242" s="200" t="n"/>
      <c r="J242" s="200" t="n"/>
      <c r="K242" s="200" t="n"/>
      <c r="L242" s="200" t="n"/>
    </row>
    <row r="243" ht="15" customHeight="1" s="122">
      <c r="A243" s="197">
        <f>IF(A242="","","")</f>
        <v/>
      </c>
      <c r="B243" s="197">
        <f>IF(A243="","",IFERROR(xlookup(A243,'MONTHLY ANALYSIS'!$A:$A,'MONTHLY ANALYSIS'!$L:$L),0))</f>
        <v/>
      </c>
      <c r="C243" s="204">
        <f>IF(A243="","",IFERROR(xlookup(A243,'MONTHLY ANALYSIS'!$A:$A,'MONTHLY ANALYSIS'!$L:$L),0))</f>
        <v/>
      </c>
      <c r="D243" s="205">
        <f>IF(A243="","",IFERROR(xlookup(A243,'MONTHLY ANALYSIS'!$A:$A,'MONTHLY ANALYSIS'!$M:$M),0))</f>
        <v/>
      </c>
      <c r="E243" s="190">
        <f>IF(A243="","",IF(D243&gt;0,"⚑ PAST MIDNIGHT","⚠ PAST 10PM ONLY"))</f>
        <v/>
      </c>
      <c r="F243" s="170">
        <f>IF(A243="","",IFERROR(xlookup(A243,'FLEET REGISTER'!$B:$B,'FLEET REGISTER'!$F:$F),"Unknown"))</f>
        <v/>
      </c>
      <c r="G243" s="200" t="n"/>
      <c r="H243" s="200" t="n"/>
      <c r="I243" s="200" t="n"/>
      <c r="J243" s="200" t="n"/>
      <c r="K243" s="200" t="n"/>
      <c r="L243" s="200" t="n"/>
    </row>
    <row r="244" ht="15" customHeight="1" s="122">
      <c r="A244" s="197">
        <f>IF(A243="","","")</f>
        <v/>
      </c>
      <c r="B244" s="197">
        <f>IF(A244="","",IFERROR(xlookup(A244,'MONTHLY ANALYSIS'!$A:$A,'MONTHLY ANALYSIS'!$L:$L),0))</f>
        <v/>
      </c>
      <c r="C244" s="204">
        <f>IF(A244="","",IFERROR(xlookup(A244,'MONTHLY ANALYSIS'!$A:$A,'MONTHLY ANALYSIS'!$L:$L),0))</f>
        <v/>
      </c>
      <c r="D244" s="205">
        <f>IF(A244="","",IFERROR(xlookup(A244,'MONTHLY ANALYSIS'!$A:$A,'MONTHLY ANALYSIS'!$M:$M),0))</f>
        <v/>
      </c>
      <c r="E244" s="190">
        <f>IF(A244="","",IF(D244&gt;0,"⚑ PAST MIDNIGHT","⚠ PAST 10PM ONLY"))</f>
        <v/>
      </c>
      <c r="F244" s="170">
        <f>IF(A244="","",IFERROR(xlookup(A244,'FLEET REGISTER'!$B:$B,'FLEET REGISTER'!$F:$F),"Unknown"))</f>
        <v/>
      </c>
      <c r="G244" s="200" t="n"/>
      <c r="H244" s="200" t="n"/>
      <c r="I244" s="200" t="n"/>
      <c r="J244" s="200" t="n"/>
      <c r="K244" s="200" t="n"/>
      <c r="L244" s="200" t="n"/>
    </row>
    <row r="245" ht="15" customHeight="1" s="122">
      <c r="A245" s="197">
        <f>IF(A244="","","")</f>
        <v/>
      </c>
      <c r="B245" s="197">
        <f>IF(A245="","",IFERROR(xlookup(A245,'MONTHLY ANALYSIS'!$A:$A,'MONTHLY ANALYSIS'!$L:$L),0))</f>
        <v/>
      </c>
      <c r="C245" s="204">
        <f>IF(A245="","",IFERROR(xlookup(A245,'MONTHLY ANALYSIS'!$A:$A,'MONTHLY ANALYSIS'!$L:$L),0))</f>
        <v/>
      </c>
      <c r="D245" s="205">
        <f>IF(A245="","",IFERROR(xlookup(A245,'MONTHLY ANALYSIS'!$A:$A,'MONTHLY ANALYSIS'!$M:$M),0))</f>
        <v/>
      </c>
      <c r="E245" s="190">
        <f>IF(A245="","",IF(D245&gt;0,"⚑ PAST MIDNIGHT","⚠ PAST 10PM ONLY"))</f>
        <v/>
      </c>
      <c r="F245" s="170">
        <f>IF(A245="","",IFERROR(xlookup(A245,'FLEET REGISTER'!$B:$B,'FLEET REGISTER'!$F:$F),"Unknown"))</f>
        <v/>
      </c>
      <c r="G245" s="200" t="n"/>
      <c r="H245" s="200" t="n"/>
      <c r="I245" s="200" t="n"/>
      <c r="J245" s="200" t="n"/>
      <c r="K245" s="200" t="n"/>
      <c r="L245" s="200" t="n"/>
    </row>
    <row r="246" ht="15" customHeight="1" s="122">
      <c r="A246" s="197">
        <f>IF(A245="","","")</f>
        <v/>
      </c>
      <c r="B246" s="197">
        <f>IF(A246="","",IFERROR(xlookup(A246,'MONTHLY ANALYSIS'!$A:$A,'MONTHLY ANALYSIS'!$L:$L),0))</f>
        <v/>
      </c>
      <c r="C246" s="204">
        <f>IF(A246="","",IFERROR(xlookup(A246,'MONTHLY ANALYSIS'!$A:$A,'MONTHLY ANALYSIS'!$L:$L),0))</f>
        <v/>
      </c>
      <c r="D246" s="205">
        <f>IF(A246="","",IFERROR(xlookup(A246,'MONTHLY ANALYSIS'!$A:$A,'MONTHLY ANALYSIS'!$M:$M),0))</f>
        <v/>
      </c>
      <c r="E246" s="190">
        <f>IF(A246="","",IF(D246&gt;0,"⚑ PAST MIDNIGHT","⚠ PAST 10PM ONLY"))</f>
        <v/>
      </c>
      <c r="F246" s="170">
        <f>IF(A246="","",IFERROR(xlookup(A246,'FLEET REGISTER'!$B:$B,'FLEET REGISTER'!$F:$F),"Unknown"))</f>
        <v/>
      </c>
      <c r="G246" s="200" t="n"/>
      <c r="H246" s="200" t="n"/>
      <c r="I246" s="200" t="n"/>
      <c r="J246" s="200" t="n"/>
      <c r="K246" s="200" t="n"/>
      <c r="L246" s="200" t="n"/>
    </row>
    <row r="247" ht="15" customHeight="1" s="122">
      <c r="A247" s="197">
        <f>IF(A246="","","")</f>
        <v/>
      </c>
      <c r="B247" s="197">
        <f>IF(A247="","",IFERROR(xlookup(A247,'MONTHLY ANALYSIS'!$A:$A,'MONTHLY ANALYSIS'!$L:$L),0))</f>
        <v/>
      </c>
      <c r="C247" s="204">
        <f>IF(A247="","",IFERROR(xlookup(A247,'MONTHLY ANALYSIS'!$A:$A,'MONTHLY ANALYSIS'!$L:$L),0))</f>
        <v/>
      </c>
      <c r="D247" s="205">
        <f>IF(A247="","",IFERROR(xlookup(A247,'MONTHLY ANALYSIS'!$A:$A,'MONTHLY ANALYSIS'!$M:$M),0))</f>
        <v/>
      </c>
      <c r="E247" s="190">
        <f>IF(A247="","",IF(D247&gt;0,"⚑ PAST MIDNIGHT","⚠ PAST 10PM ONLY"))</f>
        <v/>
      </c>
      <c r="F247" s="170">
        <f>IF(A247="","",IFERROR(xlookup(A247,'FLEET REGISTER'!$B:$B,'FLEET REGISTER'!$F:$F),"Unknown"))</f>
        <v/>
      </c>
      <c r="G247" s="200" t="n"/>
      <c r="H247" s="200" t="n"/>
      <c r="I247" s="200" t="n"/>
      <c r="J247" s="200" t="n"/>
      <c r="K247" s="200" t="n"/>
      <c r="L247" s="200" t="n"/>
    </row>
    <row r="248" ht="15" customHeight="1" s="122">
      <c r="A248" s="197">
        <f>IF(A247="","","")</f>
        <v/>
      </c>
      <c r="B248" s="197">
        <f>IF(A248="","",IFERROR(xlookup(A248,'MONTHLY ANALYSIS'!$A:$A,'MONTHLY ANALYSIS'!$L:$L),0))</f>
        <v/>
      </c>
      <c r="C248" s="204">
        <f>IF(A248="","",IFERROR(xlookup(A248,'MONTHLY ANALYSIS'!$A:$A,'MONTHLY ANALYSIS'!$L:$L),0))</f>
        <v/>
      </c>
      <c r="D248" s="205">
        <f>IF(A248="","",IFERROR(xlookup(A248,'MONTHLY ANALYSIS'!$A:$A,'MONTHLY ANALYSIS'!$M:$M),0))</f>
        <v/>
      </c>
      <c r="E248" s="190">
        <f>IF(A248="","",IF(D248&gt;0,"⚑ PAST MIDNIGHT","⚠ PAST 10PM ONLY"))</f>
        <v/>
      </c>
      <c r="F248" s="170">
        <f>IF(A248="","",IFERROR(xlookup(A248,'FLEET REGISTER'!$B:$B,'FLEET REGISTER'!$F:$F),"Unknown"))</f>
        <v/>
      </c>
      <c r="G248" s="200" t="n"/>
      <c r="H248" s="200" t="n"/>
      <c r="I248" s="200" t="n"/>
      <c r="J248" s="200" t="n"/>
      <c r="K248" s="200" t="n"/>
      <c r="L248" s="200" t="n"/>
    </row>
    <row r="249" ht="15" customHeight="1" s="122">
      <c r="A249" s="197">
        <f>IF(A248="","","")</f>
        <v/>
      </c>
      <c r="B249" s="197">
        <f>IF(A249="","",IFERROR(xlookup(A249,'MONTHLY ANALYSIS'!$A:$A,'MONTHLY ANALYSIS'!$L:$L),0))</f>
        <v/>
      </c>
      <c r="C249" s="204">
        <f>IF(A249="","",IFERROR(xlookup(A249,'MONTHLY ANALYSIS'!$A:$A,'MONTHLY ANALYSIS'!$L:$L),0))</f>
        <v/>
      </c>
      <c r="D249" s="205">
        <f>IF(A249="","",IFERROR(xlookup(A249,'MONTHLY ANALYSIS'!$A:$A,'MONTHLY ANALYSIS'!$M:$M),0))</f>
        <v/>
      </c>
      <c r="E249" s="190">
        <f>IF(A249="","",IF(D249&gt;0,"⚑ PAST MIDNIGHT","⚠ PAST 10PM ONLY"))</f>
        <v/>
      </c>
      <c r="F249" s="170">
        <f>IF(A249="","",IFERROR(xlookup(A249,'FLEET REGISTER'!$B:$B,'FLEET REGISTER'!$F:$F),"Unknown"))</f>
        <v/>
      </c>
      <c r="G249" s="200" t="n"/>
      <c r="H249" s="200" t="n"/>
      <c r="I249" s="200" t="n"/>
      <c r="J249" s="200" t="n"/>
      <c r="K249" s="200" t="n"/>
      <c r="L249" s="200" t="n"/>
    </row>
    <row r="250" ht="15" customHeight="1" s="122">
      <c r="A250" s="197">
        <f>IF(A249="","","")</f>
        <v/>
      </c>
      <c r="B250" s="197">
        <f>IF(A250="","",IFERROR(xlookup(A250,'MONTHLY ANALYSIS'!$A:$A,'MONTHLY ANALYSIS'!$L:$L),0))</f>
        <v/>
      </c>
      <c r="C250" s="204">
        <f>IF(A250="","",IFERROR(xlookup(A250,'MONTHLY ANALYSIS'!$A:$A,'MONTHLY ANALYSIS'!$L:$L),0))</f>
        <v/>
      </c>
      <c r="D250" s="205">
        <f>IF(A250="","",IFERROR(xlookup(A250,'MONTHLY ANALYSIS'!$A:$A,'MONTHLY ANALYSIS'!$M:$M),0))</f>
        <v/>
      </c>
      <c r="E250" s="190">
        <f>IF(A250="","",IF(D250&gt;0,"⚑ PAST MIDNIGHT","⚠ PAST 10PM ONLY"))</f>
        <v/>
      </c>
      <c r="F250" s="170">
        <f>IF(A250="","",IFERROR(xlookup(A250,'FLEET REGISTER'!$B:$B,'FLEET REGISTER'!$F:$F),"Unknown"))</f>
        <v/>
      </c>
      <c r="G250" s="200" t="n"/>
      <c r="H250" s="200" t="n"/>
      <c r="I250" s="200" t="n"/>
      <c r="J250" s="200" t="n"/>
      <c r="K250" s="200" t="n"/>
      <c r="L250" s="200" t="n"/>
    </row>
    <row r="251" ht="15" customHeight="1" s="122">
      <c r="A251" s="197">
        <f>IF(A250="","","")</f>
        <v/>
      </c>
      <c r="B251" s="197">
        <f>IF(A251="","",IFERROR(xlookup(A251,'MONTHLY ANALYSIS'!$A:$A,'MONTHLY ANALYSIS'!$L:$L),0))</f>
        <v/>
      </c>
      <c r="C251" s="204">
        <f>IF(A251="","",IFERROR(xlookup(A251,'MONTHLY ANALYSIS'!$A:$A,'MONTHLY ANALYSIS'!$L:$L),0))</f>
        <v/>
      </c>
      <c r="D251" s="205">
        <f>IF(A251="","",IFERROR(xlookup(A251,'MONTHLY ANALYSIS'!$A:$A,'MONTHLY ANALYSIS'!$M:$M),0))</f>
        <v/>
      </c>
      <c r="E251" s="190">
        <f>IF(A251="","",IF(D251&gt;0,"⚑ PAST MIDNIGHT","⚠ PAST 10PM ONLY"))</f>
        <v/>
      </c>
      <c r="F251" s="170">
        <f>IF(A251="","",IFERROR(xlookup(A251,'FLEET REGISTER'!$B:$B,'FLEET REGISTER'!$F:$F),"Unknown"))</f>
        <v/>
      </c>
      <c r="G251" s="200" t="n"/>
      <c r="H251" s="200" t="n"/>
      <c r="I251" s="200" t="n"/>
      <c r="J251" s="200" t="n"/>
      <c r="K251" s="200" t="n"/>
      <c r="L251" s="200" t="n"/>
    </row>
    <row r="252" ht="15" customHeight="1" s="122">
      <c r="A252" s="197">
        <f>IF(A251="","","")</f>
        <v/>
      </c>
      <c r="B252" s="197">
        <f>IF(A252="","",IFERROR(xlookup(A252,'MONTHLY ANALYSIS'!$A:$A,'MONTHLY ANALYSIS'!$L:$L),0))</f>
        <v/>
      </c>
      <c r="C252" s="204">
        <f>IF(A252="","",IFERROR(xlookup(A252,'MONTHLY ANALYSIS'!$A:$A,'MONTHLY ANALYSIS'!$L:$L),0))</f>
        <v/>
      </c>
      <c r="D252" s="205">
        <f>IF(A252="","",IFERROR(xlookup(A252,'MONTHLY ANALYSIS'!$A:$A,'MONTHLY ANALYSIS'!$M:$M),0))</f>
        <v/>
      </c>
      <c r="E252" s="190">
        <f>IF(A252="","",IF(D252&gt;0,"⚑ PAST MIDNIGHT","⚠ PAST 10PM ONLY"))</f>
        <v/>
      </c>
      <c r="F252" s="170">
        <f>IF(A252="","",IFERROR(xlookup(A252,'FLEET REGISTER'!$B:$B,'FLEET REGISTER'!$F:$F),"Unknown"))</f>
        <v/>
      </c>
      <c r="G252" s="200" t="n"/>
      <c r="H252" s="200" t="n"/>
      <c r="I252" s="200" t="n"/>
      <c r="J252" s="200" t="n"/>
      <c r="K252" s="200" t="n"/>
      <c r="L252" s="200" t="n"/>
    </row>
    <row r="253" ht="15" customHeight="1" s="122">
      <c r="A253" s="197">
        <f>IF(A252="","","")</f>
        <v/>
      </c>
      <c r="B253" s="197">
        <f>IF(A253="","",IFERROR(xlookup(A253,'MONTHLY ANALYSIS'!$A:$A,'MONTHLY ANALYSIS'!$L:$L),0))</f>
        <v/>
      </c>
      <c r="C253" s="204">
        <f>IF(A253="","",IFERROR(xlookup(A253,'MONTHLY ANALYSIS'!$A:$A,'MONTHLY ANALYSIS'!$L:$L),0))</f>
        <v/>
      </c>
      <c r="D253" s="205">
        <f>IF(A253="","",IFERROR(xlookup(A253,'MONTHLY ANALYSIS'!$A:$A,'MONTHLY ANALYSIS'!$M:$M),0))</f>
        <v/>
      </c>
      <c r="E253" s="190">
        <f>IF(A253="","",IF(D253&gt;0,"⚑ PAST MIDNIGHT","⚠ PAST 10PM ONLY"))</f>
        <v/>
      </c>
      <c r="F253" s="170">
        <f>IF(A253="","",IFERROR(xlookup(A253,'FLEET REGISTER'!$B:$B,'FLEET REGISTER'!$F:$F),"Unknown"))</f>
        <v/>
      </c>
      <c r="G253" s="200" t="n"/>
      <c r="H253" s="200" t="n"/>
      <c r="I253" s="200" t="n"/>
      <c r="J253" s="200" t="n"/>
      <c r="K253" s="200" t="n"/>
      <c r="L253" s="200" t="n"/>
    </row>
    <row r="254" ht="15" customHeight="1" s="122">
      <c r="A254" s="197">
        <f>IF(A253="","","")</f>
        <v/>
      </c>
      <c r="B254" s="197">
        <f>IF(A254="","",IFERROR(xlookup(A254,'MONTHLY ANALYSIS'!$A:$A,'MONTHLY ANALYSIS'!$L:$L),0))</f>
        <v/>
      </c>
      <c r="C254" s="204">
        <f>IF(A254="","",IFERROR(xlookup(A254,'MONTHLY ANALYSIS'!$A:$A,'MONTHLY ANALYSIS'!$L:$L),0))</f>
        <v/>
      </c>
      <c r="D254" s="205">
        <f>IF(A254="","",IFERROR(xlookup(A254,'MONTHLY ANALYSIS'!$A:$A,'MONTHLY ANALYSIS'!$M:$M),0))</f>
        <v/>
      </c>
      <c r="E254" s="190">
        <f>IF(A254="","",IF(D254&gt;0,"⚑ PAST MIDNIGHT","⚠ PAST 10PM ONLY"))</f>
        <v/>
      </c>
      <c r="F254" s="170">
        <f>IF(A254="","",IFERROR(xlookup(A254,'FLEET REGISTER'!$B:$B,'FLEET REGISTER'!$F:$F),"Unknown"))</f>
        <v/>
      </c>
      <c r="G254" s="200" t="n"/>
      <c r="H254" s="200" t="n"/>
      <c r="I254" s="200" t="n"/>
      <c r="J254" s="200" t="n"/>
      <c r="K254" s="200" t="n"/>
      <c r="L254" s="200" t="n"/>
    </row>
    <row r="255" ht="15" customHeight="1" s="122">
      <c r="A255" s="197">
        <f>IF(A254="","","")</f>
        <v/>
      </c>
      <c r="B255" s="197">
        <f>IF(A255="","",IFERROR(xlookup(A255,'MONTHLY ANALYSIS'!$A:$A,'MONTHLY ANALYSIS'!$L:$L),0))</f>
        <v/>
      </c>
      <c r="C255" s="204">
        <f>IF(A255="","",IFERROR(xlookup(A255,'MONTHLY ANALYSIS'!$A:$A,'MONTHLY ANALYSIS'!$L:$L),0))</f>
        <v/>
      </c>
      <c r="D255" s="205">
        <f>IF(A255="","",IFERROR(xlookup(A255,'MONTHLY ANALYSIS'!$A:$A,'MONTHLY ANALYSIS'!$M:$M),0))</f>
        <v/>
      </c>
      <c r="E255" s="190">
        <f>IF(A255="","",IF(D255&gt;0,"⚑ PAST MIDNIGHT","⚠ PAST 10PM ONLY"))</f>
        <v/>
      </c>
      <c r="F255" s="170">
        <f>IF(A255="","",IFERROR(xlookup(A255,'FLEET REGISTER'!$B:$B,'FLEET REGISTER'!$F:$F),"Unknown"))</f>
        <v/>
      </c>
      <c r="G255" s="200" t="n"/>
      <c r="H255" s="200" t="n"/>
      <c r="I255" s="200" t="n"/>
      <c r="J255" s="200" t="n"/>
      <c r="K255" s="200" t="n"/>
      <c r="L255" s="200" t="n"/>
    </row>
    <row r="256" ht="15" customHeight="1" s="122">
      <c r="A256" s="197">
        <f>IF(A255="","","")</f>
        <v/>
      </c>
      <c r="B256" s="197">
        <f>IF(A256="","",IFERROR(xlookup(A256,'MONTHLY ANALYSIS'!$A:$A,'MONTHLY ANALYSIS'!$L:$L),0))</f>
        <v/>
      </c>
      <c r="C256" s="204">
        <f>IF(A256="","",IFERROR(xlookup(A256,'MONTHLY ANALYSIS'!$A:$A,'MONTHLY ANALYSIS'!$L:$L),0))</f>
        <v/>
      </c>
      <c r="D256" s="205">
        <f>IF(A256="","",IFERROR(xlookup(A256,'MONTHLY ANALYSIS'!$A:$A,'MONTHLY ANALYSIS'!$M:$M),0))</f>
        <v/>
      </c>
      <c r="E256" s="190">
        <f>IF(A256="","",IF(D256&gt;0,"⚑ PAST MIDNIGHT","⚠ PAST 10PM ONLY"))</f>
        <v/>
      </c>
      <c r="F256" s="170">
        <f>IF(A256="","",IFERROR(xlookup(A256,'FLEET REGISTER'!$B:$B,'FLEET REGISTER'!$F:$F),"Unknown"))</f>
        <v/>
      </c>
      <c r="G256" s="200" t="n"/>
      <c r="H256" s="200" t="n"/>
      <c r="I256" s="200" t="n"/>
      <c r="J256" s="200" t="n"/>
      <c r="K256" s="200" t="n"/>
      <c r="L256" s="200" t="n"/>
    </row>
    <row r="257" ht="15" customHeight="1" s="122">
      <c r="A257" s="197">
        <f>IF(A256="","","")</f>
        <v/>
      </c>
      <c r="B257" s="197">
        <f>IF(A257="","",IFERROR(xlookup(A257,'MONTHLY ANALYSIS'!$A:$A,'MONTHLY ANALYSIS'!$L:$L),0))</f>
        <v/>
      </c>
      <c r="C257" s="204">
        <f>IF(A257="","",IFERROR(xlookup(A257,'MONTHLY ANALYSIS'!$A:$A,'MONTHLY ANALYSIS'!$L:$L),0))</f>
        <v/>
      </c>
      <c r="D257" s="205">
        <f>IF(A257="","",IFERROR(xlookup(A257,'MONTHLY ANALYSIS'!$A:$A,'MONTHLY ANALYSIS'!$M:$M),0))</f>
        <v/>
      </c>
      <c r="E257" s="190">
        <f>IF(A257="","",IF(D257&gt;0,"⚑ PAST MIDNIGHT","⚠ PAST 10PM ONLY"))</f>
        <v/>
      </c>
      <c r="F257" s="170">
        <f>IF(A257="","",IFERROR(xlookup(A257,'FLEET REGISTER'!$B:$B,'FLEET REGISTER'!$F:$F),"Unknown"))</f>
        <v/>
      </c>
      <c r="G257" s="200" t="n"/>
      <c r="H257" s="200" t="n"/>
      <c r="I257" s="200" t="n"/>
      <c r="J257" s="200" t="n"/>
      <c r="K257" s="200" t="n"/>
      <c r="L257" s="200" t="n"/>
    </row>
    <row r="258" ht="15" customHeight="1" s="122">
      <c r="A258" s="197">
        <f>IF(A257="","","")</f>
        <v/>
      </c>
      <c r="B258" s="197">
        <f>IF(A258="","",IFERROR(xlookup(A258,'MONTHLY ANALYSIS'!$A:$A,'MONTHLY ANALYSIS'!$L:$L),0))</f>
        <v/>
      </c>
      <c r="C258" s="204">
        <f>IF(A258="","",IFERROR(xlookup(A258,'MONTHLY ANALYSIS'!$A:$A,'MONTHLY ANALYSIS'!$L:$L),0))</f>
        <v/>
      </c>
      <c r="D258" s="205">
        <f>IF(A258="","",IFERROR(xlookup(A258,'MONTHLY ANALYSIS'!$A:$A,'MONTHLY ANALYSIS'!$M:$M),0))</f>
        <v/>
      </c>
      <c r="E258" s="190">
        <f>IF(A258="","",IF(D258&gt;0,"⚑ PAST MIDNIGHT","⚠ PAST 10PM ONLY"))</f>
        <v/>
      </c>
      <c r="F258" s="170">
        <f>IF(A258="","",IFERROR(xlookup(A258,'FLEET REGISTER'!$B:$B,'FLEET REGISTER'!$F:$F),"Unknown"))</f>
        <v/>
      </c>
      <c r="G258" s="200" t="n"/>
      <c r="H258" s="200" t="n"/>
      <c r="I258" s="200" t="n"/>
      <c r="J258" s="200" t="n"/>
      <c r="K258" s="200" t="n"/>
      <c r="L258" s="200" t="n"/>
    </row>
    <row r="259" ht="15" customHeight="1" s="122">
      <c r="A259" s="197">
        <f>IF(A258="","","")</f>
        <v/>
      </c>
      <c r="B259" s="197">
        <f>IF(A259="","",IFERROR(xlookup(A259,'MONTHLY ANALYSIS'!$A:$A,'MONTHLY ANALYSIS'!$L:$L),0))</f>
        <v/>
      </c>
      <c r="C259" s="204">
        <f>IF(A259="","",IFERROR(xlookup(A259,'MONTHLY ANALYSIS'!$A:$A,'MONTHLY ANALYSIS'!$L:$L),0))</f>
        <v/>
      </c>
      <c r="D259" s="205">
        <f>IF(A259="","",IFERROR(xlookup(A259,'MONTHLY ANALYSIS'!$A:$A,'MONTHLY ANALYSIS'!$M:$M),0))</f>
        <v/>
      </c>
      <c r="E259" s="190">
        <f>IF(A259="","",IF(D259&gt;0,"⚑ PAST MIDNIGHT","⚠ PAST 10PM ONLY"))</f>
        <v/>
      </c>
      <c r="F259" s="170">
        <f>IF(A259="","",IFERROR(xlookup(A259,'FLEET REGISTER'!$B:$B,'FLEET REGISTER'!$F:$F),"Unknown"))</f>
        <v/>
      </c>
      <c r="G259" s="200" t="n"/>
      <c r="H259" s="200" t="n"/>
      <c r="I259" s="200" t="n"/>
      <c r="J259" s="200" t="n"/>
      <c r="K259" s="200" t="n"/>
      <c r="L259" s="200" t="n"/>
    </row>
    <row r="260" ht="15" customHeight="1" s="122">
      <c r="A260" s="197">
        <f>IF(A259="","","")</f>
        <v/>
      </c>
      <c r="B260" s="197">
        <f>IF(A260="","",IFERROR(xlookup(A260,'MONTHLY ANALYSIS'!$A:$A,'MONTHLY ANALYSIS'!$L:$L),0))</f>
        <v/>
      </c>
      <c r="C260" s="204">
        <f>IF(A260="","",IFERROR(xlookup(A260,'MONTHLY ANALYSIS'!$A:$A,'MONTHLY ANALYSIS'!$L:$L),0))</f>
        <v/>
      </c>
      <c r="D260" s="205">
        <f>IF(A260="","",IFERROR(xlookup(A260,'MONTHLY ANALYSIS'!$A:$A,'MONTHLY ANALYSIS'!$M:$M),0))</f>
        <v/>
      </c>
      <c r="E260" s="190">
        <f>IF(A260="","",IF(D260&gt;0,"⚑ PAST MIDNIGHT","⚠ PAST 10PM ONLY"))</f>
        <v/>
      </c>
      <c r="F260" s="170">
        <f>IF(A260="","",IFERROR(xlookup(A260,'FLEET REGISTER'!$B:$B,'FLEET REGISTER'!$F:$F),"Unknown"))</f>
        <v/>
      </c>
      <c r="G260" s="200" t="n"/>
      <c r="H260" s="200" t="n"/>
      <c r="I260" s="200" t="n"/>
      <c r="J260" s="200" t="n"/>
      <c r="K260" s="200" t="n"/>
      <c r="L260" s="200" t="n"/>
    </row>
    <row r="261" ht="15" customHeight="1" s="122">
      <c r="A261" s="197">
        <f>IF(A260="","","")</f>
        <v/>
      </c>
      <c r="B261" s="197">
        <f>IF(A261="","",IFERROR(xlookup(A261,'MONTHLY ANALYSIS'!$A:$A,'MONTHLY ANALYSIS'!$L:$L),0))</f>
        <v/>
      </c>
      <c r="C261" s="204">
        <f>IF(A261="","",IFERROR(xlookup(A261,'MONTHLY ANALYSIS'!$A:$A,'MONTHLY ANALYSIS'!$L:$L),0))</f>
        <v/>
      </c>
      <c r="D261" s="205">
        <f>IF(A261="","",IFERROR(xlookup(A261,'MONTHLY ANALYSIS'!$A:$A,'MONTHLY ANALYSIS'!$M:$M),0))</f>
        <v/>
      </c>
      <c r="E261" s="190">
        <f>IF(A261="","",IF(D261&gt;0,"⚑ PAST MIDNIGHT","⚠ PAST 10PM ONLY"))</f>
        <v/>
      </c>
      <c r="F261" s="170">
        <f>IF(A261="","",IFERROR(xlookup(A261,'FLEET REGISTER'!$B:$B,'FLEET REGISTER'!$F:$F),"Unknown"))</f>
        <v/>
      </c>
      <c r="G261" s="200" t="n"/>
      <c r="H261" s="200" t="n"/>
      <c r="I261" s="200" t="n"/>
      <c r="J261" s="200" t="n"/>
      <c r="K261" s="200" t="n"/>
      <c r="L261" s="200" t="n"/>
    </row>
    <row r="262" ht="15" customHeight="1" s="122">
      <c r="A262" s="197">
        <f>IF(A261="","","")</f>
        <v/>
      </c>
      <c r="B262" s="197">
        <f>IF(A262="","",IFERROR(xlookup(A262,'MONTHLY ANALYSIS'!$A:$A,'MONTHLY ANALYSIS'!$L:$L),0))</f>
        <v/>
      </c>
      <c r="C262" s="204">
        <f>IF(A262="","",IFERROR(xlookup(A262,'MONTHLY ANALYSIS'!$A:$A,'MONTHLY ANALYSIS'!$L:$L),0))</f>
        <v/>
      </c>
      <c r="D262" s="205">
        <f>IF(A262="","",IFERROR(xlookup(A262,'MONTHLY ANALYSIS'!$A:$A,'MONTHLY ANALYSIS'!$M:$M),0))</f>
        <v/>
      </c>
      <c r="E262" s="190">
        <f>IF(A262="","",IF(D262&gt;0,"⚑ PAST MIDNIGHT","⚠ PAST 10PM ONLY"))</f>
        <v/>
      </c>
      <c r="F262" s="170">
        <f>IF(A262="","",IFERROR(xlookup(A262,'FLEET REGISTER'!$B:$B,'FLEET REGISTER'!$F:$F),"Unknown"))</f>
        <v/>
      </c>
      <c r="G262" s="200" t="n"/>
      <c r="H262" s="200" t="n"/>
      <c r="I262" s="200" t="n"/>
      <c r="J262" s="200" t="n"/>
      <c r="K262" s="200" t="n"/>
      <c r="L262" s="200" t="n"/>
    </row>
    <row r="263" ht="15" customHeight="1" s="122">
      <c r="A263" s="197">
        <f>IF(A262="","","")</f>
        <v/>
      </c>
      <c r="B263" s="197">
        <f>IF(A263="","",IFERROR(xlookup(A263,'MONTHLY ANALYSIS'!$A:$A,'MONTHLY ANALYSIS'!$L:$L),0))</f>
        <v/>
      </c>
      <c r="C263" s="204">
        <f>IF(A263="","",IFERROR(xlookup(A263,'MONTHLY ANALYSIS'!$A:$A,'MONTHLY ANALYSIS'!$L:$L),0))</f>
        <v/>
      </c>
      <c r="D263" s="205">
        <f>IF(A263="","",IFERROR(xlookup(A263,'MONTHLY ANALYSIS'!$A:$A,'MONTHLY ANALYSIS'!$M:$M),0))</f>
        <v/>
      </c>
      <c r="E263" s="190">
        <f>IF(A263="","",IF(D263&gt;0,"⚑ PAST MIDNIGHT","⚠ PAST 10PM ONLY"))</f>
        <v/>
      </c>
      <c r="F263" s="170">
        <f>IF(A263="","",IFERROR(xlookup(A263,'FLEET REGISTER'!$B:$B,'FLEET REGISTER'!$F:$F),"Unknown"))</f>
        <v/>
      </c>
      <c r="G263" s="200" t="n"/>
      <c r="H263" s="200" t="n"/>
      <c r="I263" s="200" t="n"/>
      <c r="J263" s="200" t="n"/>
      <c r="K263" s="200" t="n"/>
      <c r="L263" s="200" t="n"/>
    </row>
    <row r="264" ht="15" customHeight="1" s="122">
      <c r="A264" s="197">
        <f>IF(A263="","","")</f>
        <v/>
      </c>
      <c r="B264" s="197">
        <f>IF(A264="","",IFERROR(xlookup(A264,'MONTHLY ANALYSIS'!$A:$A,'MONTHLY ANALYSIS'!$L:$L),0))</f>
        <v/>
      </c>
      <c r="C264" s="204">
        <f>IF(A264="","",IFERROR(xlookup(A264,'MONTHLY ANALYSIS'!$A:$A,'MONTHLY ANALYSIS'!$L:$L),0))</f>
        <v/>
      </c>
      <c r="D264" s="205">
        <f>IF(A264="","",IFERROR(xlookup(A264,'MONTHLY ANALYSIS'!$A:$A,'MONTHLY ANALYSIS'!$M:$M),0))</f>
        <v/>
      </c>
      <c r="E264" s="190">
        <f>IF(A264="","",IF(D264&gt;0,"⚑ PAST MIDNIGHT","⚠ PAST 10PM ONLY"))</f>
        <v/>
      </c>
      <c r="F264" s="170">
        <f>IF(A264="","",IFERROR(xlookup(A264,'FLEET REGISTER'!$B:$B,'FLEET REGISTER'!$F:$F),"Unknown"))</f>
        <v/>
      </c>
      <c r="G264" s="200" t="n"/>
      <c r="H264" s="200" t="n"/>
      <c r="I264" s="200" t="n"/>
      <c r="J264" s="200" t="n"/>
      <c r="K264" s="200" t="n"/>
      <c r="L264" s="200" t="n"/>
    </row>
    <row r="265" ht="15" customHeight="1" s="122">
      <c r="A265" s="197">
        <f>IF(A264="","","")</f>
        <v/>
      </c>
      <c r="B265" s="197">
        <f>IF(A265="","",IFERROR(xlookup(A265,'MONTHLY ANALYSIS'!$A:$A,'MONTHLY ANALYSIS'!$L:$L),0))</f>
        <v/>
      </c>
      <c r="C265" s="204">
        <f>IF(A265="","",IFERROR(xlookup(A265,'MONTHLY ANALYSIS'!$A:$A,'MONTHLY ANALYSIS'!$L:$L),0))</f>
        <v/>
      </c>
      <c r="D265" s="205">
        <f>IF(A265="","",IFERROR(xlookup(A265,'MONTHLY ANALYSIS'!$A:$A,'MONTHLY ANALYSIS'!$M:$M),0))</f>
        <v/>
      </c>
      <c r="E265" s="190">
        <f>IF(A265="","",IF(D265&gt;0,"⚑ PAST MIDNIGHT","⚠ PAST 10PM ONLY"))</f>
        <v/>
      </c>
      <c r="F265" s="170">
        <f>IF(A265="","",IFERROR(xlookup(A265,'FLEET REGISTER'!$B:$B,'FLEET REGISTER'!$F:$F),"Unknown"))</f>
        <v/>
      </c>
      <c r="G265" s="200" t="n"/>
      <c r="H265" s="200" t="n"/>
      <c r="I265" s="200" t="n"/>
      <c r="J265" s="200" t="n"/>
      <c r="K265" s="200" t="n"/>
      <c r="L265" s="200" t="n"/>
    </row>
    <row r="266" ht="15" customHeight="1" s="122">
      <c r="A266" s="197">
        <f>IF(A265="","","")</f>
        <v/>
      </c>
      <c r="B266" s="197">
        <f>IF(A266="","",IFERROR(xlookup(A266,'MONTHLY ANALYSIS'!$A:$A,'MONTHLY ANALYSIS'!$L:$L),0))</f>
        <v/>
      </c>
      <c r="C266" s="204">
        <f>IF(A266="","",IFERROR(xlookup(A266,'MONTHLY ANALYSIS'!$A:$A,'MONTHLY ANALYSIS'!$L:$L),0))</f>
        <v/>
      </c>
      <c r="D266" s="205">
        <f>IF(A266="","",IFERROR(xlookup(A266,'MONTHLY ANALYSIS'!$A:$A,'MONTHLY ANALYSIS'!$M:$M),0))</f>
        <v/>
      </c>
      <c r="E266" s="190">
        <f>IF(A266="","",IF(D266&gt;0,"⚑ PAST MIDNIGHT","⚠ PAST 10PM ONLY"))</f>
        <v/>
      </c>
      <c r="F266" s="170">
        <f>IF(A266="","",IFERROR(xlookup(A266,'FLEET REGISTER'!$B:$B,'FLEET REGISTER'!$F:$F),"Unknown"))</f>
        <v/>
      </c>
      <c r="G266" s="200" t="n"/>
      <c r="H266" s="200" t="n"/>
      <c r="I266" s="200" t="n"/>
      <c r="J266" s="200" t="n"/>
      <c r="K266" s="200" t="n"/>
      <c r="L266" s="200" t="n"/>
    </row>
    <row r="267" ht="15" customHeight="1" s="122">
      <c r="A267" s="197">
        <f>IF(A266="","","")</f>
        <v/>
      </c>
      <c r="B267" s="197">
        <f>IF(A267="","",IFERROR(xlookup(A267,'MONTHLY ANALYSIS'!$A:$A,'MONTHLY ANALYSIS'!$L:$L),0))</f>
        <v/>
      </c>
      <c r="C267" s="204">
        <f>IF(A267="","",IFERROR(xlookup(A267,'MONTHLY ANALYSIS'!$A:$A,'MONTHLY ANALYSIS'!$L:$L),0))</f>
        <v/>
      </c>
      <c r="D267" s="205">
        <f>IF(A267="","",IFERROR(xlookup(A267,'MONTHLY ANALYSIS'!$A:$A,'MONTHLY ANALYSIS'!$M:$M),0))</f>
        <v/>
      </c>
      <c r="E267" s="190">
        <f>IF(A267="","",IF(D267&gt;0,"⚑ PAST MIDNIGHT","⚠ PAST 10PM ONLY"))</f>
        <v/>
      </c>
      <c r="F267" s="170">
        <f>IF(A267="","",IFERROR(xlookup(A267,'FLEET REGISTER'!$B:$B,'FLEET REGISTER'!$F:$F),"Unknown"))</f>
        <v/>
      </c>
      <c r="G267" s="200" t="n"/>
      <c r="H267" s="200" t="n"/>
      <c r="I267" s="200" t="n"/>
      <c r="J267" s="200" t="n"/>
      <c r="K267" s="200" t="n"/>
      <c r="L267" s="200" t="n"/>
    </row>
    <row r="268" ht="15" customHeight="1" s="122">
      <c r="A268" s="197">
        <f>IF(A267="","","")</f>
        <v/>
      </c>
      <c r="B268" s="197">
        <f>IF(A268="","",IFERROR(xlookup(A268,'MONTHLY ANALYSIS'!$A:$A,'MONTHLY ANALYSIS'!$L:$L),0))</f>
        <v/>
      </c>
      <c r="C268" s="204">
        <f>IF(A268="","",IFERROR(xlookup(A268,'MONTHLY ANALYSIS'!$A:$A,'MONTHLY ANALYSIS'!$L:$L),0))</f>
        <v/>
      </c>
      <c r="D268" s="205">
        <f>IF(A268="","",IFERROR(xlookup(A268,'MONTHLY ANALYSIS'!$A:$A,'MONTHLY ANALYSIS'!$M:$M),0))</f>
        <v/>
      </c>
      <c r="E268" s="190">
        <f>IF(A268="","",IF(D268&gt;0,"⚑ PAST MIDNIGHT","⚠ PAST 10PM ONLY"))</f>
        <v/>
      </c>
      <c r="F268" s="170">
        <f>IF(A268="","",IFERROR(xlookup(A268,'FLEET REGISTER'!$B:$B,'FLEET REGISTER'!$F:$F),"Unknown"))</f>
        <v/>
      </c>
      <c r="G268" s="200" t="n"/>
      <c r="H268" s="200" t="n"/>
      <c r="I268" s="200" t="n"/>
      <c r="J268" s="200" t="n"/>
      <c r="K268" s="200" t="n"/>
      <c r="L268" s="200" t="n"/>
    </row>
    <row r="269" ht="15" customHeight="1" s="122">
      <c r="A269" s="197">
        <f>IF(A268="","","")</f>
        <v/>
      </c>
      <c r="B269" s="197">
        <f>IF(A269="","",IFERROR(xlookup(A269,'MONTHLY ANALYSIS'!$A:$A,'MONTHLY ANALYSIS'!$L:$L),0))</f>
        <v/>
      </c>
      <c r="C269" s="204">
        <f>IF(A269="","",IFERROR(xlookup(A269,'MONTHLY ANALYSIS'!$A:$A,'MONTHLY ANALYSIS'!$L:$L),0))</f>
        <v/>
      </c>
      <c r="D269" s="205">
        <f>IF(A269="","",IFERROR(xlookup(A269,'MONTHLY ANALYSIS'!$A:$A,'MONTHLY ANALYSIS'!$M:$M),0))</f>
        <v/>
      </c>
      <c r="E269" s="190">
        <f>IF(A269="","",IF(D269&gt;0,"⚑ PAST MIDNIGHT","⚠ PAST 10PM ONLY"))</f>
        <v/>
      </c>
      <c r="F269" s="170">
        <f>IF(A269="","",IFERROR(xlookup(A269,'FLEET REGISTER'!$B:$B,'FLEET REGISTER'!$F:$F),"Unknown"))</f>
        <v/>
      </c>
      <c r="G269" s="200" t="n"/>
      <c r="H269" s="200" t="n"/>
      <c r="I269" s="200" t="n"/>
      <c r="J269" s="200" t="n"/>
      <c r="K269" s="200" t="n"/>
      <c r="L269" s="200" t="n"/>
    </row>
    <row r="270" ht="15" customHeight="1" s="122">
      <c r="A270" s="197">
        <f>IF(A269="","","")</f>
        <v/>
      </c>
      <c r="B270" s="197">
        <f>IF(A270="","",IFERROR(xlookup(A270,'MONTHLY ANALYSIS'!$A:$A,'MONTHLY ANALYSIS'!$L:$L),0))</f>
        <v/>
      </c>
      <c r="C270" s="204">
        <f>IF(A270="","",IFERROR(xlookup(A270,'MONTHLY ANALYSIS'!$A:$A,'MONTHLY ANALYSIS'!$L:$L),0))</f>
        <v/>
      </c>
      <c r="D270" s="205">
        <f>IF(A270="","",IFERROR(xlookup(A270,'MONTHLY ANALYSIS'!$A:$A,'MONTHLY ANALYSIS'!$M:$M),0))</f>
        <v/>
      </c>
      <c r="E270" s="190">
        <f>IF(A270="","",IF(D270&gt;0,"⚑ PAST MIDNIGHT","⚠ PAST 10PM ONLY"))</f>
        <v/>
      </c>
      <c r="F270" s="170">
        <f>IF(A270="","",IFERROR(xlookup(A270,'FLEET REGISTER'!$B:$B,'FLEET REGISTER'!$F:$F),"Unknown"))</f>
        <v/>
      </c>
      <c r="G270" s="200" t="n"/>
      <c r="H270" s="200" t="n"/>
      <c r="I270" s="200" t="n"/>
      <c r="J270" s="200" t="n"/>
      <c r="K270" s="200" t="n"/>
      <c r="L270" s="200" t="n"/>
    </row>
    <row r="271" ht="15" customHeight="1" s="122">
      <c r="A271" s="197">
        <f>IF(A270="","","")</f>
        <v/>
      </c>
      <c r="B271" s="197">
        <f>IF(A271="","",IFERROR(xlookup(A271,'MONTHLY ANALYSIS'!$A:$A,'MONTHLY ANALYSIS'!$L:$L),0))</f>
        <v/>
      </c>
      <c r="C271" s="204">
        <f>IF(A271="","",IFERROR(xlookup(A271,'MONTHLY ANALYSIS'!$A:$A,'MONTHLY ANALYSIS'!$L:$L),0))</f>
        <v/>
      </c>
      <c r="D271" s="205">
        <f>IF(A271="","",IFERROR(xlookup(A271,'MONTHLY ANALYSIS'!$A:$A,'MONTHLY ANALYSIS'!$M:$M),0))</f>
        <v/>
      </c>
      <c r="E271" s="190">
        <f>IF(A271="","",IF(D271&gt;0,"⚑ PAST MIDNIGHT","⚠ PAST 10PM ONLY"))</f>
        <v/>
      </c>
      <c r="F271" s="170">
        <f>IF(A271="","",IFERROR(xlookup(A271,'FLEET REGISTER'!$B:$B,'FLEET REGISTER'!$F:$F),"Unknown"))</f>
        <v/>
      </c>
      <c r="G271" s="200" t="n"/>
      <c r="H271" s="200" t="n"/>
      <c r="I271" s="200" t="n"/>
      <c r="J271" s="200" t="n"/>
      <c r="K271" s="200" t="n"/>
      <c r="L271" s="200" t="n"/>
    </row>
    <row r="272" ht="15" customHeight="1" s="122">
      <c r="A272" s="197">
        <f>IF(A271="","","")</f>
        <v/>
      </c>
      <c r="B272" s="197">
        <f>IF(A272="","",IFERROR(xlookup(A272,'MONTHLY ANALYSIS'!$A:$A,'MONTHLY ANALYSIS'!$L:$L),0))</f>
        <v/>
      </c>
      <c r="C272" s="204">
        <f>IF(A272="","",IFERROR(xlookup(A272,'MONTHLY ANALYSIS'!$A:$A,'MONTHLY ANALYSIS'!$L:$L),0))</f>
        <v/>
      </c>
      <c r="D272" s="205">
        <f>IF(A272="","",IFERROR(xlookup(A272,'MONTHLY ANALYSIS'!$A:$A,'MONTHLY ANALYSIS'!$M:$M),0))</f>
        <v/>
      </c>
      <c r="E272" s="190">
        <f>IF(A272="","",IF(D272&gt;0,"⚑ PAST MIDNIGHT","⚠ PAST 10PM ONLY"))</f>
        <v/>
      </c>
      <c r="F272" s="170">
        <f>IF(A272="","",IFERROR(xlookup(A272,'FLEET REGISTER'!$B:$B,'FLEET REGISTER'!$F:$F),"Unknown"))</f>
        <v/>
      </c>
      <c r="G272" s="200" t="n"/>
      <c r="H272" s="200" t="n"/>
      <c r="I272" s="200" t="n"/>
      <c r="J272" s="200" t="n"/>
      <c r="K272" s="200" t="n"/>
      <c r="L272" s="200" t="n"/>
    </row>
    <row r="273" ht="15" customHeight="1" s="122">
      <c r="A273" s="197">
        <f>IF(A272="","","")</f>
        <v/>
      </c>
      <c r="B273" s="197">
        <f>IF(A273="","",IFERROR(xlookup(A273,'MONTHLY ANALYSIS'!$A:$A,'MONTHLY ANALYSIS'!$L:$L),0))</f>
        <v/>
      </c>
      <c r="C273" s="204">
        <f>IF(A273="","",IFERROR(xlookup(A273,'MONTHLY ANALYSIS'!$A:$A,'MONTHLY ANALYSIS'!$L:$L),0))</f>
        <v/>
      </c>
      <c r="D273" s="205">
        <f>IF(A273="","",IFERROR(xlookup(A273,'MONTHLY ANALYSIS'!$A:$A,'MONTHLY ANALYSIS'!$M:$M),0))</f>
        <v/>
      </c>
      <c r="E273" s="190">
        <f>IF(A273="","",IF(D273&gt;0,"⚑ PAST MIDNIGHT","⚠ PAST 10PM ONLY"))</f>
        <v/>
      </c>
      <c r="F273" s="170">
        <f>IF(A273="","",IFERROR(xlookup(A273,'FLEET REGISTER'!$B:$B,'FLEET REGISTER'!$F:$F),"Unknown"))</f>
        <v/>
      </c>
      <c r="G273" s="200" t="n"/>
      <c r="H273" s="200" t="n"/>
      <c r="I273" s="200" t="n"/>
      <c r="J273" s="200" t="n"/>
      <c r="K273" s="200" t="n"/>
      <c r="L273" s="200" t="n"/>
    </row>
    <row r="274" ht="15" customHeight="1" s="122">
      <c r="A274" s="197">
        <f>IF(A273="","","")</f>
        <v/>
      </c>
      <c r="B274" s="197">
        <f>IF(A274="","",IFERROR(xlookup(A274,'MONTHLY ANALYSIS'!$A:$A,'MONTHLY ANALYSIS'!$L:$L),0))</f>
        <v/>
      </c>
      <c r="C274" s="204">
        <f>IF(A274="","",IFERROR(xlookup(A274,'MONTHLY ANALYSIS'!$A:$A,'MONTHLY ANALYSIS'!$L:$L),0))</f>
        <v/>
      </c>
      <c r="D274" s="205">
        <f>IF(A274="","",IFERROR(xlookup(A274,'MONTHLY ANALYSIS'!$A:$A,'MONTHLY ANALYSIS'!$M:$M),0))</f>
        <v/>
      </c>
      <c r="E274" s="190">
        <f>IF(A274="","",IF(D274&gt;0,"⚑ PAST MIDNIGHT","⚠ PAST 10PM ONLY"))</f>
        <v/>
      </c>
      <c r="F274" s="170">
        <f>IF(A274="","",IFERROR(xlookup(A274,'FLEET REGISTER'!$B:$B,'FLEET REGISTER'!$F:$F),"Unknown"))</f>
        <v/>
      </c>
      <c r="G274" s="200" t="n"/>
      <c r="H274" s="200" t="n"/>
      <c r="I274" s="200" t="n"/>
      <c r="J274" s="200" t="n"/>
      <c r="K274" s="200" t="n"/>
      <c r="L274" s="200" t="n"/>
    </row>
    <row r="275" ht="15" customHeight="1" s="122">
      <c r="A275" s="197">
        <f>IF(A274="","","")</f>
        <v/>
      </c>
      <c r="B275" s="197">
        <f>IF(A275="","",IFERROR(xlookup(A275,'MONTHLY ANALYSIS'!$A:$A,'MONTHLY ANALYSIS'!$L:$L),0))</f>
        <v/>
      </c>
      <c r="C275" s="204">
        <f>IF(A275="","",IFERROR(xlookup(A275,'MONTHLY ANALYSIS'!$A:$A,'MONTHLY ANALYSIS'!$L:$L),0))</f>
        <v/>
      </c>
      <c r="D275" s="205">
        <f>IF(A275="","",IFERROR(xlookup(A275,'MONTHLY ANALYSIS'!$A:$A,'MONTHLY ANALYSIS'!$M:$M),0))</f>
        <v/>
      </c>
      <c r="E275" s="190">
        <f>IF(A275="","",IF(D275&gt;0,"⚑ PAST MIDNIGHT","⚠ PAST 10PM ONLY"))</f>
        <v/>
      </c>
      <c r="F275" s="170">
        <f>IF(A275="","",IFERROR(xlookup(A275,'FLEET REGISTER'!$B:$B,'FLEET REGISTER'!$F:$F),"Unknown"))</f>
        <v/>
      </c>
      <c r="G275" s="200" t="n"/>
      <c r="H275" s="200" t="n"/>
      <c r="I275" s="200" t="n"/>
      <c r="J275" s="200" t="n"/>
      <c r="K275" s="200" t="n"/>
      <c r="L275" s="200" t="n"/>
    </row>
    <row r="276" ht="15" customHeight="1" s="122">
      <c r="A276" s="197">
        <f>IF(A275="","","")</f>
        <v/>
      </c>
      <c r="B276" s="197">
        <f>IF(A276="","",IFERROR(xlookup(A276,'MONTHLY ANALYSIS'!$A:$A,'MONTHLY ANALYSIS'!$L:$L),0))</f>
        <v/>
      </c>
      <c r="C276" s="204">
        <f>IF(A276="","",IFERROR(xlookup(A276,'MONTHLY ANALYSIS'!$A:$A,'MONTHLY ANALYSIS'!$L:$L),0))</f>
        <v/>
      </c>
      <c r="D276" s="205">
        <f>IF(A276="","",IFERROR(xlookup(A276,'MONTHLY ANALYSIS'!$A:$A,'MONTHLY ANALYSIS'!$M:$M),0))</f>
        <v/>
      </c>
      <c r="E276" s="190">
        <f>IF(A276="","",IF(D276&gt;0,"⚑ PAST MIDNIGHT","⚠ PAST 10PM ONLY"))</f>
        <v/>
      </c>
      <c r="F276" s="170">
        <f>IF(A276="","",IFERROR(xlookup(A276,'FLEET REGISTER'!$B:$B,'FLEET REGISTER'!$F:$F),"Unknown"))</f>
        <v/>
      </c>
      <c r="G276" s="200" t="n"/>
      <c r="H276" s="200" t="n"/>
      <c r="I276" s="200" t="n"/>
      <c r="J276" s="200" t="n"/>
      <c r="K276" s="200" t="n"/>
      <c r="L276" s="200" t="n"/>
    </row>
    <row r="277" ht="15" customHeight="1" s="122">
      <c r="A277" s="197">
        <f>IF(A276="","","")</f>
        <v/>
      </c>
      <c r="B277" s="197">
        <f>IF(A277="","",IFERROR(xlookup(A277,'MONTHLY ANALYSIS'!$A:$A,'MONTHLY ANALYSIS'!$L:$L),0))</f>
        <v/>
      </c>
      <c r="C277" s="204">
        <f>IF(A277="","",IFERROR(xlookup(A277,'MONTHLY ANALYSIS'!$A:$A,'MONTHLY ANALYSIS'!$L:$L),0))</f>
        <v/>
      </c>
      <c r="D277" s="205">
        <f>IF(A277="","",IFERROR(xlookup(A277,'MONTHLY ANALYSIS'!$A:$A,'MONTHLY ANALYSIS'!$M:$M),0))</f>
        <v/>
      </c>
      <c r="E277" s="190">
        <f>IF(A277="","",IF(D277&gt;0,"⚑ PAST MIDNIGHT","⚠ PAST 10PM ONLY"))</f>
        <v/>
      </c>
      <c r="F277" s="170">
        <f>IF(A277="","",IFERROR(xlookup(A277,'FLEET REGISTER'!$B:$B,'FLEET REGISTER'!$F:$F),"Unknown"))</f>
        <v/>
      </c>
      <c r="G277" s="200" t="n"/>
      <c r="H277" s="200" t="n"/>
      <c r="I277" s="200" t="n"/>
      <c r="J277" s="200" t="n"/>
      <c r="K277" s="200" t="n"/>
      <c r="L277" s="200" t="n"/>
    </row>
    <row r="278" ht="15" customHeight="1" s="122">
      <c r="A278" s="197">
        <f>IF(A277="","","")</f>
        <v/>
      </c>
      <c r="B278" s="197">
        <f>IF(A278="","",IFERROR(xlookup(A278,'MONTHLY ANALYSIS'!$A:$A,'MONTHLY ANALYSIS'!$L:$L),0))</f>
        <v/>
      </c>
      <c r="C278" s="204">
        <f>IF(A278="","",IFERROR(xlookup(A278,'MONTHLY ANALYSIS'!$A:$A,'MONTHLY ANALYSIS'!$L:$L),0))</f>
        <v/>
      </c>
      <c r="D278" s="205">
        <f>IF(A278="","",IFERROR(xlookup(A278,'MONTHLY ANALYSIS'!$A:$A,'MONTHLY ANALYSIS'!$M:$M),0))</f>
        <v/>
      </c>
      <c r="E278" s="190">
        <f>IF(A278="","",IF(D278&gt;0,"⚑ PAST MIDNIGHT","⚠ PAST 10PM ONLY"))</f>
        <v/>
      </c>
      <c r="F278" s="170">
        <f>IF(A278="","",IFERROR(xlookup(A278,'FLEET REGISTER'!$B:$B,'FLEET REGISTER'!$F:$F),"Unknown"))</f>
        <v/>
      </c>
      <c r="G278" s="200" t="n"/>
      <c r="H278" s="200" t="n"/>
      <c r="I278" s="200" t="n"/>
      <c r="J278" s="200" t="n"/>
      <c r="K278" s="200" t="n"/>
      <c r="L278" s="200" t="n"/>
    </row>
    <row r="279" ht="15" customHeight="1" s="122">
      <c r="A279" s="197">
        <f>IF(A278="","","")</f>
        <v/>
      </c>
      <c r="B279" s="197">
        <f>IF(A279="","",IFERROR(xlookup(A279,'MONTHLY ANALYSIS'!$A:$A,'MONTHLY ANALYSIS'!$L:$L),0))</f>
        <v/>
      </c>
      <c r="C279" s="204">
        <f>IF(A279="","",IFERROR(xlookup(A279,'MONTHLY ANALYSIS'!$A:$A,'MONTHLY ANALYSIS'!$L:$L),0))</f>
        <v/>
      </c>
      <c r="D279" s="205">
        <f>IF(A279="","",IFERROR(xlookup(A279,'MONTHLY ANALYSIS'!$A:$A,'MONTHLY ANALYSIS'!$M:$M),0))</f>
        <v/>
      </c>
      <c r="E279" s="190">
        <f>IF(A279="","",IF(D279&gt;0,"⚑ PAST MIDNIGHT","⚠ PAST 10PM ONLY"))</f>
        <v/>
      </c>
      <c r="F279" s="170">
        <f>IF(A279="","",IFERROR(xlookup(A279,'FLEET REGISTER'!$B:$B,'FLEET REGISTER'!$F:$F),"Unknown"))</f>
        <v/>
      </c>
      <c r="G279" s="200" t="n"/>
      <c r="H279" s="200" t="n"/>
      <c r="I279" s="200" t="n"/>
      <c r="J279" s="200" t="n"/>
      <c r="K279" s="200" t="n"/>
      <c r="L279" s="200" t="n"/>
    </row>
    <row r="280" ht="15" customHeight="1" s="122">
      <c r="A280" s="197">
        <f>IF(A279="","","")</f>
        <v/>
      </c>
      <c r="B280" s="197">
        <f>IF(A280="","",IFERROR(xlookup(A280,'MONTHLY ANALYSIS'!$A:$A,'MONTHLY ANALYSIS'!$L:$L),0))</f>
        <v/>
      </c>
      <c r="C280" s="204">
        <f>IF(A280="","",IFERROR(xlookup(A280,'MONTHLY ANALYSIS'!$A:$A,'MONTHLY ANALYSIS'!$L:$L),0))</f>
        <v/>
      </c>
      <c r="D280" s="205">
        <f>IF(A280="","",IFERROR(xlookup(A280,'MONTHLY ANALYSIS'!$A:$A,'MONTHLY ANALYSIS'!$M:$M),0))</f>
        <v/>
      </c>
      <c r="E280" s="190">
        <f>IF(A280="","",IF(D280&gt;0,"⚑ PAST MIDNIGHT","⚠ PAST 10PM ONLY"))</f>
        <v/>
      </c>
      <c r="F280" s="170">
        <f>IF(A280="","",IFERROR(xlookup(A280,'FLEET REGISTER'!$B:$B,'FLEET REGISTER'!$F:$F),"Unknown"))</f>
        <v/>
      </c>
      <c r="G280" s="200" t="n"/>
      <c r="H280" s="200" t="n"/>
      <c r="I280" s="200" t="n"/>
      <c r="J280" s="200" t="n"/>
      <c r="K280" s="200" t="n"/>
      <c r="L280" s="200" t="n"/>
    </row>
    <row r="281" ht="15" customHeight="1" s="122">
      <c r="A281" s="197">
        <f>IF(A280="","","")</f>
        <v/>
      </c>
      <c r="B281" s="197">
        <f>IF(A281="","",IFERROR(xlookup(A281,'MONTHLY ANALYSIS'!$A:$A,'MONTHLY ANALYSIS'!$L:$L),0))</f>
        <v/>
      </c>
      <c r="C281" s="204">
        <f>IF(A281="","",IFERROR(xlookup(A281,'MONTHLY ANALYSIS'!$A:$A,'MONTHLY ANALYSIS'!$L:$L),0))</f>
        <v/>
      </c>
      <c r="D281" s="205">
        <f>IF(A281="","",IFERROR(xlookup(A281,'MONTHLY ANALYSIS'!$A:$A,'MONTHLY ANALYSIS'!$M:$M),0))</f>
        <v/>
      </c>
      <c r="E281" s="190">
        <f>IF(A281="","",IF(D281&gt;0,"⚑ PAST MIDNIGHT","⚠ PAST 10PM ONLY"))</f>
        <v/>
      </c>
      <c r="F281" s="170">
        <f>IF(A281="","",IFERROR(xlookup(A281,'FLEET REGISTER'!$B:$B,'FLEET REGISTER'!$F:$F),"Unknown"))</f>
        <v/>
      </c>
      <c r="G281" s="200" t="n"/>
      <c r="H281" s="200" t="n"/>
      <c r="I281" s="200" t="n"/>
      <c r="J281" s="200" t="n"/>
      <c r="K281" s="200" t="n"/>
      <c r="L281" s="200" t="n"/>
    </row>
    <row r="282" ht="15" customHeight="1" s="122">
      <c r="A282" s="197">
        <f>IF(A281="","","")</f>
        <v/>
      </c>
      <c r="B282" s="197">
        <f>IF(A282="","",IFERROR(xlookup(A282,'MONTHLY ANALYSIS'!$A:$A,'MONTHLY ANALYSIS'!$L:$L),0))</f>
        <v/>
      </c>
      <c r="C282" s="204">
        <f>IF(A282="","",IFERROR(xlookup(A282,'MONTHLY ANALYSIS'!$A:$A,'MONTHLY ANALYSIS'!$L:$L),0))</f>
        <v/>
      </c>
      <c r="D282" s="205">
        <f>IF(A282="","",IFERROR(xlookup(A282,'MONTHLY ANALYSIS'!$A:$A,'MONTHLY ANALYSIS'!$M:$M),0))</f>
        <v/>
      </c>
      <c r="E282" s="190">
        <f>IF(A282="","",IF(D282&gt;0,"⚑ PAST MIDNIGHT","⚠ PAST 10PM ONLY"))</f>
        <v/>
      </c>
      <c r="F282" s="170">
        <f>IF(A282="","",IFERROR(xlookup(A282,'FLEET REGISTER'!$B:$B,'FLEET REGISTER'!$F:$F),"Unknown"))</f>
        <v/>
      </c>
      <c r="G282" s="200" t="n"/>
      <c r="H282" s="200" t="n"/>
      <c r="I282" s="200" t="n"/>
      <c r="J282" s="200" t="n"/>
      <c r="K282" s="200" t="n"/>
      <c r="L282" s="200" t="n"/>
    </row>
    <row r="283" ht="15" customHeight="1" s="122">
      <c r="A283" s="197">
        <f>IF(A282="","","")</f>
        <v/>
      </c>
      <c r="B283" s="197">
        <f>IF(A283="","",IFERROR(xlookup(A283,'MONTHLY ANALYSIS'!$A:$A,'MONTHLY ANALYSIS'!$L:$L),0))</f>
        <v/>
      </c>
      <c r="C283" s="204">
        <f>IF(A283="","",IFERROR(xlookup(A283,'MONTHLY ANALYSIS'!$A:$A,'MONTHLY ANALYSIS'!$L:$L),0))</f>
        <v/>
      </c>
      <c r="D283" s="205">
        <f>IF(A283="","",IFERROR(xlookup(A283,'MONTHLY ANALYSIS'!$A:$A,'MONTHLY ANALYSIS'!$M:$M),0))</f>
        <v/>
      </c>
      <c r="E283" s="190">
        <f>IF(A283="","",IF(D283&gt;0,"⚑ PAST MIDNIGHT","⚠ PAST 10PM ONLY"))</f>
        <v/>
      </c>
      <c r="F283" s="170">
        <f>IF(A283="","",IFERROR(xlookup(A283,'FLEET REGISTER'!$B:$B,'FLEET REGISTER'!$F:$F),"Unknown"))</f>
        <v/>
      </c>
      <c r="G283" s="200" t="n"/>
      <c r="H283" s="200" t="n"/>
      <c r="I283" s="200" t="n"/>
      <c r="J283" s="200" t="n"/>
      <c r="K283" s="200" t="n"/>
      <c r="L283" s="200" t="n"/>
    </row>
    <row r="284" ht="15" customHeight="1" s="122">
      <c r="A284" s="197">
        <f>IF(A283="","","")</f>
        <v/>
      </c>
      <c r="B284" s="197">
        <f>IF(A284="","",IFERROR(xlookup(A284,'MONTHLY ANALYSIS'!$A:$A,'MONTHLY ANALYSIS'!$L:$L),0))</f>
        <v/>
      </c>
      <c r="C284" s="204">
        <f>IF(A284="","",IFERROR(xlookup(A284,'MONTHLY ANALYSIS'!$A:$A,'MONTHLY ANALYSIS'!$L:$L),0))</f>
        <v/>
      </c>
      <c r="D284" s="205">
        <f>IF(A284="","",IFERROR(xlookup(A284,'MONTHLY ANALYSIS'!$A:$A,'MONTHLY ANALYSIS'!$M:$M),0))</f>
        <v/>
      </c>
      <c r="E284" s="190">
        <f>IF(A284="","",IF(D284&gt;0,"⚑ PAST MIDNIGHT","⚠ PAST 10PM ONLY"))</f>
        <v/>
      </c>
      <c r="F284" s="170">
        <f>IF(A284="","",IFERROR(xlookup(A284,'FLEET REGISTER'!$B:$B,'FLEET REGISTER'!$F:$F),"Unknown"))</f>
        <v/>
      </c>
      <c r="G284" s="200" t="n"/>
      <c r="H284" s="200" t="n"/>
      <c r="I284" s="200" t="n"/>
      <c r="J284" s="200" t="n"/>
      <c r="K284" s="200" t="n"/>
      <c r="L284" s="200" t="n"/>
    </row>
    <row r="285" ht="15" customHeight="1" s="122">
      <c r="A285" s="197">
        <f>IF(A284="","","")</f>
        <v/>
      </c>
      <c r="B285" s="197">
        <f>IF(A285="","",IFERROR(xlookup(A285,'MONTHLY ANALYSIS'!$A:$A,'MONTHLY ANALYSIS'!$L:$L),0))</f>
        <v/>
      </c>
      <c r="C285" s="204">
        <f>IF(A285="","",IFERROR(xlookup(A285,'MONTHLY ANALYSIS'!$A:$A,'MONTHLY ANALYSIS'!$L:$L),0))</f>
        <v/>
      </c>
      <c r="D285" s="205">
        <f>IF(A285="","",IFERROR(xlookup(A285,'MONTHLY ANALYSIS'!$A:$A,'MONTHLY ANALYSIS'!$M:$M),0))</f>
        <v/>
      </c>
      <c r="E285" s="190">
        <f>IF(A285="","",IF(D285&gt;0,"⚑ PAST MIDNIGHT","⚠ PAST 10PM ONLY"))</f>
        <v/>
      </c>
      <c r="F285" s="170">
        <f>IF(A285="","",IFERROR(xlookup(A285,'FLEET REGISTER'!$B:$B,'FLEET REGISTER'!$F:$F),"Unknown"))</f>
        <v/>
      </c>
      <c r="G285" s="200" t="n"/>
      <c r="H285" s="200" t="n"/>
      <c r="I285" s="200" t="n"/>
      <c r="J285" s="200" t="n"/>
      <c r="K285" s="200" t="n"/>
      <c r="L285" s="200" t="n"/>
    </row>
    <row r="286" ht="15" customHeight="1" s="122">
      <c r="A286" s="197">
        <f>IF(A285="","","")</f>
        <v/>
      </c>
      <c r="B286" s="197">
        <f>IF(A286="","",IFERROR(xlookup(A286,'MONTHLY ANALYSIS'!$A:$A,'MONTHLY ANALYSIS'!$L:$L),0))</f>
        <v/>
      </c>
      <c r="C286" s="204">
        <f>IF(A286="","",IFERROR(xlookup(A286,'MONTHLY ANALYSIS'!$A:$A,'MONTHLY ANALYSIS'!$L:$L),0))</f>
        <v/>
      </c>
      <c r="D286" s="205">
        <f>IF(A286="","",IFERROR(xlookup(A286,'MONTHLY ANALYSIS'!$A:$A,'MONTHLY ANALYSIS'!$M:$M),0))</f>
        <v/>
      </c>
      <c r="E286" s="190">
        <f>IF(A286="","",IF(D286&gt;0,"⚑ PAST MIDNIGHT","⚠ PAST 10PM ONLY"))</f>
        <v/>
      </c>
      <c r="F286" s="170">
        <f>IF(A286="","",IFERROR(xlookup(A286,'FLEET REGISTER'!$B:$B,'FLEET REGISTER'!$F:$F),"Unknown"))</f>
        <v/>
      </c>
      <c r="G286" s="200" t="n"/>
      <c r="H286" s="200" t="n"/>
      <c r="I286" s="200" t="n"/>
      <c r="J286" s="200" t="n"/>
      <c r="K286" s="200" t="n"/>
      <c r="L286" s="200" t="n"/>
    </row>
    <row r="287" ht="15" customHeight="1" s="122">
      <c r="A287" s="197">
        <f>IF(A286="","","")</f>
        <v/>
      </c>
      <c r="B287" s="197">
        <f>IF(A287="","",IFERROR(xlookup(A287,'MONTHLY ANALYSIS'!$A:$A,'MONTHLY ANALYSIS'!$L:$L),0))</f>
        <v/>
      </c>
      <c r="C287" s="204">
        <f>IF(A287="","",IFERROR(xlookup(A287,'MONTHLY ANALYSIS'!$A:$A,'MONTHLY ANALYSIS'!$L:$L),0))</f>
        <v/>
      </c>
      <c r="D287" s="205">
        <f>IF(A287="","",IFERROR(xlookup(A287,'MONTHLY ANALYSIS'!$A:$A,'MONTHLY ANALYSIS'!$M:$M),0))</f>
        <v/>
      </c>
      <c r="E287" s="190">
        <f>IF(A287="","",IF(D287&gt;0,"⚑ PAST MIDNIGHT","⚠ PAST 10PM ONLY"))</f>
        <v/>
      </c>
      <c r="F287" s="170">
        <f>IF(A287="","",IFERROR(xlookup(A287,'FLEET REGISTER'!$B:$B,'FLEET REGISTER'!$F:$F),"Unknown"))</f>
        <v/>
      </c>
      <c r="G287" s="200" t="n"/>
      <c r="H287" s="200" t="n"/>
      <c r="I287" s="200" t="n"/>
      <c r="J287" s="200" t="n"/>
      <c r="K287" s="200" t="n"/>
      <c r="L287" s="200" t="n"/>
    </row>
    <row r="288" ht="15" customHeight="1" s="122">
      <c r="A288" s="197">
        <f>IF(A287="","","")</f>
        <v/>
      </c>
      <c r="B288" s="197">
        <f>IF(A288="","",IFERROR(xlookup(A288,'MONTHLY ANALYSIS'!$A:$A,'MONTHLY ANALYSIS'!$L:$L),0))</f>
        <v/>
      </c>
      <c r="C288" s="204">
        <f>IF(A288="","",IFERROR(xlookup(A288,'MONTHLY ANALYSIS'!$A:$A,'MONTHLY ANALYSIS'!$L:$L),0))</f>
        <v/>
      </c>
      <c r="D288" s="205">
        <f>IF(A288="","",IFERROR(xlookup(A288,'MONTHLY ANALYSIS'!$A:$A,'MONTHLY ANALYSIS'!$M:$M),0))</f>
        <v/>
      </c>
      <c r="E288" s="190">
        <f>IF(A288="","",IF(D288&gt;0,"⚑ PAST MIDNIGHT","⚠ PAST 10PM ONLY"))</f>
        <v/>
      </c>
      <c r="F288" s="170">
        <f>IF(A288="","",IFERROR(xlookup(A288,'FLEET REGISTER'!$B:$B,'FLEET REGISTER'!$F:$F),"Unknown"))</f>
        <v/>
      </c>
      <c r="G288" s="200" t="n"/>
      <c r="H288" s="200" t="n"/>
      <c r="I288" s="200" t="n"/>
      <c r="J288" s="200" t="n"/>
      <c r="K288" s="200" t="n"/>
      <c r="L288" s="200" t="n"/>
    </row>
    <row r="289" ht="15" customHeight="1" s="122">
      <c r="A289" s="197">
        <f>IF(A288="","","")</f>
        <v/>
      </c>
      <c r="B289" s="197">
        <f>IF(A289="","",IFERROR(xlookup(A289,'MONTHLY ANALYSIS'!$A:$A,'MONTHLY ANALYSIS'!$L:$L),0))</f>
        <v/>
      </c>
      <c r="C289" s="204">
        <f>IF(A289="","",IFERROR(xlookup(A289,'MONTHLY ANALYSIS'!$A:$A,'MONTHLY ANALYSIS'!$L:$L),0))</f>
        <v/>
      </c>
      <c r="D289" s="205">
        <f>IF(A289="","",IFERROR(xlookup(A289,'MONTHLY ANALYSIS'!$A:$A,'MONTHLY ANALYSIS'!$M:$M),0))</f>
        <v/>
      </c>
      <c r="E289" s="190">
        <f>IF(A289="","",IF(D289&gt;0,"⚑ PAST MIDNIGHT","⚠ PAST 10PM ONLY"))</f>
        <v/>
      </c>
      <c r="F289" s="170">
        <f>IF(A289="","",IFERROR(xlookup(A289,'FLEET REGISTER'!$B:$B,'FLEET REGISTER'!$F:$F),"Unknown"))</f>
        <v/>
      </c>
      <c r="G289" s="200" t="n"/>
      <c r="H289" s="200" t="n"/>
      <c r="I289" s="200" t="n"/>
      <c r="J289" s="200" t="n"/>
      <c r="K289" s="200" t="n"/>
      <c r="L289" s="200" t="n"/>
    </row>
    <row r="290" ht="15" customHeight="1" s="122">
      <c r="A290" s="197">
        <f>IF(A289="","","")</f>
        <v/>
      </c>
      <c r="B290" s="197">
        <f>IF(A290="","",IFERROR(xlookup(A290,'MONTHLY ANALYSIS'!$A:$A,'MONTHLY ANALYSIS'!$L:$L),0))</f>
        <v/>
      </c>
      <c r="C290" s="204">
        <f>IF(A290="","",IFERROR(xlookup(A290,'MONTHLY ANALYSIS'!$A:$A,'MONTHLY ANALYSIS'!$L:$L),0))</f>
        <v/>
      </c>
      <c r="D290" s="205">
        <f>IF(A290="","",IFERROR(xlookup(A290,'MONTHLY ANALYSIS'!$A:$A,'MONTHLY ANALYSIS'!$M:$M),0))</f>
        <v/>
      </c>
      <c r="E290" s="190">
        <f>IF(A290="","",IF(D290&gt;0,"⚑ PAST MIDNIGHT","⚠ PAST 10PM ONLY"))</f>
        <v/>
      </c>
      <c r="F290" s="170">
        <f>IF(A290="","",IFERROR(xlookup(A290,'FLEET REGISTER'!$B:$B,'FLEET REGISTER'!$F:$F),"Unknown"))</f>
        <v/>
      </c>
      <c r="G290" s="200" t="n"/>
      <c r="H290" s="200" t="n"/>
      <c r="I290" s="200" t="n"/>
      <c r="J290" s="200" t="n"/>
      <c r="K290" s="200" t="n"/>
      <c r="L290" s="200" t="n"/>
    </row>
    <row r="291" ht="15" customHeight="1" s="122">
      <c r="A291" s="197">
        <f>IF(A290="","","")</f>
        <v/>
      </c>
      <c r="B291" s="197">
        <f>IF(A291="","",IFERROR(xlookup(A291,'MONTHLY ANALYSIS'!$A:$A,'MONTHLY ANALYSIS'!$L:$L),0))</f>
        <v/>
      </c>
      <c r="C291" s="204">
        <f>IF(A291="","",IFERROR(xlookup(A291,'MONTHLY ANALYSIS'!$A:$A,'MONTHLY ANALYSIS'!$L:$L),0))</f>
        <v/>
      </c>
      <c r="D291" s="205">
        <f>IF(A291="","",IFERROR(xlookup(A291,'MONTHLY ANALYSIS'!$A:$A,'MONTHLY ANALYSIS'!$M:$M),0))</f>
        <v/>
      </c>
      <c r="E291" s="190">
        <f>IF(A291="","",IF(D291&gt;0,"⚑ PAST MIDNIGHT","⚠ PAST 10PM ONLY"))</f>
        <v/>
      </c>
      <c r="F291" s="170">
        <f>IF(A291="","",IFERROR(xlookup(A291,'FLEET REGISTER'!$B:$B,'FLEET REGISTER'!$F:$F),"Unknown"))</f>
        <v/>
      </c>
      <c r="G291" s="200" t="n"/>
      <c r="H291" s="200" t="n"/>
      <c r="I291" s="200" t="n"/>
      <c r="J291" s="200" t="n"/>
      <c r="K291" s="200" t="n"/>
      <c r="L291" s="200" t="n"/>
    </row>
    <row r="292" ht="15" customHeight="1" s="122">
      <c r="A292" s="197">
        <f>IF(A291="","","")</f>
        <v/>
      </c>
      <c r="B292" s="197">
        <f>IF(A292="","",IFERROR(xlookup(A292,'MONTHLY ANALYSIS'!$A:$A,'MONTHLY ANALYSIS'!$L:$L),0))</f>
        <v/>
      </c>
      <c r="C292" s="204">
        <f>IF(A292="","",IFERROR(xlookup(A292,'MONTHLY ANALYSIS'!$A:$A,'MONTHLY ANALYSIS'!$L:$L),0))</f>
        <v/>
      </c>
      <c r="D292" s="205">
        <f>IF(A292="","",IFERROR(xlookup(A292,'MONTHLY ANALYSIS'!$A:$A,'MONTHLY ANALYSIS'!$M:$M),0))</f>
        <v/>
      </c>
      <c r="E292" s="190">
        <f>IF(A292="","",IF(D292&gt;0,"⚑ PAST MIDNIGHT","⚠ PAST 10PM ONLY"))</f>
        <v/>
      </c>
      <c r="F292" s="170">
        <f>IF(A292="","",IFERROR(xlookup(A292,'FLEET REGISTER'!$B:$B,'FLEET REGISTER'!$F:$F),"Unknown"))</f>
        <v/>
      </c>
      <c r="G292" s="200" t="n"/>
      <c r="H292" s="200" t="n"/>
      <c r="I292" s="200" t="n"/>
      <c r="J292" s="200" t="n"/>
      <c r="K292" s="200" t="n"/>
      <c r="L292" s="200" t="n"/>
    </row>
    <row r="293" ht="15" customHeight="1" s="122">
      <c r="A293" s="197">
        <f>IF(A292="","","")</f>
        <v/>
      </c>
      <c r="B293" s="197">
        <f>IF(A293="","",IFERROR(xlookup(A293,'MONTHLY ANALYSIS'!$A:$A,'MONTHLY ANALYSIS'!$L:$L),0))</f>
        <v/>
      </c>
      <c r="C293" s="204">
        <f>IF(A293="","",IFERROR(xlookup(A293,'MONTHLY ANALYSIS'!$A:$A,'MONTHLY ANALYSIS'!$L:$L),0))</f>
        <v/>
      </c>
      <c r="D293" s="205">
        <f>IF(A293="","",IFERROR(xlookup(A293,'MONTHLY ANALYSIS'!$A:$A,'MONTHLY ANALYSIS'!$M:$M),0))</f>
        <v/>
      </c>
      <c r="E293" s="190">
        <f>IF(A293="","",IF(D293&gt;0,"⚑ PAST MIDNIGHT","⚠ PAST 10PM ONLY"))</f>
        <v/>
      </c>
      <c r="F293" s="170">
        <f>IF(A293="","",IFERROR(xlookup(A293,'FLEET REGISTER'!$B:$B,'FLEET REGISTER'!$F:$F),"Unknown"))</f>
        <v/>
      </c>
      <c r="G293" s="200" t="n"/>
      <c r="H293" s="200" t="n"/>
      <c r="I293" s="200" t="n"/>
      <c r="J293" s="200" t="n"/>
      <c r="K293" s="200" t="n"/>
      <c r="L293" s="200" t="n"/>
    </row>
    <row r="294" ht="15" customHeight="1" s="122">
      <c r="A294" s="197">
        <f>IF(A293="","","")</f>
        <v/>
      </c>
      <c r="B294" s="197">
        <f>IF(A294="","",IFERROR(xlookup(A294,'MONTHLY ANALYSIS'!$A:$A,'MONTHLY ANALYSIS'!$L:$L),0))</f>
        <v/>
      </c>
      <c r="C294" s="204">
        <f>IF(A294="","",IFERROR(xlookup(A294,'MONTHLY ANALYSIS'!$A:$A,'MONTHLY ANALYSIS'!$L:$L),0))</f>
        <v/>
      </c>
      <c r="D294" s="205">
        <f>IF(A294="","",IFERROR(xlookup(A294,'MONTHLY ANALYSIS'!$A:$A,'MONTHLY ANALYSIS'!$M:$M),0))</f>
        <v/>
      </c>
      <c r="E294" s="190">
        <f>IF(A294="","",IF(D294&gt;0,"⚑ PAST MIDNIGHT","⚠ PAST 10PM ONLY"))</f>
        <v/>
      </c>
      <c r="F294" s="170">
        <f>IF(A294="","",IFERROR(xlookup(A294,'FLEET REGISTER'!$B:$B,'FLEET REGISTER'!$F:$F),"Unknown"))</f>
        <v/>
      </c>
      <c r="G294" s="200" t="n"/>
      <c r="H294" s="200" t="n"/>
      <c r="I294" s="200" t="n"/>
      <c r="J294" s="200" t="n"/>
      <c r="K294" s="200" t="n"/>
      <c r="L294" s="200" t="n"/>
    </row>
    <row r="295" ht="15" customHeight="1" s="122">
      <c r="A295" s="197">
        <f>IF(A294="","","")</f>
        <v/>
      </c>
      <c r="B295" s="197">
        <f>IF(A295="","",IFERROR(xlookup(A295,'MONTHLY ANALYSIS'!$A:$A,'MONTHLY ANALYSIS'!$L:$L),0))</f>
        <v/>
      </c>
      <c r="C295" s="204">
        <f>IF(A295="","",IFERROR(xlookup(A295,'MONTHLY ANALYSIS'!$A:$A,'MONTHLY ANALYSIS'!$L:$L),0))</f>
        <v/>
      </c>
      <c r="D295" s="205">
        <f>IF(A295="","",IFERROR(xlookup(A295,'MONTHLY ANALYSIS'!$A:$A,'MONTHLY ANALYSIS'!$M:$M),0))</f>
        <v/>
      </c>
      <c r="E295" s="190">
        <f>IF(A295="","",IF(D295&gt;0,"⚑ PAST MIDNIGHT","⚠ PAST 10PM ONLY"))</f>
        <v/>
      </c>
      <c r="F295" s="170">
        <f>IF(A295="","",IFERROR(xlookup(A295,'FLEET REGISTER'!$B:$B,'FLEET REGISTER'!$F:$F),"Unknown"))</f>
        <v/>
      </c>
      <c r="G295" s="200" t="n"/>
      <c r="H295" s="200" t="n"/>
      <c r="I295" s="200" t="n"/>
      <c r="J295" s="200" t="n"/>
      <c r="K295" s="200" t="n"/>
      <c r="L295" s="200" t="n"/>
    </row>
    <row r="296" ht="15" customHeight="1" s="122">
      <c r="A296" s="197">
        <f>IF(A295="","","")</f>
        <v/>
      </c>
      <c r="B296" s="197">
        <f>IF(A296="","",IFERROR(xlookup(A296,'MONTHLY ANALYSIS'!$A:$A,'MONTHLY ANALYSIS'!$L:$L),0))</f>
        <v/>
      </c>
      <c r="C296" s="204">
        <f>IF(A296="","",IFERROR(xlookup(A296,'MONTHLY ANALYSIS'!$A:$A,'MONTHLY ANALYSIS'!$L:$L),0))</f>
        <v/>
      </c>
      <c r="D296" s="205">
        <f>IF(A296="","",IFERROR(xlookup(A296,'MONTHLY ANALYSIS'!$A:$A,'MONTHLY ANALYSIS'!$M:$M),0))</f>
        <v/>
      </c>
      <c r="E296" s="190">
        <f>IF(A296="","",IF(D296&gt;0,"⚑ PAST MIDNIGHT","⚠ PAST 10PM ONLY"))</f>
        <v/>
      </c>
      <c r="F296" s="170">
        <f>IF(A296="","",IFERROR(xlookup(A296,'FLEET REGISTER'!$B:$B,'FLEET REGISTER'!$F:$F),"Unknown"))</f>
        <v/>
      </c>
      <c r="G296" s="200" t="n"/>
      <c r="H296" s="200" t="n"/>
      <c r="I296" s="200" t="n"/>
      <c r="J296" s="200" t="n"/>
      <c r="K296" s="200" t="n"/>
      <c r="L296" s="200" t="n"/>
    </row>
    <row r="297" ht="15" customHeight="1" s="122">
      <c r="A297" s="197">
        <f>IF(A296="","","")</f>
        <v/>
      </c>
      <c r="B297" s="197">
        <f>IF(A297="","",IFERROR(xlookup(A297,'MONTHLY ANALYSIS'!$A:$A,'MONTHLY ANALYSIS'!$L:$L),0))</f>
        <v/>
      </c>
      <c r="C297" s="204">
        <f>IF(A297="","",IFERROR(xlookup(A297,'MONTHLY ANALYSIS'!$A:$A,'MONTHLY ANALYSIS'!$L:$L),0))</f>
        <v/>
      </c>
      <c r="D297" s="205">
        <f>IF(A297="","",IFERROR(xlookup(A297,'MONTHLY ANALYSIS'!$A:$A,'MONTHLY ANALYSIS'!$M:$M),0))</f>
        <v/>
      </c>
      <c r="E297" s="190">
        <f>IF(A297="","",IF(D297&gt;0,"⚑ PAST MIDNIGHT","⚠ PAST 10PM ONLY"))</f>
        <v/>
      </c>
      <c r="F297" s="170">
        <f>IF(A297="","",IFERROR(xlookup(A297,'FLEET REGISTER'!$B:$B,'FLEET REGISTER'!$F:$F),"Unknown"))</f>
        <v/>
      </c>
      <c r="G297" s="200" t="n"/>
      <c r="H297" s="200" t="n"/>
      <c r="I297" s="200" t="n"/>
      <c r="J297" s="200" t="n"/>
      <c r="K297" s="200" t="n"/>
      <c r="L297" s="200" t="n"/>
    </row>
    <row r="298" ht="15" customHeight="1" s="122">
      <c r="A298" s="197">
        <f>IF(A297="","","")</f>
        <v/>
      </c>
      <c r="B298" s="197">
        <f>IF(A298="","",IFERROR(xlookup(A298,'MONTHLY ANALYSIS'!$A:$A,'MONTHLY ANALYSIS'!$L:$L),0))</f>
        <v/>
      </c>
      <c r="C298" s="204">
        <f>IF(A298="","",IFERROR(xlookup(A298,'MONTHLY ANALYSIS'!$A:$A,'MONTHLY ANALYSIS'!$L:$L),0))</f>
        <v/>
      </c>
      <c r="D298" s="205">
        <f>IF(A298="","",IFERROR(xlookup(A298,'MONTHLY ANALYSIS'!$A:$A,'MONTHLY ANALYSIS'!$M:$M),0))</f>
        <v/>
      </c>
      <c r="E298" s="190">
        <f>IF(A298="","",IF(D298&gt;0,"⚑ PAST MIDNIGHT","⚠ PAST 10PM ONLY"))</f>
        <v/>
      </c>
      <c r="F298" s="170">
        <f>IF(A298="","",IFERROR(xlookup(A298,'FLEET REGISTER'!$B:$B,'FLEET REGISTER'!$F:$F),"Unknown"))</f>
        <v/>
      </c>
      <c r="G298" s="200" t="n"/>
      <c r="H298" s="200" t="n"/>
      <c r="I298" s="200" t="n"/>
      <c r="J298" s="200" t="n"/>
      <c r="K298" s="200" t="n"/>
      <c r="L298" s="200" t="n"/>
    </row>
    <row r="299" ht="15" customHeight="1" s="122">
      <c r="A299" s="197">
        <f>IF(A298="","","")</f>
        <v/>
      </c>
      <c r="B299" s="197">
        <f>IF(A299="","",IFERROR(xlookup(A299,'MONTHLY ANALYSIS'!$A:$A,'MONTHLY ANALYSIS'!$L:$L),0))</f>
        <v/>
      </c>
      <c r="C299" s="204">
        <f>IF(A299="","",IFERROR(xlookup(A299,'MONTHLY ANALYSIS'!$A:$A,'MONTHLY ANALYSIS'!$L:$L),0))</f>
        <v/>
      </c>
      <c r="D299" s="205">
        <f>IF(A299="","",IFERROR(xlookup(A299,'MONTHLY ANALYSIS'!$A:$A,'MONTHLY ANALYSIS'!$M:$M),0))</f>
        <v/>
      </c>
      <c r="E299" s="190">
        <f>IF(A299="","",IF(D299&gt;0,"⚑ PAST MIDNIGHT","⚠ PAST 10PM ONLY"))</f>
        <v/>
      </c>
      <c r="F299" s="170">
        <f>IF(A299="","",IFERROR(xlookup(A299,'FLEET REGISTER'!$B:$B,'FLEET REGISTER'!$F:$F),"Unknown"))</f>
        <v/>
      </c>
      <c r="G299" s="200" t="n"/>
      <c r="H299" s="200" t="n"/>
      <c r="I299" s="200" t="n"/>
      <c r="J299" s="200" t="n"/>
      <c r="K299" s="200" t="n"/>
      <c r="L299" s="200" t="n"/>
    </row>
    <row r="300" ht="15" customHeight="1" s="122">
      <c r="A300" s="197">
        <f>IF(A299="","","")</f>
        <v/>
      </c>
      <c r="B300" s="197">
        <f>IF(A300="","",IFERROR(xlookup(A300,'MONTHLY ANALYSIS'!$A:$A,'MONTHLY ANALYSIS'!$L:$L),0))</f>
        <v/>
      </c>
      <c r="C300" s="204">
        <f>IF(A300="","",IFERROR(xlookup(A300,'MONTHLY ANALYSIS'!$A:$A,'MONTHLY ANALYSIS'!$L:$L),0))</f>
        <v/>
      </c>
      <c r="D300" s="205">
        <f>IF(A300="","",IFERROR(xlookup(A300,'MONTHLY ANALYSIS'!$A:$A,'MONTHLY ANALYSIS'!$M:$M),0))</f>
        <v/>
      </c>
      <c r="E300" s="190">
        <f>IF(A300="","",IF(D300&gt;0,"⚑ PAST MIDNIGHT","⚠ PAST 10PM ONLY"))</f>
        <v/>
      </c>
      <c r="F300" s="170">
        <f>IF(A300="","",IFERROR(xlookup(A300,'FLEET REGISTER'!$B:$B,'FLEET REGISTER'!$F:$F),"Unknown"))</f>
        <v/>
      </c>
      <c r="G300" s="200" t="n"/>
      <c r="H300" s="200" t="n"/>
      <c r="I300" s="200" t="n"/>
      <c r="J300" s="200" t="n"/>
      <c r="K300" s="200" t="n"/>
      <c r="L300" s="200" t="n"/>
    </row>
    <row r="301" ht="15" customHeight="1" s="122">
      <c r="A301" s="197">
        <f>IF(A300="","","")</f>
        <v/>
      </c>
      <c r="B301" s="197">
        <f>IF(A301="","",IFERROR(xlookup(A301,'MONTHLY ANALYSIS'!$A:$A,'MONTHLY ANALYSIS'!$L:$L),0))</f>
        <v/>
      </c>
      <c r="C301" s="204">
        <f>IF(A301="","",IFERROR(xlookup(A301,'MONTHLY ANALYSIS'!$A:$A,'MONTHLY ANALYSIS'!$L:$L),0))</f>
        <v/>
      </c>
      <c r="D301" s="205">
        <f>IF(A301="","",IFERROR(xlookup(A301,'MONTHLY ANALYSIS'!$A:$A,'MONTHLY ANALYSIS'!$M:$M),0))</f>
        <v/>
      </c>
      <c r="E301" s="190">
        <f>IF(A301="","",IF(D301&gt;0,"⚑ PAST MIDNIGHT","⚠ PAST 10PM ONLY"))</f>
        <v/>
      </c>
      <c r="F301" s="170">
        <f>IF(A301="","",IFERROR(xlookup(A301,'FLEET REGISTER'!$B:$B,'FLEET REGISTER'!$F:$F),"Unknown"))</f>
        <v/>
      </c>
      <c r="G301" s="200" t="n"/>
      <c r="H301" s="200" t="n"/>
      <c r="I301" s="200" t="n"/>
      <c r="J301" s="200" t="n"/>
      <c r="K301" s="200" t="n"/>
      <c r="L301" s="200" t="n"/>
    </row>
    <row r="302" ht="15" customHeight="1" s="122">
      <c r="A302" s="197">
        <f>IF(A301="","","")</f>
        <v/>
      </c>
      <c r="B302" s="197">
        <f>IF(A302="","",IFERROR(xlookup(A302,'MONTHLY ANALYSIS'!$A:$A,'MONTHLY ANALYSIS'!$L:$L),0))</f>
        <v/>
      </c>
      <c r="C302" s="204">
        <f>IF(A302="","",IFERROR(xlookup(A302,'MONTHLY ANALYSIS'!$A:$A,'MONTHLY ANALYSIS'!$L:$L),0))</f>
        <v/>
      </c>
      <c r="D302" s="205">
        <f>IF(A302="","",IFERROR(xlookup(A302,'MONTHLY ANALYSIS'!$A:$A,'MONTHLY ANALYSIS'!$M:$M),0))</f>
        <v/>
      </c>
      <c r="E302" s="190">
        <f>IF(A302="","",IF(D302&gt;0,"⚑ PAST MIDNIGHT","⚠ PAST 10PM ONLY"))</f>
        <v/>
      </c>
      <c r="F302" s="170">
        <f>IF(A302="","",IFERROR(xlookup(A302,'FLEET REGISTER'!$B:$B,'FLEET REGISTER'!$F:$F),"Unknown"))</f>
        <v/>
      </c>
      <c r="G302" s="200" t="n"/>
      <c r="H302" s="200" t="n"/>
      <c r="I302" s="200" t="n"/>
      <c r="J302" s="200" t="n"/>
      <c r="K302" s="200" t="n"/>
      <c r="L302" s="200" t="n"/>
    </row>
    <row r="303" ht="15" customHeight="1" s="122">
      <c r="A303" s="197">
        <f>IF(A302="","","")</f>
        <v/>
      </c>
      <c r="B303" s="197">
        <f>IF(A303="","",IFERROR(xlookup(A303,'MONTHLY ANALYSIS'!$A:$A,'MONTHLY ANALYSIS'!$L:$L),0))</f>
        <v/>
      </c>
      <c r="C303" s="204">
        <f>IF(A303="","",IFERROR(xlookup(A303,'MONTHLY ANALYSIS'!$A:$A,'MONTHLY ANALYSIS'!$L:$L),0))</f>
        <v/>
      </c>
      <c r="D303" s="205">
        <f>IF(A303="","",IFERROR(xlookup(A303,'MONTHLY ANALYSIS'!$A:$A,'MONTHLY ANALYSIS'!$M:$M),0))</f>
        <v/>
      </c>
      <c r="E303" s="190">
        <f>IF(A303="","",IF(D303&gt;0,"⚑ PAST MIDNIGHT","⚠ PAST 10PM ONLY"))</f>
        <v/>
      </c>
      <c r="F303" s="170">
        <f>IF(A303="","",IFERROR(xlookup(A303,'FLEET REGISTER'!$B:$B,'FLEET REGISTER'!$F:$F),"Unknown"))</f>
        <v/>
      </c>
      <c r="G303" s="200" t="n"/>
      <c r="H303" s="200" t="n"/>
      <c r="I303" s="200" t="n"/>
      <c r="J303" s="200" t="n"/>
      <c r="K303" s="200" t="n"/>
      <c r="L303" s="200" t="n"/>
    </row>
    <row r="304" ht="15" customHeight="1" s="122">
      <c r="A304" s="197">
        <f>IF(A303="","","")</f>
        <v/>
      </c>
      <c r="B304" s="197">
        <f>IF(A304="","",IFERROR(xlookup(A304,'MONTHLY ANALYSIS'!$A:$A,'MONTHLY ANALYSIS'!$L:$L),0))</f>
        <v/>
      </c>
      <c r="C304" s="204">
        <f>IF(A304="","",IFERROR(xlookup(A304,'MONTHLY ANALYSIS'!$A:$A,'MONTHLY ANALYSIS'!$L:$L),0))</f>
        <v/>
      </c>
      <c r="D304" s="205">
        <f>IF(A304="","",IFERROR(xlookup(A304,'MONTHLY ANALYSIS'!$A:$A,'MONTHLY ANALYSIS'!$M:$M),0))</f>
        <v/>
      </c>
      <c r="E304" s="190">
        <f>IF(A304="","",IF(D304&gt;0,"⚑ PAST MIDNIGHT","⚠ PAST 10PM ONLY"))</f>
        <v/>
      </c>
      <c r="F304" s="170">
        <f>IF(A304="","",IFERROR(xlookup(A304,'FLEET REGISTER'!$B:$B,'FLEET REGISTER'!$F:$F),"Unknown"))</f>
        <v/>
      </c>
      <c r="G304" s="200" t="n"/>
      <c r="H304" s="200" t="n"/>
      <c r="I304" s="200" t="n"/>
      <c r="J304" s="200" t="n"/>
      <c r="K304" s="200" t="n"/>
      <c r="L304" s="200" t="n"/>
    </row>
    <row r="305" ht="15" customHeight="1" s="122">
      <c r="A305" s="197">
        <f>IF(A304="","","")</f>
        <v/>
      </c>
      <c r="B305" s="197">
        <f>IF(A305="","",IFERROR(xlookup(A305,'MONTHLY ANALYSIS'!$A:$A,'MONTHLY ANALYSIS'!$L:$L),0))</f>
        <v/>
      </c>
      <c r="C305" s="204">
        <f>IF(A305="","",IFERROR(xlookup(A305,'MONTHLY ANALYSIS'!$A:$A,'MONTHLY ANALYSIS'!$L:$L),0))</f>
        <v/>
      </c>
      <c r="D305" s="205">
        <f>IF(A305="","",IFERROR(xlookup(A305,'MONTHLY ANALYSIS'!$A:$A,'MONTHLY ANALYSIS'!$M:$M),0))</f>
        <v/>
      </c>
      <c r="E305" s="190">
        <f>IF(A305="","",IF(D305&gt;0,"⚑ PAST MIDNIGHT","⚠ PAST 10PM ONLY"))</f>
        <v/>
      </c>
      <c r="F305" s="170">
        <f>IF(A305="","",IFERROR(xlookup(A305,'FLEET REGISTER'!$B:$B,'FLEET REGISTER'!$F:$F),"Unknown"))</f>
        <v/>
      </c>
      <c r="G305" s="200" t="n"/>
      <c r="H305" s="200" t="n"/>
      <c r="I305" s="200" t="n"/>
      <c r="J305" s="200" t="n"/>
      <c r="K305" s="200" t="n"/>
      <c r="L305" s="200" t="n"/>
    </row>
    <row r="306" ht="15" customHeight="1" s="122">
      <c r="A306" s="197">
        <f>IF(A305="","","")</f>
        <v/>
      </c>
      <c r="B306" s="197">
        <f>IF(A306="","",IFERROR(xlookup(A306,'MONTHLY ANALYSIS'!$A:$A,'MONTHLY ANALYSIS'!$L:$L),0))</f>
        <v/>
      </c>
      <c r="C306" s="204">
        <f>IF(A306="","",IFERROR(xlookup(A306,'MONTHLY ANALYSIS'!$A:$A,'MONTHLY ANALYSIS'!$L:$L),0))</f>
        <v/>
      </c>
      <c r="D306" s="205">
        <f>IF(A306="","",IFERROR(xlookup(A306,'MONTHLY ANALYSIS'!$A:$A,'MONTHLY ANALYSIS'!$M:$M),0))</f>
        <v/>
      </c>
      <c r="E306" s="190">
        <f>IF(A306="","",IF(D306&gt;0,"⚑ PAST MIDNIGHT","⚠ PAST 10PM ONLY"))</f>
        <v/>
      </c>
      <c r="F306" s="170">
        <f>IF(A306="","",IFERROR(xlookup(A306,'FLEET REGISTER'!$B:$B,'FLEET REGISTER'!$F:$F),"Unknown"))</f>
        <v/>
      </c>
      <c r="G306" s="200" t="n"/>
      <c r="H306" s="200" t="n"/>
      <c r="I306" s="200" t="n"/>
      <c r="J306" s="200" t="n"/>
      <c r="K306" s="200" t="n"/>
      <c r="L306" s="200" t="n"/>
    </row>
    <row r="307" ht="15" customHeight="1" s="122">
      <c r="A307" s="197">
        <f>IF(A306="","","")</f>
        <v/>
      </c>
      <c r="B307" s="197">
        <f>IF(A307="","",IFERROR(xlookup(A307,'MONTHLY ANALYSIS'!$A:$A,'MONTHLY ANALYSIS'!$L:$L),0))</f>
        <v/>
      </c>
      <c r="C307" s="204">
        <f>IF(A307="","",IFERROR(xlookup(A307,'MONTHLY ANALYSIS'!$A:$A,'MONTHLY ANALYSIS'!$L:$L),0))</f>
        <v/>
      </c>
      <c r="D307" s="205">
        <f>IF(A307="","",IFERROR(xlookup(A307,'MONTHLY ANALYSIS'!$A:$A,'MONTHLY ANALYSIS'!$M:$M),0))</f>
        <v/>
      </c>
      <c r="E307" s="190">
        <f>IF(A307="","",IF(D307&gt;0,"⚑ PAST MIDNIGHT","⚠ PAST 10PM ONLY"))</f>
        <v/>
      </c>
      <c r="F307" s="170">
        <f>IF(A307="","",IFERROR(xlookup(A307,'FLEET REGISTER'!$B:$B,'FLEET REGISTER'!$F:$F),"Unknown"))</f>
        <v/>
      </c>
      <c r="G307" s="200" t="n"/>
      <c r="H307" s="200" t="n"/>
      <c r="I307" s="200" t="n"/>
      <c r="J307" s="200" t="n"/>
      <c r="K307" s="200" t="n"/>
      <c r="L307" s="200" t="n"/>
    </row>
    <row r="308" ht="15" customHeight="1" s="122">
      <c r="A308" s="197">
        <f>IF(A307="","","")</f>
        <v/>
      </c>
      <c r="B308" s="197">
        <f>IF(A308="","",IFERROR(xlookup(A308,'MONTHLY ANALYSIS'!$A:$A,'MONTHLY ANALYSIS'!$L:$L),0))</f>
        <v/>
      </c>
      <c r="C308" s="204">
        <f>IF(A308="","",IFERROR(xlookup(A308,'MONTHLY ANALYSIS'!$A:$A,'MONTHLY ANALYSIS'!$L:$L),0))</f>
        <v/>
      </c>
      <c r="D308" s="205">
        <f>IF(A308="","",IFERROR(xlookup(A308,'MONTHLY ANALYSIS'!$A:$A,'MONTHLY ANALYSIS'!$M:$M),0))</f>
        <v/>
      </c>
      <c r="E308" s="190">
        <f>IF(A308="","",IF(D308&gt;0,"⚑ PAST MIDNIGHT","⚠ PAST 10PM ONLY"))</f>
        <v/>
      </c>
      <c r="F308" s="170">
        <f>IF(A308="","",IFERROR(xlookup(A308,'FLEET REGISTER'!$B:$B,'FLEET REGISTER'!$F:$F),"Unknown"))</f>
        <v/>
      </c>
      <c r="G308" s="200" t="n"/>
      <c r="H308" s="200" t="n"/>
      <c r="I308" s="200" t="n"/>
      <c r="J308" s="200" t="n"/>
      <c r="K308" s="200" t="n"/>
      <c r="L308" s="200" t="n"/>
    </row>
    <row r="309" ht="15" customHeight="1" s="122">
      <c r="A309" s="197">
        <f>IF(A308="","","")</f>
        <v/>
      </c>
      <c r="B309" s="197">
        <f>IF(A309="","",IFERROR(xlookup(A309,'MONTHLY ANALYSIS'!$A:$A,'MONTHLY ANALYSIS'!$L:$L),0))</f>
        <v/>
      </c>
      <c r="C309" s="204">
        <f>IF(A309="","",IFERROR(xlookup(A309,'MONTHLY ANALYSIS'!$A:$A,'MONTHLY ANALYSIS'!$L:$L),0))</f>
        <v/>
      </c>
      <c r="D309" s="205">
        <f>IF(A309="","",IFERROR(xlookup(A309,'MONTHLY ANALYSIS'!$A:$A,'MONTHLY ANALYSIS'!$M:$M),0))</f>
        <v/>
      </c>
      <c r="E309" s="190">
        <f>IF(A309="","",IF(D309&gt;0,"⚑ PAST MIDNIGHT","⚠ PAST 10PM ONLY"))</f>
        <v/>
      </c>
      <c r="F309" s="170">
        <f>IF(A309="","",IFERROR(xlookup(A309,'FLEET REGISTER'!$B:$B,'FLEET REGISTER'!$F:$F),"Unknown"))</f>
        <v/>
      </c>
      <c r="G309" s="200" t="n"/>
      <c r="H309" s="200" t="n"/>
      <c r="I309" s="200" t="n"/>
      <c r="J309" s="200" t="n"/>
      <c r="K309" s="200" t="n"/>
      <c r="L309" s="200" t="n"/>
    </row>
    <row r="310" ht="15" customHeight="1" s="122">
      <c r="A310" s="197">
        <f>IF(A309="","","")</f>
        <v/>
      </c>
      <c r="B310" s="197">
        <f>IF(A310="","",IFERROR(xlookup(A310,'MONTHLY ANALYSIS'!$A:$A,'MONTHLY ANALYSIS'!$L:$L),0))</f>
        <v/>
      </c>
      <c r="C310" s="204">
        <f>IF(A310="","",IFERROR(xlookup(A310,'MONTHLY ANALYSIS'!$A:$A,'MONTHLY ANALYSIS'!$L:$L),0))</f>
        <v/>
      </c>
      <c r="D310" s="205">
        <f>IF(A310="","",IFERROR(xlookup(A310,'MONTHLY ANALYSIS'!$A:$A,'MONTHLY ANALYSIS'!$M:$M),0))</f>
        <v/>
      </c>
      <c r="E310" s="190">
        <f>IF(A310="","",IF(D310&gt;0,"⚑ PAST MIDNIGHT","⚠ PAST 10PM ONLY"))</f>
        <v/>
      </c>
      <c r="F310" s="170">
        <f>IF(A310="","",IFERROR(xlookup(A310,'FLEET REGISTER'!$B:$B,'FLEET REGISTER'!$F:$F),"Unknown"))</f>
        <v/>
      </c>
      <c r="G310" s="200" t="n"/>
      <c r="H310" s="200" t="n"/>
      <c r="I310" s="200" t="n"/>
      <c r="J310" s="200" t="n"/>
      <c r="K310" s="200" t="n"/>
      <c r="L310" s="200" t="n"/>
    </row>
    <row r="311" ht="15" customHeight="1" s="122">
      <c r="A311" s="197">
        <f>IF(A310="","","")</f>
        <v/>
      </c>
      <c r="B311" s="197">
        <f>IF(A311="","",IFERROR(xlookup(A311,'MONTHLY ANALYSIS'!$A:$A,'MONTHLY ANALYSIS'!$L:$L),0))</f>
        <v/>
      </c>
      <c r="C311" s="204">
        <f>IF(A311="","",IFERROR(xlookup(A311,'MONTHLY ANALYSIS'!$A:$A,'MONTHLY ANALYSIS'!$L:$L),0))</f>
        <v/>
      </c>
      <c r="D311" s="205">
        <f>IF(A311="","",IFERROR(xlookup(A311,'MONTHLY ANALYSIS'!$A:$A,'MONTHLY ANALYSIS'!$M:$M),0))</f>
        <v/>
      </c>
      <c r="E311" s="190">
        <f>IF(A311="","",IF(D311&gt;0,"⚑ PAST MIDNIGHT","⚠ PAST 10PM ONLY"))</f>
        <v/>
      </c>
      <c r="F311" s="170">
        <f>IF(A311="","",IFERROR(xlookup(A311,'FLEET REGISTER'!$B:$B,'FLEET REGISTER'!$F:$F),"Unknown"))</f>
        <v/>
      </c>
      <c r="G311" s="200" t="n"/>
      <c r="H311" s="200" t="n"/>
      <c r="I311" s="200" t="n"/>
      <c r="J311" s="200" t="n"/>
      <c r="K311" s="200" t="n"/>
      <c r="L311" s="200" t="n"/>
    </row>
    <row r="312" ht="15" customHeight="1" s="122">
      <c r="A312" s="197">
        <f>IF(A311="","","")</f>
        <v/>
      </c>
      <c r="B312" s="197">
        <f>IF(A312="","",IFERROR(xlookup(A312,'MONTHLY ANALYSIS'!$A:$A,'MONTHLY ANALYSIS'!$L:$L),0))</f>
        <v/>
      </c>
      <c r="C312" s="204">
        <f>IF(A312="","",IFERROR(xlookup(A312,'MONTHLY ANALYSIS'!$A:$A,'MONTHLY ANALYSIS'!$L:$L),0))</f>
        <v/>
      </c>
      <c r="D312" s="205">
        <f>IF(A312="","",IFERROR(xlookup(A312,'MONTHLY ANALYSIS'!$A:$A,'MONTHLY ANALYSIS'!$M:$M),0))</f>
        <v/>
      </c>
      <c r="E312" s="190">
        <f>IF(A312="","",IF(D312&gt;0,"⚑ PAST MIDNIGHT","⚠ PAST 10PM ONLY"))</f>
        <v/>
      </c>
      <c r="F312" s="170">
        <f>IF(A312="","",IFERROR(xlookup(A312,'FLEET REGISTER'!$B:$B,'FLEET REGISTER'!$F:$F),"Unknown"))</f>
        <v/>
      </c>
      <c r="G312" s="200" t="n"/>
      <c r="H312" s="200" t="n"/>
      <c r="I312" s="200" t="n"/>
      <c r="J312" s="200" t="n"/>
      <c r="K312" s="200" t="n"/>
      <c r="L312" s="200" t="n"/>
    </row>
    <row r="313" ht="15" customHeight="1" s="122">
      <c r="A313" s="197">
        <f>IF(A312="","","")</f>
        <v/>
      </c>
      <c r="B313" s="197">
        <f>IF(A313="","",IFERROR(xlookup(A313,'MONTHLY ANALYSIS'!$A:$A,'MONTHLY ANALYSIS'!$L:$L),0))</f>
        <v/>
      </c>
      <c r="C313" s="204">
        <f>IF(A313="","",IFERROR(xlookup(A313,'MONTHLY ANALYSIS'!$A:$A,'MONTHLY ANALYSIS'!$L:$L),0))</f>
        <v/>
      </c>
      <c r="D313" s="205">
        <f>IF(A313="","",IFERROR(xlookup(A313,'MONTHLY ANALYSIS'!$A:$A,'MONTHLY ANALYSIS'!$M:$M),0))</f>
        <v/>
      </c>
      <c r="E313" s="190">
        <f>IF(A313="","",IF(D313&gt;0,"⚑ PAST MIDNIGHT","⚠ PAST 10PM ONLY"))</f>
        <v/>
      </c>
      <c r="F313" s="170">
        <f>IF(A313="","",IFERROR(xlookup(A313,'FLEET REGISTER'!$B:$B,'FLEET REGISTER'!$F:$F),"Unknown"))</f>
        <v/>
      </c>
      <c r="G313" s="200" t="n"/>
      <c r="H313" s="200" t="n"/>
      <c r="I313" s="200" t="n"/>
      <c r="J313" s="200" t="n"/>
      <c r="K313" s="200" t="n"/>
      <c r="L313" s="200" t="n"/>
    </row>
    <row r="314" ht="15" customHeight="1" s="122">
      <c r="A314" s="197">
        <f>IF(A313="","","")</f>
        <v/>
      </c>
      <c r="B314" s="197">
        <f>IF(A314="","",IFERROR(xlookup(A314,'MONTHLY ANALYSIS'!$A:$A,'MONTHLY ANALYSIS'!$L:$L),0))</f>
        <v/>
      </c>
      <c r="C314" s="204">
        <f>IF(A314="","",IFERROR(xlookup(A314,'MONTHLY ANALYSIS'!$A:$A,'MONTHLY ANALYSIS'!$L:$L),0))</f>
        <v/>
      </c>
      <c r="D314" s="205">
        <f>IF(A314="","",IFERROR(xlookup(A314,'MONTHLY ANALYSIS'!$A:$A,'MONTHLY ANALYSIS'!$M:$M),0))</f>
        <v/>
      </c>
      <c r="E314" s="190">
        <f>IF(A314="","",IF(D314&gt;0,"⚑ PAST MIDNIGHT","⚠ PAST 10PM ONLY"))</f>
        <v/>
      </c>
      <c r="F314" s="170">
        <f>IF(A314="","",IFERROR(xlookup(A314,'FLEET REGISTER'!$B:$B,'FLEET REGISTER'!$F:$F),"Unknown"))</f>
        <v/>
      </c>
      <c r="G314" s="200" t="n"/>
      <c r="H314" s="200" t="n"/>
      <c r="I314" s="200" t="n"/>
      <c r="J314" s="200" t="n"/>
      <c r="K314" s="200" t="n"/>
      <c r="L314" s="200" t="n"/>
    </row>
    <row r="315" ht="15" customHeight="1" s="122">
      <c r="A315" s="197">
        <f>IF(A314="","","")</f>
        <v/>
      </c>
      <c r="B315" s="197">
        <f>IF(A315="","",IFERROR(xlookup(A315,'MONTHLY ANALYSIS'!$A:$A,'MONTHLY ANALYSIS'!$L:$L),0))</f>
        <v/>
      </c>
      <c r="C315" s="204">
        <f>IF(A315="","",IFERROR(xlookup(A315,'MONTHLY ANALYSIS'!$A:$A,'MONTHLY ANALYSIS'!$L:$L),0))</f>
        <v/>
      </c>
      <c r="D315" s="205">
        <f>IF(A315="","",IFERROR(xlookup(A315,'MONTHLY ANALYSIS'!$A:$A,'MONTHLY ANALYSIS'!$M:$M),0))</f>
        <v/>
      </c>
      <c r="E315" s="190">
        <f>IF(A315="","",IF(D315&gt;0,"⚑ PAST MIDNIGHT","⚠ PAST 10PM ONLY"))</f>
        <v/>
      </c>
      <c r="F315" s="170">
        <f>IF(A315="","",IFERROR(xlookup(A315,'FLEET REGISTER'!$B:$B,'FLEET REGISTER'!$F:$F),"Unknown"))</f>
        <v/>
      </c>
      <c r="G315" s="200" t="n"/>
      <c r="H315" s="200" t="n"/>
      <c r="I315" s="200" t="n"/>
      <c r="J315" s="200" t="n"/>
      <c r="K315" s="200" t="n"/>
      <c r="L315" s="200" t="n"/>
    </row>
    <row r="316" ht="15" customHeight="1" s="122">
      <c r="A316" s="197">
        <f>IF(A315="","","")</f>
        <v/>
      </c>
      <c r="B316" s="197">
        <f>IF(A316="","",IFERROR(xlookup(A316,'MONTHLY ANALYSIS'!$A:$A,'MONTHLY ANALYSIS'!$L:$L),0))</f>
        <v/>
      </c>
      <c r="C316" s="204">
        <f>IF(A316="","",IFERROR(xlookup(A316,'MONTHLY ANALYSIS'!$A:$A,'MONTHLY ANALYSIS'!$L:$L),0))</f>
        <v/>
      </c>
      <c r="D316" s="205">
        <f>IF(A316="","",IFERROR(xlookup(A316,'MONTHLY ANALYSIS'!$A:$A,'MONTHLY ANALYSIS'!$M:$M),0))</f>
        <v/>
      </c>
      <c r="E316" s="190">
        <f>IF(A316="","",IF(D316&gt;0,"⚑ PAST MIDNIGHT","⚠ PAST 10PM ONLY"))</f>
        <v/>
      </c>
      <c r="F316" s="170">
        <f>IF(A316="","",IFERROR(xlookup(A316,'FLEET REGISTER'!$B:$B,'FLEET REGISTER'!$F:$F),"Unknown"))</f>
        <v/>
      </c>
      <c r="G316" s="200" t="n"/>
      <c r="H316" s="200" t="n"/>
      <c r="I316" s="200" t="n"/>
      <c r="J316" s="200" t="n"/>
      <c r="K316" s="200" t="n"/>
      <c r="L316" s="200" t="n"/>
    </row>
    <row r="317" ht="15" customHeight="1" s="122">
      <c r="A317" s="197">
        <f>IF(A316="","","")</f>
        <v/>
      </c>
      <c r="B317" s="197">
        <f>IF(A317="","",IFERROR(xlookup(A317,'MONTHLY ANALYSIS'!$A:$A,'MONTHLY ANALYSIS'!$L:$L),0))</f>
        <v/>
      </c>
      <c r="C317" s="204">
        <f>IF(A317="","",IFERROR(xlookup(A317,'MONTHLY ANALYSIS'!$A:$A,'MONTHLY ANALYSIS'!$L:$L),0))</f>
        <v/>
      </c>
      <c r="D317" s="205">
        <f>IF(A317="","",IFERROR(xlookup(A317,'MONTHLY ANALYSIS'!$A:$A,'MONTHLY ANALYSIS'!$M:$M),0))</f>
        <v/>
      </c>
      <c r="E317" s="190">
        <f>IF(A317="","",IF(D317&gt;0,"⚑ PAST MIDNIGHT","⚠ PAST 10PM ONLY"))</f>
        <v/>
      </c>
      <c r="F317" s="170">
        <f>IF(A317="","",IFERROR(xlookup(A317,'FLEET REGISTER'!$B:$B,'FLEET REGISTER'!$F:$F),"Unknown"))</f>
        <v/>
      </c>
      <c r="G317" s="200" t="n"/>
      <c r="H317" s="200" t="n"/>
      <c r="I317" s="200" t="n"/>
      <c r="J317" s="200" t="n"/>
      <c r="K317" s="200" t="n"/>
      <c r="L317" s="200" t="n"/>
    </row>
    <row r="318" ht="15" customHeight="1" s="122">
      <c r="A318" s="197">
        <f>IF(A317="","","")</f>
        <v/>
      </c>
      <c r="B318" s="197">
        <f>IF(A318="","",IFERROR(xlookup(A318,'MONTHLY ANALYSIS'!$A:$A,'MONTHLY ANALYSIS'!$L:$L),0))</f>
        <v/>
      </c>
      <c r="C318" s="204">
        <f>IF(A318="","",IFERROR(xlookup(A318,'MONTHLY ANALYSIS'!$A:$A,'MONTHLY ANALYSIS'!$L:$L),0))</f>
        <v/>
      </c>
      <c r="D318" s="205">
        <f>IF(A318="","",IFERROR(xlookup(A318,'MONTHLY ANALYSIS'!$A:$A,'MONTHLY ANALYSIS'!$M:$M),0))</f>
        <v/>
      </c>
      <c r="E318" s="190">
        <f>IF(A318="","",IF(D318&gt;0,"⚑ PAST MIDNIGHT","⚠ PAST 10PM ONLY"))</f>
        <v/>
      </c>
      <c r="F318" s="170">
        <f>IF(A318="","",IFERROR(xlookup(A318,'FLEET REGISTER'!$B:$B,'FLEET REGISTER'!$F:$F),"Unknown"))</f>
        <v/>
      </c>
      <c r="G318" s="200" t="n"/>
      <c r="H318" s="200" t="n"/>
      <c r="I318" s="200" t="n"/>
      <c r="J318" s="200" t="n"/>
      <c r="K318" s="200" t="n"/>
      <c r="L318" s="200" t="n"/>
    </row>
    <row r="319" ht="15" customHeight="1" s="122">
      <c r="A319" s="197">
        <f>IF(A318="","","")</f>
        <v/>
      </c>
      <c r="B319" s="197">
        <f>IF(A319="","",IFERROR(xlookup(A319,'MONTHLY ANALYSIS'!$A:$A,'MONTHLY ANALYSIS'!$L:$L),0))</f>
        <v/>
      </c>
      <c r="C319" s="204">
        <f>IF(A319="","",IFERROR(xlookup(A319,'MONTHLY ANALYSIS'!$A:$A,'MONTHLY ANALYSIS'!$L:$L),0))</f>
        <v/>
      </c>
      <c r="D319" s="205">
        <f>IF(A319="","",IFERROR(xlookup(A319,'MONTHLY ANALYSIS'!$A:$A,'MONTHLY ANALYSIS'!$M:$M),0))</f>
        <v/>
      </c>
      <c r="E319" s="190">
        <f>IF(A319="","",IF(D319&gt;0,"⚑ PAST MIDNIGHT","⚠ PAST 10PM ONLY"))</f>
        <v/>
      </c>
      <c r="F319" s="170">
        <f>IF(A319="","",IFERROR(xlookup(A319,'FLEET REGISTER'!$B:$B,'FLEET REGISTER'!$F:$F),"Unknown"))</f>
        <v/>
      </c>
      <c r="G319" s="200" t="n"/>
      <c r="H319" s="200" t="n"/>
      <c r="I319" s="200" t="n"/>
      <c r="J319" s="200" t="n"/>
      <c r="K319" s="200" t="n"/>
      <c r="L319" s="200" t="n"/>
    </row>
    <row r="320" ht="15" customHeight="1" s="122">
      <c r="A320" s="197">
        <f>IF(A319="","","")</f>
        <v/>
      </c>
      <c r="B320" s="197">
        <f>IF(A320="","",IFERROR(xlookup(A320,'MONTHLY ANALYSIS'!$A:$A,'MONTHLY ANALYSIS'!$L:$L),0))</f>
        <v/>
      </c>
      <c r="C320" s="204">
        <f>IF(A320="","",IFERROR(xlookup(A320,'MONTHLY ANALYSIS'!$A:$A,'MONTHLY ANALYSIS'!$L:$L),0))</f>
        <v/>
      </c>
      <c r="D320" s="205">
        <f>IF(A320="","",IFERROR(xlookup(A320,'MONTHLY ANALYSIS'!$A:$A,'MONTHLY ANALYSIS'!$M:$M),0))</f>
        <v/>
      </c>
      <c r="E320" s="190">
        <f>IF(A320="","",IF(D320&gt;0,"⚑ PAST MIDNIGHT","⚠ PAST 10PM ONLY"))</f>
        <v/>
      </c>
      <c r="F320" s="170">
        <f>IF(A320="","",IFERROR(xlookup(A320,'FLEET REGISTER'!$B:$B,'FLEET REGISTER'!$F:$F),"Unknown"))</f>
        <v/>
      </c>
      <c r="G320" s="200" t="n"/>
      <c r="H320" s="200" t="n"/>
      <c r="I320" s="200" t="n"/>
      <c r="J320" s="200" t="n"/>
      <c r="K320" s="200" t="n"/>
      <c r="L320" s="200" t="n"/>
    </row>
    <row r="321" ht="15" customHeight="1" s="122">
      <c r="A321" s="197">
        <f>IF(A320="","","")</f>
        <v/>
      </c>
      <c r="B321" s="197">
        <f>IF(A321="","",IFERROR(xlookup(A321,'MONTHLY ANALYSIS'!$A:$A,'MONTHLY ANALYSIS'!$L:$L),0))</f>
        <v/>
      </c>
      <c r="C321" s="204">
        <f>IF(A321="","",IFERROR(xlookup(A321,'MONTHLY ANALYSIS'!$A:$A,'MONTHLY ANALYSIS'!$L:$L),0))</f>
        <v/>
      </c>
      <c r="D321" s="205">
        <f>IF(A321="","",IFERROR(xlookup(A321,'MONTHLY ANALYSIS'!$A:$A,'MONTHLY ANALYSIS'!$M:$M),0))</f>
        <v/>
      </c>
      <c r="E321" s="190">
        <f>IF(A321="","",IF(D321&gt;0,"⚑ PAST MIDNIGHT","⚠ PAST 10PM ONLY"))</f>
        <v/>
      </c>
      <c r="F321" s="170">
        <f>IF(A321="","",IFERROR(xlookup(A321,'FLEET REGISTER'!$B:$B,'FLEET REGISTER'!$F:$F),"Unknown"))</f>
        <v/>
      </c>
      <c r="G321" s="200" t="n"/>
      <c r="H321" s="200" t="n"/>
      <c r="I321" s="200" t="n"/>
      <c r="J321" s="200" t="n"/>
      <c r="K321" s="200" t="n"/>
      <c r="L321" s="200" t="n"/>
    </row>
    <row r="322" ht="15" customHeight="1" s="122">
      <c r="A322" s="197">
        <f>IF(A321="","","")</f>
        <v/>
      </c>
      <c r="B322" s="197">
        <f>IF(A322="","",IFERROR(xlookup(A322,'MONTHLY ANALYSIS'!$A:$A,'MONTHLY ANALYSIS'!$L:$L),0))</f>
        <v/>
      </c>
      <c r="C322" s="204">
        <f>IF(A322="","",IFERROR(xlookup(A322,'MONTHLY ANALYSIS'!$A:$A,'MONTHLY ANALYSIS'!$L:$L),0))</f>
        <v/>
      </c>
      <c r="D322" s="205">
        <f>IF(A322="","",IFERROR(xlookup(A322,'MONTHLY ANALYSIS'!$A:$A,'MONTHLY ANALYSIS'!$M:$M),0))</f>
        <v/>
      </c>
      <c r="E322" s="190">
        <f>IF(A322="","",IF(D322&gt;0,"⚑ PAST MIDNIGHT","⚠ PAST 10PM ONLY"))</f>
        <v/>
      </c>
      <c r="F322" s="170">
        <f>IF(A322="","",IFERROR(xlookup(A322,'FLEET REGISTER'!$B:$B,'FLEET REGISTER'!$F:$F),"Unknown"))</f>
        <v/>
      </c>
      <c r="G322" s="200" t="n"/>
      <c r="H322" s="200" t="n"/>
      <c r="I322" s="200" t="n"/>
      <c r="J322" s="200" t="n"/>
      <c r="K322" s="200" t="n"/>
      <c r="L322" s="200" t="n"/>
    </row>
    <row r="323" ht="15" customHeight="1" s="122">
      <c r="A323" s="197">
        <f>IF(A322="","","")</f>
        <v/>
      </c>
      <c r="B323" s="197">
        <f>IF(A323="","",IFERROR(xlookup(A323,'MONTHLY ANALYSIS'!$A:$A,'MONTHLY ANALYSIS'!$L:$L),0))</f>
        <v/>
      </c>
      <c r="C323" s="204">
        <f>IF(A323="","",IFERROR(xlookup(A323,'MONTHLY ANALYSIS'!$A:$A,'MONTHLY ANALYSIS'!$L:$L),0))</f>
        <v/>
      </c>
      <c r="D323" s="205">
        <f>IF(A323="","",IFERROR(xlookup(A323,'MONTHLY ANALYSIS'!$A:$A,'MONTHLY ANALYSIS'!$M:$M),0))</f>
        <v/>
      </c>
      <c r="E323" s="190">
        <f>IF(A323="","",IF(D323&gt;0,"⚑ PAST MIDNIGHT","⚠ PAST 10PM ONLY"))</f>
        <v/>
      </c>
      <c r="F323" s="170">
        <f>IF(A323="","",IFERROR(xlookup(A323,'FLEET REGISTER'!$B:$B,'FLEET REGISTER'!$F:$F),"Unknown"))</f>
        <v/>
      </c>
      <c r="G323" s="200" t="n"/>
      <c r="H323" s="200" t="n"/>
      <c r="I323" s="200" t="n"/>
      <c r="J323" s="200" t="n"/>
      <c r="K323" s="200" t="n"/>
      <c r="L323" s="200" t="n"/>
    </row>
    <row r="324" ht="15" customHeight="1" s="122">
      <c r="A324" s="197">
        <f>IF(A323="","","")</f>
        <v/>
      </c>
      <c r="B324" s="197">
        <f>IF(A324="","",IFERROR(xlookup(A324,'MONTHLY ANALYSIS'!$A:$A,'MONTHLY ANALYSIS'!$L:$L),0))</f>
        <v/>
      </c>
      <c r="C324" s="204">
        <f>IF(A324="","",IFERROR(xlookup(A324,'MONTHLY ANALYSIS'!$A:$A,'MONTHLY ANALYSIS'!$L:$L),0))</f>
        <v/>
      </c>
      <c r="D324" s="205">
        <f>IF(A324="","",IFERROR(xlookup(A324,'MONTHLY ANALYSIS'!$A:$A,'MONTHLY ANALYSIS'!$M:$M),0))</f>
        <v/>
      </c>
      <c r="E324" s="190">
        <f>IF(A324="","",IF(D324&gt;0,"⚑ PAST MIDNIGHT","⚠ PAST 10PM ONLY"))</f>
        <v/>
      </c>
      <c r="F324" s="170">
        <f>IF(A324="","",IFERROR(xlookup(A324,'FLEET REGISTER'!$B:$B,'FLEET REGISTER'!$F:$F),"Unknown"))</f>
        <v/>
      </c>
      <c r="G324" s="200" t="n"/>
      <c r="H324" s="200" t="n"/>
      <c r="I324" s="200" t="n"/>
      <c r="J324" s="200" t="n"/>
      <c r="K324" s="200" t="n"/>
      <c r="L324" s="200" t="n"/>
    </row>
    <row r="325" ht="15" customHeight="1" s="122">
      <c r="A325" s="197">
        <f>IF(A324="","","")</f>
        <v/>
      </c>
      <c r="B325" s="197">
        <f>IF(A325="","",IFERROR(xlookup(A325,'MONTHLY ANALYSIS'!$A:$A,'MONTHLY ANALYSIS'!$L:$L),0))</f>
        <v/>
      </c>
      <c r="C325" s="204">
        <f>IF(A325="","",IFERROR(xlookup(A325,'MONTHLY ANALYSIS'!$A:$A,'MONTHLY ANALYSIS'!$L:$L),0))</f>
        <v/>
      </c>
      <c r="D325" s="205">
        <f>IF(A325="","",IFERROR(xlookup(A325,'MONTHLY ANALYSIS'!$A:$A,'MONTHLY ANALYSIS'!$M:$M),0))</f>
        <v/>
      </c>
      <c r="E325" s="190">
        <f>IF(A325="","",IF(D325&gt;0,"⚑ PAST MIDNIGHT","⚠ PAST 10PM ONLY"))</f>
        <v/>
      </c>
      <c r="F325" s="170">
        <f>IF(A325="","",IFERROR(xlookup(A325,'FLEET REGISTER'!$B:$B,'FLEET REGISTER'!$F:$F),"Unknown"))</f>
        <v/>
      </c>
      <c r="G325" s="200" t="n"/>
      <c r="H325" s="200" t="n"/>
      <c r="I325" s="200" t="n"/>
      <c r="J325" s="200" t="n"/>
      <c r="K325" s="200" t="n"/>
      <c r="L325" s="200" t="n"/>
    </row>
    <row r="326" ht="15" customHeight="1" s="122">
      <c r="A326" s="197">
        <f>IF(A325="","","")</f>
        <v/>
      </c>
      <c r="B326" s="197">
        <f>IF(A326="","",IFERROR(xlookup(A326,'MONTHLY ANALYSIS'!$A:$A,'MONTHLY ANALYSIS'!$L:$L),0))</f>
        <v/>
      </c>
      <c r="C326" s="204">
        <f>IF(A326="","",IFERROR(xlookup(A326,'MONTHLY ANALYSIS'!$A:$A,'MONTHLY ANALYSIS'!$L:$L),0))</f>
        <v/>
      </c>
      <c r="D326" s="205">
        <f>IF(A326="","",IFERROR(xlookup(A326,'MONTHLY ANALYSIS'!$A:$A,'MONTHLY ANALYSIS'!$M:$M),0))</f>
        <v/>
      </c>
      <c r="E326" s="190">
        <f>IF(A326="","",IF(D326&gt;0,"⚑ PAST MIDNIGHT","⚠ PAST 10PM ONLY"))</f>
        <v/>
      </c>
      <c r="F326" s="170">
        <f>IF(A326="","",IFERROR(xlookup(A326,'FLEET REGISTER'!$B:$B,'FLEET REGISTER'!$F:$F),"Unknown"))</f>
        <v/>
      </c>
      <c r="G326" s="200" t="n"/>
      <c r="H326" s="200" t="n"/>
      <c r="I326" s="200" t="n"/>
      <c r="J326" s="200" t="n"/>
      <c r="K326" s="200" t="n"/>
      <c r="L326" s="200" t="n"/>
    </row>
    <row r="327" ht="15" customHeight="1" s="122">
      <c r="A327" s="197">
        <f>IF(A326="","","")</f>
        <v/>
      </c>
      <c r="B327" s="197">
        <f>IF(A327="","",IFERROR(xlookup(A327,'MONTHLY ANALYSIS'!$A:$A,'MONTHLY ANALYSIS'!$L:$L),0))</f>
        <v/>
      </c>
      <c r="C327" s="204">
        <f>IF(A327="","",IFERROR(xlookup(A327,'MONTHLY ANALYSIS'!$A:$A,'MONTHLY ANALYSIS'!$L:$L),0))</f>
        <v/>
      </c>
      <c r="D327" s="205">
        <f>IF(A327="","",IFERROR(xlookup(A327,'MONTHLY ANALYSIS'!$A:$A,'MONTHLY ANALYSIS'!$M:$M),0))</f>
        <v/>
      </c>
      <c r="E327" s="190">
        <f>IF(A327="","",IF(D327&gt;0,"⚑ PAST MIDNIGHT","⚠ PAST 10PM ONLY"))</f>
        <v/>
      </c>
      <c r="F327" s="170">
        <f>IF(A327="","",IFERROR(xlookup(A327,'FLEET REGISTER'!$B:$B,'FLEET REGISTER'!$F:$F),"Unknown"))</f>
        <v/>
      </c>
      <c r="G327" s="200" t="n"/>
      <c r="H327" s="200" t="n"/>
      <c r="I327" s="200" t="n"/>
      <c r="J327" s="200" t="n"/>
      <c r="K327" s="200" t="n"/>
      <c r="L327" s="200" t="n"/>
    </row>
    <row r="328" ht="15" customHeight="1" s="122">
      <c r="A328" s="197">
        <f>IF(A327="","","")</f>
        <v/>
      </c>
      <c r="B328" s="197">
        <f>IF(A328="","",IFERROR(xlookup(A328,'MONTHLY ANALYSIS'!$A:$A,'MONTHLY ANALYSIS'!$L:$L),0))</f>
        <v/>
      </c>
      <c r="C328" s="204">
        <f>IF(A328="","",IFERROR(xlookup(A328,'MONTHLY ANALYSIS'!$A:$A,'MONTHLY ANALYSIS'!$L:$L),0))</f>
        <v/>
      </c>
      <c r="D328" s="205">
        <f>IF(A328="","",IFERROR(xlookup(A328,'MONTHLY ANALYSIS'!$A:$A,'MONTHLY ANALYSIS'!$M:$M),0))</f>
        <v/>
      </c>
      <c r="E328" s="190">
        <f>IF(A328="","",IF(D328&gt;0,"⚑ PAST MIDNIGHT","⚠ PAST 10PM ONLY"))</f>
        <v/>
      </c>
      <c r="F328" s="170">
        <f>IF(A328="","",IFERROR(xlookup(A328,'FLEET REGISTER'!$B:$B,'FLEET REGISTER'!$F:$F),"Unknown"))</f>
        <v/>
      </c>
      <c r="G328" s="200" t="n"/>
      <c r="H328" s="200" t="n"/>
      <c r="I328" s="200" t="n"/>
      <c r="J328" s="200" t="n"/>
      <c r="K328" s="200" t="n"/>
      <c r="L328" s="200" t="n"/>
    </row>
    <row r="329" ht="15" customHeight="1" s="122">
      <c r="A329" s="197">
        <f>IF(A328="","","")</f>
        <v/>
      </c>
      <c r="B329" s="197">
        <f>IF(A329="","",IFERROR(xlookup(A329,'MONTHLY ANALYSIS'!$A:$A,'MONTHLY ANALYSIS'!$L:$L),0))</f>
        <v/>
      </c>
      <c r="C329" s="204">
        <f>IF(A329="","",IFERROR(xlookup(A329,'MONTHLY ANALYSIS'!$A:$A,'MONTHLY ANALYSIS'!$L:$L),0))</f>
        <v/>
      </c>
      <c r="D329" s="205">
        <f>IF(A329="","",IFERROR(xlookup(A329,'MONTHLY ANALYSIS'!$A:$A,'MONTHLY ANALYSIS'!$M:$M),0))</f>
        <v/>
      </c>
      <c r="E329" s="190">
        <f>IF(A329="","",IF(D329&gt;0,"⚑ PAST MIDNIGHT","⚠ PAST 10PM ONLY"))</f>
        <v/>
      </c>
      <c r="F329" s="170">
        <f>IF(A329="","",IFERROR(xlookup(A329,'FLEET REGISTER'!$B:$B,'FLEET REGISTER'!$F:$F),"Unknown"))</f>
        <v/>
      </c>
      <c r="G329" s="200" t="n"/>
      <c r="H329" s="200" t="n"/>
      <c r="I329" s="200" t="n"/>
      <c r="J329" s="200" t="n"/>
      <c r="K329" s="200" t="n"/>
      <c r="L329" s="200" t="n"/>
    </row>
    <row r="330" ht="15" customHeight="1" s="122">
      <c r="A330" s="197">
        <f>IF(A329="","","")</f>
        <v/>
      </c>
      <c r="B330" s="197">
        <f>IF(A330="","",IFERROR(xlookup(A330,'MONTHLY ANALYSIS'!$A:$A,'MONTHLY ANALYSIS'!$L:$L),0))</f>
        <v/>
      </c>
      <c r="C330" s="204">
        <f>IF(A330="","",IFERROR(xlookup(A330,'MONTHLY ANALYSIS'!$A:$A,'MONTHLY ANALYSIS'!$L:$L),0))</f>
        <v/>
      </c>
      <c r="D330" s="205">
        <f>IF(A330="","",IFERROR(xlookup(A330,'MONTHLY ANALYSIS'!$A:$A,'MONTHLY ANALYSIS'!$M:$M),0))</f>
        <v/>
      </c>
      <c r="E330" s="190">
        <f>IF(A330="","",IF(D330&gt;0,"⚑ PAST MIDNIGHT","⚠ PAST 10PM ONLY"))</f>
        <v/>
      </c>
      <c r="F330" s="170">
        <f>IF(A330="","",IFERROR(xlookup(A330,'FLEET REGISTER'!$B:$B,'FLEET REGISTER'!$F:$F),"Unknown"))</f>
        <v/>
      </c>
      <c r="G330" s="200" t="n"/>
      <c r="H330" s="200" t="n"/>
      <c r="I330" s="200" t="n"/>
      <c r="J330" s="200" t="n"/>
      <c r="K330" s="200" t="n"/>
      <c r="L330" s="200" t="n"/>
    </row>
    <row r="331" ht="15" customHeight="1" s="122">
      <c r="A331" s="197">
        <f>IF(A330="","","")</f>
        <v/>
      </c>
      <c r="B331" s="197">
        <f>IF(A331="","",IFERROR(xlookup(A331,'MONTHLY ANALYSIS'!$A:$A,'MONTHLY ANALYSIS'!$L:$L),0))</f>
        <v/>
      </c>
      <c r="C331" s="204">
        <f>IF(A331="","",IFERROR(xlookup(A331,'MONTHLY ANALYSIS'!$A:$A,'MONTHLY ANALYSIS'!$L:$L),0))</f>
        <v/>
      </c>
      <c r="D331" s="205">
        <f>IF(A331="","",IFERROR(xlookup(A331,'MONTHLY ANALYSIS'!$A:$A,'MONTHLY ANALYSIS'!$M:$M),0))</f>
        <v/>
      </c>
      <c r="E331" s="190">
        <f>IF(A331="","",IF(D331&gt;0,"⚑ PAST MIDNIGHT","⚠ PAST 10PM ONLY"))</f>
        <v/>
      </c>
      <c r="F331" s="170">
        <f>IF(A331="","",IFERROR(xlookup(A331,'FLEET REGISTER'!$B:$B,'FLEET REGISTER'!$F:$F),"Unknown"))</f>
        <v/>
      </c>
      <c r="G331" s="200" t="n"/>
      <c r="H331" s="200" t="n"/>
      <c r="I331" s="200" t="n"/>
      <c r="J331" s="200" t="n"/>
      <c r="K331" s="200" t="n"/>
      <c r="L331" s="200" t="n"/>
    </row>
    <row r="332" ht="15" customHeight="1" s="122">
      <c r="A332" s="197">
        <f>IF(A331="","","")</f>
        <v/>
      </c>
      <c r="B332" s="197">
        <f>IF(A332="","",IFERROR(xlookup(A332,'MONTHLY ANALYSIS'!$A:$A,'MONTHLY ANALYSIS'!$L:$L),0))</f>
        <v/>
      </c>
      <c r="C332" s="204">
        <f>IF(A332="","",IFERROR(xlookup(A332,'MONTHLY ANALYSIS'!$A:$A,'MONTHLY ANALYSIS'!$L:$L),0))</f>
        <v/>
      </c>
      <c r="D332" s="205">
        <f>IF(A332="","",IFERROR(xlookup(A332,'MONTHLY ANALYSIS'!$A:$A,'MONTHLY ANALYSIS'!$M:$M),0))</f>
        <v/>
      </c>
      <c r="E332" s="190">
        <f>IF(A332="","",IF(D332&gt;0,"⚑ PAST MIDNIGHT","⚠ PAST 10PM ONLY"))</f>
        <v/>
      </c>
      <c r="F332" s="170">
        <f>IF(A332="","",IFERROR(xlookup(A332,'FLEET REGISTER'!$B:$B,'FLEET REGISTER'!$F:$F),"Unknown"))</f>
        <v/>
      </c>
      <c r="G332" s="200" t="n"/>
      <c r="H332" s="200" t="n"/>
      <c r="I332" s="200" t="n"/>
      <c r="J332" s="200" t="n"/>
      <c r="K332" s="200" t="n"/>
      <c r="L332" s="200" t="n"/>
    </row>
    <row r="333" ht="15" customHeight="1" s="122">
      <c r="A333" s="197">
        <f>IF(A332="","","")</f>
        <v/>
      </c>
      <c r="B333" s="197">
        <f>IF(A333="","",IFERROR(xlookup(A333,'MONTHLY ANALYSIS'!$A:$A,'MONTHLY ANALYSIS'!$L:$L),0))</f>
        <v/>
      </c>
      <c r="C333" s="204">
        <f>IF(A333="","",IFERROR(xlookup(A333,'MONTHLY ANALYSIS'!$A:$A,'MONTHLY ANALYSIS'!$L:$L),0))</f>
        <v/>
      </c>
      <c r="D333" s="205">
        <f>IF(A333="","",IFERROR(xlookup(A333,'MONTHLY ANALYSIS'!$A:$A,'MONTHLY ANALYSIS'!$M:$M),0))</f>
        <v/>
      </c>
      <c r="E333" s="190">
        <f>IF(A333="","",IF(D333&gt;0,"⚑ PAST MIDNIGHT","⚠ PAST 10PM ONLY"))</f>
        <v/>
      </c>
      <c r="F333" s="170">
        <f>IF(A333="","",IFERROR(xlookup(A333,'FLEET REGISTER'!$B:$B,'FLEET REGISTER'!$F:$F),"Unknown"))</f>
        <v/>
      </c>
      <c r="G333" s="200" t="n"/>
      <c r="H333" s="200" t="n"/>
      <c r="I333" s="200" t="n"/>
      <c r="J333" s="200" t="n"/>
      <c r="K333" s="200" t="n"/>
      <c r="L333" s="200" t="n"/>
    </row>
    <row r="334" ht="15" customHeight="1" s="122">
      <c r="A334" s="197">
        <f>IF(A333="","","")</f>
        <v/>
      </c>
      <c r="B334" s="197">
        <f>IF(A334="","",IFERROR(xlookup(A334,'MONTHLY ANALYSIS'!$A:$A,'MONTHLY ANALYSIS'!$L:$L),0))</f>
        <v/>
      </c>
      <c r="C334" s="204">
        <f>IF(A334="","",IFERROR(xlookup(A334,'MONTHLY ANALYSIS'!$A:$A,'MONTHLY ANALYSIS'!$L:$L),0))</f>
        <v/>
      </c>
      <c r="D334" s="205">
        <f>IF(A334="","",IFERROR(xlookup(A334,'MONTHLY ANALYSIS'!$A:$A,'MONTHLY ANALYSIS'!$M:$M),0))</f>
        <v/>
      </c>
      <c r="E334" s="190">
        <f>IF(A334="","",IF(D334&gt;0,"⚑ PAST MIDNIGHT","⚠ PAST 10PM ONLY"))</f>
        <v/>
      </c>
      <c r="F334" s="170">
        <f>IF(A334="","",IFERROR(xlookup(A334,'FLEET REGISTER'!$B:$B,'FLEET REGISTER'!$F:$F),"Unknown"))</f>
        <v/>
      </c>
      <c r="G334" s="200" t="n"/>
      <c r="H334" s="200" t="n"/>
      <c r="I334" s="200" t="n"/>
      <c r="J334" s="200" t="n"/>
      <c r="K334" s="200" t="n"/>
      <c r="L334" s="200" t="n"/>
    </row>
    <row r="335" ht="15" customHeight="1" s="122">
      <c r="A335" s="197">
        <f>IF(A334="","","")</f>
        <v/>
      </c>
      <c r="B335" s="197">
        <f>IF(A335="","",IFERROR(xlookup(A335,'MONTHLY ANALYSIS'!$A:$A,'MONTHLY ANALYSIS'!$L:$L),0))</f>
        <v/>
      </c>
      <c r="C335" s="204">
        <f>IF(A335="","",IFERROR(xlookup(A335,'MONTHLY ANALYSIS'!$A:$A,'MONTHLY ANALYSIS'!$L:$L),0))</f>
        <v/>
      </c>
      <c r="D335" s="205">
        <f>IF(A335="","",IFERROR(xlookup(A335,'MONTHLY ANALYSIS'!$A:$A,'MONTHLY ANALYSIS'!$M:$M),0))</f>
        <v/>
      </c>
      <c r="E335" s="190">
        <f>IF(A335="","",IF(D335&gt;0,"⚑ PAST MIDNIGHT","⚠ PAST 10PM ONLY"))</f>
        <v/>
      </c>
      <c r="F335" s="170">
        <f>IF(A335="","",IFERROR(xlookup(A335,'FLEET REGISTER'!$B:$B,'FLEET REGISTER'!$F:$F),"Unknown"))</f>
        <v/>
      </c>
      <c r="G335" s="200" t="n"/>
      <c r="H335" s="200" t="n"/>
      <c r="I335" s="200" t="n"/>
      <c r="J335" s="200" t="n"/>
      <c r="K335" s="200" t="n"/>
      <c r="L335" s="200" t="n"/>
    </row>
    <row r="336" ht="15" customHeight="1" s="122">
      <c r="A336" s="197">
        <f>IF(A335="","","")</f>
        <v/>
      </c>
      <c r="B336" s="197">
        <f>IF(A336="","",IFERROR(xlookup(A336,'MONTHLY ANALYSIS'!$A:$A,'MONTHLY ANALYSIS'!$L:$L),0))</f>
        <v/>
      </c>
      <c r="C336" s="204">
        <f>IF(A336="","",IFERROR(xlookup(A336,'MONTHLY ANALYSIS'!$A:$A,'MONTHLY ANALYSIS'!$L:$L),0))</f>
        <v/>
      </c>
      <c r="D336" s="205">
        <f>IF(A336="","",IFERROR(xlookup(A336,'MONTHLY ANALYSIS'!$A:$A,'MONTHLY ANALYSIS'!$M:$M),0))</f>
        <v/>
      </c>
      <c r="E336" s="190">
        <f>IF(A336="","",IF(D336&gt;0,"⚑ PAST MIDNIGHT","⚠ PAST 10PM ONLY"))</f>
        <v/>
      </c>
      <c r="F336" s="170">
        <f>IF(A336="","",IFERROR(xlookup(A336,'FLEET REGISTER'!$B:$B,'FLEET REGISTER'!$F:$F),"Unknown"))</f>
        <v/>
      </c>
      <c r="G336" s="200" t="n"/>
      <c r="H336" s="200" t="n"/>
      <c r="I336" s="200" t="n"/>
      <c r="J336" s="200" t="n"/>
      <c r="K336" s="200" t="n"/>
      <c r="L336" s="200" t="n"/>
    </row>
    <row r="337" ht="15" customHeight="1" s="122">
      <c r="A337" s="197">
        <f>IF(A336="","","")</f>
        <v/>
      </c>
      <c r="B337" s="197">
        <f>IF(A337="","",IFERROR(xlookup(A337,'MONTHLY ANALYSIS'!$A:$A,'MONTHLY ANALYSIS'!$L:$L),0))</f>
        <v/>
      </c>
      <c r="C337" s="204">
        <f>IF(A337="","",IFERROR(xlookup(A337,'MONTHLY ANALYSIS'!$A:$A,'MONTHLY ANALYSIS'!$L:$L),0))</f>
        <v/>
      </c>
      <c r="D337" s="205">
        <f>IF(A337="","",IFERROR(xlookup(A337,'MONTHLY ANALYSIS'!$A:$A,'MONTHLY ANALYSIS'!$M:$M),0))</f>
        <v/>
      </c>
      <c r="E337" s="190">
        <f>IF(A337="","",IF(D337&gt;0,"⚑ PAST MIDNIGHT","⚠ PAST 10PM ONLY"))</f>
        <v/>
      </c>
      <c r="F337" s="170">
        <f>IF(A337="","",IFERROR(xlookup(A337,'FLEET REGISTER'!$B:$B,'FLEET REGISTER'!$F:$F),"Unknown"))</f>
        <v/>
      </c>
      <c r="G337" s="200" t="n"/>
      <c r="H337" s="200" t="n"/>
      <c r="I337" s="200" t="n"/>
      <c r="J337" s="200" t="n"/>
      <c r="K337" s="200" t="n"/>
      <c r="L337" s="200" t="n"/>
    </row>
    <row r="338" ht="15" customHeight="1" s="122">
      <c r="A338" s="197">
        <f>IF(A337="","","")</f>
        <v/>
      </c>
      <c r="B338" s="197">
        <f>IF(A338="","",IFERROR(xlookup(A338,'MONTHLY ANALYSIS'!$A:$A,'MONTHLY ANALYSIS'!$L:$L),0))</f>
        <v/>
      </c>
      <c r="C338" s="204">
        <f>IF(A338="","",IFERROR(xlookup(A338,'MONTHLY ANALYSIS'!$A:$A,'MONTHLY ANALYSIS'!$L:$L),0))</f>
        <v/>
      </c>
      <c r="D338" s="205">
        <f>IF(A338="","",IFERROR(xlookup(A338,'MONTHLY ANALYSIS'!$A:$A,'MONTHLY ANALYSIS'!$M:$M),0))</f>
        <v/>
      </c>
      <c r="E338" s="190">
        <f>IF(A338="","",IF(D338&gt;0,"⚑ PAST MIDNIGHT","⚠ PAST 10PM ONLY"))</f>
        <v/>
      </c>
      <c r="F338" s="170">
        <f>IF(A338="","",IFERROR(xlookup(A338,'FLEET REGISTER'!$B:$B,'FLEET REGISTER'!$F:$F),"Unknown"))</f>
        <v/>
      </c>
      <c r="G338" s="200" t="n"/>
      <c r="H338" s="200" t="n"/>
      <c r="I338" s="200" t="n"/>
      <c r="J338" s="200" t="n"/>
      <c r="K338" s="200" t="n"/>
      <c r="L338" s="200" t="n"/>
    </row>
    <row r="339" ht="15" customHeight="1" s="122">
      <c r="A339" s="197">
        <f>IF(A338="","","")</f>
        <v/>
      </c>
      <c r="B339" s="197">
        <f>IF(A339="","",IFERROR(xlookup(A339,'MONTHLY ANALYSIS'!$A:$A,'MONTHLY ANALYSIS'!$L:$L),0))</f>
        <v/>
      </c>
      <c r="C339" s="204">
        <f>IF(A339="","",IFERROR(xlookup(A339,'MONTHLY ANALYSIS'!$A:$A,'MONTHLY ANALYSIS'!$L:$L),0))</f>
        <v/>
      </c>
      <c r="D339" s="205">
        <f>IF(A339="","",IFERROR(xlookup(A339,'MONTHLY ANALYSIS'!$A:$A,'MONTHLY ANALYSIS'!$M:$M),0))</f>
        <v/>
      </c>
      <c r="E339" s="190">
        <f>IF(A339="","",IF(D339&gt;0,"⚑ PAST MIDNIGHT","⚠ PAST 10PM ONLY"))</f>
        <v/>
      </c>
      <c r="F339" s="170">
        <f>IF(A339="","",IFERROR(xlookup(A339,'FLEET REGISTER'!$B:$B,'FLEET REGISTER'!$F:$F),"Unknown"))</f>
        <v/>
      </c>
      <c r="G339" s="200" t="n"/>
      <c r="H339" s="200" t="n"/>
      <c r="I339" s="200" t="n"/>
      <c r="J339" s="200" t="n"/>
      <c r="K339" s="200" t="n"/>
      <c r="L339" s="200" t="n"/>
    </row>
    <row r="340" ht="15" customHeight="1" s="122">
      <c r="A340" s="197">
        <f>IF(A339="","","")</f>
        <v/>
      </c>
      <c r="B340" s="197">
        <f>IF(A340="","",IFERROR(xlookup(A340,'MONTHLY ANALYSIS'!$A:$A,'MONTHLY ANALYSIS'!$L:$L),0))</f>
        <v/>
      </c>
      <c r="C340" s="204">
        <f>IF(A340="","",IFERROR(xlookup(A340,'MONTHLY ANALYSIS'!$A:$A,'MONTHLY ANALYSIS'!$L:$L),0))</f>
        <v/>
      </c>
      <c r="D340" s="205">
        <f>IF(A340="","",IFERROR(xlookup(A340,'MONTHLY ANALYSIS'!$A:$A,'MONTHLY ANALYSIS'!$M:$M),0))</f>
        <v/>
      </c>
      <c r="E340" s="190">
        <f>IF(A340="","",IF(D340&gt;0,"⚑ PAST MIDNIGHT","⚠ PAST 10PM ONLY"))</f>
        <v/>
      </c>
      <c r="F340" s="170">
        <f>IF(A340="","",IFERROR(xlookup(A340,'FLEET REGISTER'!$B:$B,'FLEET REGISTER'!$F:$F),"Unknown"))</f>
        <v/>
      </c>
      <c r="G340" s="200" t="n"/>
      <c r="H340" s="200" t="n"/>
      <c r="I340" s="200" t="n"/>
      <c r="J340" s="200" t="n"/>
      <c r="K340" s="200" t="n"/>
      <c r="L340" s="200" t="n"/>
    </row>
    <row r="341" ht="15" customHeight="1" s="122">
      <c r="A341" s="197">
        <f>IF(A340="","","")</f>
        <v/>
      </c>
      <c r="B341" s="197">
        <f>IF(A341="","",IFERROR(xlookup(A341,'MONTHLY ANALYSIS'!$A:$A,'MONTHLY ANALYSIS'!$L:$L),0))</f>
        <v/>
      </c>
      <c r="C341" s="204">
        <f>IF(A341="","",IFERROR(xlookup(A341,'MONTHLY ANALYSIS'!$A:$A,'MONTHLY ANALYSIS'!$L:$L),0))</f>
        <v/>
      </c>
      <c r="D341" s="205">
        <f>IF(A341="","",IFERROR(xlookup(A341,'MONTHLY ANALYSIS'!$A:$A,'MONTHLY ANALYSIS'!$M:$M),0))</f>
        <v/>
      </c>
      <c r="E341" s="190">
        <f>IF(A341="","",IF(D341&gt;0,"⚑ PAST MIDNIGHT","⚠ PAST 10PM ONLY"))</f>
        <v/>
      </c>
      <c r="F341" s="170">
        <f>IF(A341="","",IFERROR(xlookup(A341,'FLEET REGISTER'!$B:$B,'FLEET REGISTER'!$F:$F),"Unknown"))</f>
        <v/>
      </c>
      <c r="G341" s="200" t="n"/>
      <c r="H341" s="200" t="n"/>
      <c r="I341" s="200" t="n"/>
      <c r="J341" s="200" t="n"/>
      <c r="K341" s="200" t="n"/>
      <c r="L341" s="200" t="n"/>
    </row>
    <row r="342" ht="15" customHeight="1" s="122">
      <c r="A342" s="197">
        <f>IF(A341="","","")</f>
        <v/>
      </c>
      <c r="B342" s="197">
        <f>IF(A342="","",IFERROR(xlookup(A342,'MONTHLY ANALYSIS'!$A:$A,'MONTHLY ANALYSIS'!$L:$L),0))</f>
        <v/>
      </c>
      <c r="C342" s="204">
        <f>IF(A342="","",IFERROR(xlookup(A342,'MONTHLY ANALYSIS'!$A:$A,'MONTHLY ANALYSIS'!$L:$L),0))</f>
        <v/>
      </c>
      <c r="D342" s="205">
        <f>IF(A342="","",IFERROR(xlookup(A342,'MONTHLY ANALYSIS'!$A:$A,'MONTHLY ANALYSIS'!$M:$M),0))</f>
        <v/>
      </c>
      <c r="E342" s="190">
        <f>IF(A342="","",IF(D342&gt;0,"⚑ PAST MIDNIGHT","⚠ PAST 10PM ONLY"))</f>
        <v/>
      </c>
      <c r="F342" s="170">
        <f>IF(A342="","",IFERROR(xlookup(A342,'FLEET REGISTER'!$B:$B,'FLEET REGISTER'!$F:$F),"Unknown"))</f>
        <v/>
      </c>
      <c r="G342" s="200" t="n"/>
      <c r="H342" s="200" t="n"/>
      <c r="I342" s="200" t="n"/>
      <c r="J342" s="200" t="n"/>
      <c r="K342" s="200" t="n"/>
      <c r="L342" s="200" t="n"/>
    </row>
    <row r="343" ht="15" customHeight="1" s="122">
      <c r="A343" s="197">
        <f>IF(A342="","","")</f>
        <v/>
      </c>
      <c r="B343" s="197">
        <f>IF(A343="","",IFERROR(xlookup(A343,'MONTHLY ANALYSIS'!$A:$A,'MONTHLY ANALYSIS'!$L:$L),0))</f>
        <v/>
      </c>
      <c r="C343" s="204">
        <f>IF(A343="","",IFERROR(xlookup(A343,'MONTHLY ANALYSIS'!$A:$A,'MONTHLY ANALYSIS'!$L:$L),0))</f>
        <v/>
      </c>
      <c r="D343" s="205">
        <f>IF(A343="","",IFERROR(xlookup(A343,'MONTHLY ANALYSIS'!$A:$A,'MONTHLY ANALYSIS'!$M:$M),0))</f>
        <v/>
      </c>
      <c r="E343" s="190">
        <f>IF(A343="","",IF(D343&gt;0,"⚑ PAST MIDNIGHT","⚠ PAST 10PM ONLY"))</f>
        <v/>
      </c>
      <c r="F343" s="170">
        <f>IF(A343="","",IFERROR(xlookup(A343,'FLEET REGISTER'!$B:$B,'FLEET REGISTER'!$F:$F),"Unknown"))</f>
        <v/>
      </c>
      <c r="G343" s="200" t="n"/>
      <c r="H343" s="200" t="n"/>
      <c r="I343" s="200" t="n"/>
      <c r="J343" s="200" t="n"/>
      <c r="K343" s="200" t="n"/>
      <c r="L343" s="200" t="n"/>
    </row>
    <row r="344" ht="15" customHeight="1" s="122">
      <c r="A344" s="197">
        <f>IF(A343="","","")</f>
        <v/>
      </c>
      <c r="B344" s="197">
        <f>IF(A344="","",IFERROR(xlookup(A344,'MONTHLY ANALYSIS'!$A:$A,'MONTHLY ANALYSIS'!$L:$L),0))</f>
        <v/>
      </c>
      <c r="C344" s="204">
        <f>IF(A344="","",IFERROR(xlookup(A344,'MONTHLY ANALYSIS'!$A:$A,'MONTHLY ANALYSIS'!$L:$L),0))</f>
        <v/>
      </c>
      <c r="D344" s="205">
        <f>IF(A344="","",IFERROR(xlookup(A344,'MONTHLY ANALYSIS'!$A:$A,'MONTHLY ANALYSIS'!$M:$M),0))</f>
        <v/>
      </c>
      <c r="E344" s="190">
        <f>IF(A344="","",IF(D344&gt;0,"⚑ PAST MIDNIGHT","⚠ PAST 10PM ONLY"))</f>
        <v/>
      </c>
      <c r="F344" s="170">
        <f>IF(A344="","",IFERROR(xlookup(A344,'FLEET REGISTER'!$B:$B,'FLEET REGISTER'!$F:$F),"Unknown"))</f>
        <v/>
      </c>
      <c r="G344" s="200" t="n"/>
      <c r="H344" s="200" t="n"/>
      <c r="I344" s="200" t="n"/>
      <c r="J344" s="200" t="n"/>
      <c r="K344" s="200" t="n"/>
      <c r="L344" s="200" t="n"/>
    </row>
    <row r="345" ht="15" customHeight="1" s="122">
      <c r="A345" s="197">
        <f>IF(A344="","","")</f>
        <v/>
      </c>
      <c r="B345" s="197">
        <f>IF(A345="","",IFERROR(xlookup(A345,'MONTHLY ANALYSIS'!$A:$A,'MONTHLY ANALYSIS'!$L:$L),0))</f>
        <v/>
      </c>
      <c r="C345" s="204">
        <f>IF(A345="","",IFERROR(xlookup(A345,'MONTHLY ANALYSIS'!$A:$A,'MONTHLY ANALYSIS'!$L:$L),0))</f>
        <v/>
      </c>
      <c r="D345" s="205">
        <f>IF(A345="","",IFERROR(xlookup(A345,'MONTHLY ANALYSIS'!$A:$A,'MONTHLY ANALYSIS'!$M:$M),0))</f>
        <v/>
      </c>
      <c r="E345" s="190">
        <f>IF(A345="","",IF(D345&gt;0,"⚑ PAST MIDNIGHT","⚠ PAST 10PM ONLY"))</f>
        <v/>
      </c>
      <c r="F345" s="170">
        <f>IF(A345="","",IFERROR(xlookup(A345,'FLEET REGISTER'!$B:$B,'FLEET REGISTER'!$F:$F),"Unknown"))</f>
        <v/>
      </c>
      <c r="G345" s="200" t="n"/>
      <c r="H345" s="200" t="n"/>
      <c r="I345" s="200" t="n"/>
      <c r="J345" s="200" t="n"/>
      <c r="K345" s="200" t="n"/>
      <c r="L345" s="200" t="n"/>
    </row>
    <row r="346" ht="15" customHeight="1" s="122">
      <c r="A346" s="197">
        <f>IF(A345="","","")</f>
        <v/>
      </c>
      <c r="B346" s="197">
        <f>IF(A346="","",IFERROR(xlookup(A346,'MONTHLY ANALYSIS'!$A:$A,'MONTHLY ANALYSIS'!$L:$L),0))</f>
        <v/>
      </c>
      <c r="C346" s="204">
        <f>IF(A346="","",IFERROR(xlookup(A346,'MONTHLY ANALYSIS'!$A:$A,'MONTHLY ANALYSIS'!$L:$L),0))</f>
        <v/>
      </c>
      <c r="D346" s="205">
        <f>IF(A346="","",IFERROR(xlookup(A346,'MONTHLY ANALYSIS'!$A:$A,'MONTHLY ANALYSIS'!$M:$M),0))</f>
        <v/>
      </c>
      <c r="E346" s="190">
        <f>IF(A346="","",IF(D346&gt;0,"⚑ PAST MIDNIGHT","⚠ PAST 10PM ONLY"))</f>
        <v/>
      </c>
      <c r="F346" s="170">
        <f>IF(A346="","",IFERROR(xlookup(A346,'FLEET REGISTER'!$B:$B,'FLEET REGISTER'!$F:$F),"Unknown"))</f>
        <v/>
      </c>
      <c r="G346" s="200" t="n"/>
      <c r="H346" s="200" t="n"/>
      <c r="I346" s="200" t="n"/>
      <c r="J346" s="200" t="n"/>
      <c r="K346" s="200" t="n"/>
      <c r="L346" s="200" t="n"/>
    </row>
    <row r="347" ht="15" customHeight="1" s="122">
      <c r="A347" s="197">
        <f>IF(A346="","","")</f>
        <v/>
      </c>
      <c r="B347" s="197">
        <f>IF(A347="","",IFERROR(xlookup(A347,'MONTHLY ANALYSIS'!$A:$A,'MONTHLY ANALYSIS'!$L:$L),0))</f>
        <v/>
      </c>
      <c r="C347" s="204">
        <f>IF(A347="","",IFERROR(xlookup(A347,'MONTHLY ANALYSIS'!$A:$A,'MONTHLY ANALYSIS'!$L:$L),0))</f>
        <v/>
      </c>
      <c r="D347" s="205">
        <f>IF(A347="","",IFERROR(xlookup(A347,'MONTHLY ANALYSIS'!$A:$A,'MONTHLY ANALYSIS'!$M:$M),0))</f>
        <v/>
      </c>
      <c r="E347" s="190">
        <f>IF(A347="","",IF(D347&gt;0,"⚑ PAST MIDNIGHT","⚠ PAST 10PM ONLY"))</f>
        <v/>
      </c>
      <c r="F347" s="170">
        <f>IF(A347="","",IFERROR(xlookup(A347,'FLEET REGISTER'!$B:$B,'FLEET REGISTER'!$F:$F),"Unknown"))</f>
        <v/>
      </c>
      <c r="G347" s="200" t="n"/>
      <c r="H347" s="200" t="n"/>
      <c r="I347" s="200" t="n"/>
      <c r="J347" s="200" t="n"/>
      <c r="K347" s="200" t="n"/>
      <c r="L347" s="200" t="n"/>
    </row>
    <row r="348" ht="15" customHeight="1" s="122">
      <c r="A348" s="197">
        <f>IF(A347="","","")</f>
        <v/>
      </c>
      <c r="B348" s="197">
        <f>IF(A348="","",IFERROR(xlookup(A348,'MONTHLY ANALYSIS'!$A:$A,'MONTHLY ANALYSIS'!$L:$L),0))</f>
        <v/>
      </c>
      <c r="C348" s="204">
        <f>IF(A348="","",IFERROR(xlookup(A348,'MONTHLY ANALYSIS'!$A:$A,'MONTHLY ANALYSIS'!$L:$L),0))</f>
        <v/>
      </c>
      <c r="D348" s="205">
        <f>IF(A348="","",IFERROR(xlookup(A348,'MONTHLY ANALYSIS'!$A:$A,'MONTHLY ANALYSIS'!$M:$M),0))</f>
        <v/>
      </c>
      <c r="E348" s="190">
        <f>IF(A348="","",IF(D348&gt;0,"⚑ PAST MIDNIGHT","⚠ PAST 10PM ONLY"))</f>
        <v/>
      </c>
      <c r="F348" s="170">
        <f>IF(A348="","",IFERROR(xlookup(A348,'FLEET REGISTER'!$B:$B,'FLEET REGISTER'!$F:$F),"Unknown"))</f>
        <v/>
      </c>
      <c r="G348" s="200" t="n"/>
      <c r="H348" s="200" t="n"/>
      <c r="I348" s="200" t="n"/>
      <c r="J348" s="200" t="n"/>
      <c r="K348" s="200" t="n"/>
      <c r="L348" s="200" t="n"/>
    </row>
    <row r="349" ht="15" customHeight="1" s="122">
      <c r="A349" s="197">
        <f>IF(A348="","","")</f>
        <v/>
      </c>
      <c r="B349" s="197">
        <f>IF(A349="","",IFERROR(xlookup(A349,'MONTHLY ANALYSIS'!$A:$A,'MONTHLY ANALYSIS'!$L:$L),0))</f>
        <v/>
      </c>
      <c r="C349" s="204">
        <f>IF(A349="","",IFERROR(xlookup(A349,'MONTHLY ANALYSIS'!$A:$A,'MONTHLY ANALYSIS'!$L:$L),0))</f>
        <v/>
      </c>
      <c r="D349" s="205">
        <f>IF(A349="","",IFERROR(xlookup(A349,'MONTHLY ANALYSIS'!$A:$A,'MONTHLY ANALYSIS'!$M:$M),0))</f>
        <v/>
      </c>
      <c r="E349" s="190">
        <f>IF(A349="","",IF(D349&gt;0,"⚑ PAST MIDNIGHT","⚠ PAST 10PM ONLY"))</f>
        <v/>
      </c>
      <c r="F349" s="170">
        <f>IF(A349="","",IFERROR(xlookup(A349,'FLEET REGISTER'!$B:$B,'FLEET REGISTER'!$F:$F),"Unknown"))</f>
        <v/>
      </c>
      <c r="G349" s="200" t="n"/>
      <c r="H349" s="200" t="n"/>
      <c r="I349" s="200" t="n"/>
      <c r="J349" s="200" t="n"/>
      <c r="K349" s="200" t="n"/>
      <c r="L349" s="200" t="n"/>
    </row>
    <row r="350" ht="15" customHeight="1" s="122">
      <c r="A350" s="197">
        <f>IF(A349="","","")</f>
        <v/>
      </c>
      <c r="B350" s="197">
        <f>IF(A350="","",IFERROR(xlookup(A350,'MONTHLY ANALYSIS'!$A:$A,'MONTHLY ANALYSIS'!$L:$L),0))</f>
        <v/>
      </c>
      <c r="C350" s="204">
        <f>IF(A350="","",IFERROR(xlookup(A350,'MONTHLY ANALYSIS'!$A:$A,'MONTHLY ANALYSIS'!$L:$L),0))</f>
        <v/>
      </c>
      <c r="D350" s="205">
        <f>IF(A350="","",IFERROR(xlookup(A350,'MONTHLY ANALYSIS'!$A:$A,'MONTHLY ANALYSIS'!$M:$M),0))</f>
        <v/>
      </c>
      <c r="E350" s="190">
        <f>IF(A350="","",IF(D350&gt;0,"⚑ PAST MIDNIGHT","⚠ PAST 10PM ONLY"))</f>
        <v/>
      </c>
      <c r="F350" s="170">
        <f>IF(A350="","",IFERROR(xlookup(A350,'FLEET REGISTER'!$B:$B,'FLEET REGISTER'!$F:$F),"Unknown"))</f>
        <v/>
      </c>
      <c r="G350" s="200" t="n"/>
      <c r="H350" s="200" t="n"/>
      <c r="I350" s="200" t="n"/>
      <c r="J350" s="200" t="n"/>
      <c r="K350" s="200" t="n"/>
      <c r="L350" s="200" t="n"/>
    </row>
    <row r="351" ht="15" customHeight="1" s="122">
      <c r="A351" s="197">
        <f>IF(A350="","","")</f>
        <v/>
      </c>
      <c r="B351" s="197">
        <f>IF(A351="","",IFERROR(xlookup(A351,'MONTHLY ANALYSIS'!$A:$A,'MONTHLY ANALYSIS'!$L:$L),0))</f>
        <v/>
      </c>
      <c r="C351" s="204">
        <f>IF(A351="","",IFERROR(xlookup(A351,'MONTHLY ANALYSIS'!$A:$A,'MONTHLY ANALYSIS'!$L:$L),0))</f>
        <v/>
      </c>
      <c r="D351" s="205">
        <f>IF(A351="","",IFERROR(xlookup(A351,'MONTHLY ANALYSIS'!$A:$A,'MONTHLY ANALYSIS'!$M:$M),0))</f>
        <v/>
      </c>
      <c r="E351" s="190">
        <f>IF(A351="","",IF(D351&gt;0,"⚑ PAST MIDNIGHT","⚠ PAST 10PM ONLY"))</f>
        <v/>
      </c>
      <c r="F351" s="170">
        <f>IF(A351="","",IFERROR(xlookup(A351,'FLEET REGISTER'!$B:$B,'FLEET REGISTER'!$F:$F),"Unknown"))</f>
        <v/>
      </c>
      <c r="G351" s="200" t="n"/>
      <c r="H351" s="200" t="n"/>
      <c r="I351" s="200" t="n"/>
      <c r="J351" s="200" t="n"/>
      <c r="K351" s="200" t="n"/>
      <c r="L351" s="200" t="n"/>
    </row>
    <row r="352" ht="15" customHeight="1" s="122">
      <c r="A352" s="197">
        <f>IF(A351="","","")</f>
        <v/>
      </c>
      <c r="B352" s="197">
        <f>IF(A352="","",IFERROR(xlookup(A352,'MONTHLY ANALYSIS'!$A:$A,'MONTHLY ANALYSIS'!$L:$L),0))</f>
        <v/>
      </c>
      <c r="C352" s="204">
        <f>IF(A352="","",IFERROR(xlookup(A352,'MONTHLY ANALYSIS'!$A:$A,'MONTHLY ANALYSIS'!$L:$L),0))</f>
        <v/>
      </c>
      <c r="D352" s="205">
        <f>IF(A352="","",IFERROR(xlookup(A352,'MONTHLY ANALYSIS'!$A:$A,'MONTHLY ANALYSIS'!$M:$M),0))</f>
        <v/>
      </c>
      <c r="E352" s="190">
        <f>IF(A352="","",IF(D352&gt;0,"⚑ PAST MIDNIGHT","⚠ PAST 10PM ONLY"))</f>
        <v/>
      </c>
      <c r="F352" s="170">
        <f>IF(A352="","",IFERROR(xlookup(A352,'FLEET REGISTER'!$B:$B,'FLEET REGISTER'!$F:$F),"Unknown"))</f>
        <v/>
      </c>
      <c r="G352" s="200" t="n"/>
      <c r="H352" s="200" t="n"/>
      <c r="I352" s="200" t="n"/>
      <c r="J352" s="200" t="n"/>
      <c r="K352" s="200" t="n"/>
      <c r="L352" s="200" t="n"/>
    </row>
    <row r="353" ht="15" customHeight="1" s="122">
      <c r="A353" s="197">
        <f>IF(A352="","","")</f>
        <v/>
      </c>
      <c r="B353" s="197">
        <f>IF(A353="","",IFERROR(xlookup(A353,'MONTHLY ANALYSIS'!$A:$A,'MONTHLY ANALYSIS'!$L:$L),0))</f>
        <v/>
      </c>
      <c r="C353" s="204">
        <f>IF(A353="","",IFERROR(xlookup(A353,'MONTHLY ANALYSIS'!$A:$A,'MONTHLY ANALYSIS'!$L:$L),0))</f>
        <v/>
      </c>
      <c r="D353" s="205">
        <f>IF(A353="","",IFERROR(xlookup(A353,'MONTHLY ANALYSIS'!$A:$A,'MONTHLY ANALYSIS'!$M:$M),0))</f>
        <v/>
      </c>
      <c r="E353" s="190">
        <f>IF(A353="","",IF(D353&gt;0,"⚑ PAST MIDNIGHT","⚠ PAST 10PM ONLY"))</f>
        <v/>
      </c>
      <c r="F353" s="170">
        <f>IF(A353="","",IFERROR(xlookup(A353,'FLEET REGISTER'!$B:$B,'FLEET REGISTER'!$F:$F),"Unknown"))</f>
        <v/>
      </c>
      <c r="G353" s="200" t="n"/>
      <c r="H353" s="200" t="n"/>
      <c r="I353" s="200" t="n"/>
      <c r="J353" s="200" t="n"/>
      <c r="K353" s="200" t="n"/>
      <c r="L353" s="200" t="n"/>
    </row>
    <row r="354" ht="15" customHeight="1" s="122">
      <c r="A354" s="197">
        <f>IF(A353="","","")</f>
        <v/>
      </c>
      <c r="B354" s="197">
        <f>IF(A354="","",IFERROR(xlookup(A354,'MONTHLY ANALYSIS'!$A:$A,'MONTHLY ANALYSIS'!$L:$L),0))</f>
        <v/>
      </c>
      <c r="C354" s="204">
        <f>IF(A354="","",IFERROR(xlookup(A354,'MONTHLY ANALYSIS'!$A:$A,'MONTHLY ANALYSIS'!$L:$L),0))</f>
        <v/>
      </c>
      <c r="D354" s="205">
        <f>IF(A354="","",IFERROR(xlookup(A354,'MONTHLY ANALYSIS'!$A:$A,'MONTHLY ANALYSIS'!$M:$M),0))</f>
        <v/>
      </c>
      <c r="E354" s="190">
        <f>IF(A354="","",IF(D354&gt;0,"⚑ PAST MIDNIGHT","⚠ PAST 10PM ONLY"))</f>
        <v/>
      </c>
      <c r="F354" s="170">
        <f>IF(A354="","",IFERROR(xlookup(A354,'FLEET REGISTER'!$B:$B,'FLEET REGISTER'!$F:$F),"Unknown"))</f>
        <v/>
      </c>
      <c r="G354" s="200" t="n"/>
      <c r="H354" s="200" t="n"/>
      <c r="I354" s="200" t="n"/>
      <c r="J354" s="200" t="n"/>
      <c r="K354" s="200" t="n"/>
      <c r="L354" s="200" t="n"/>
    </row>
    <row r="355" ht="15" customHeight="1" s="122">
      <c r="A355" s="197">
        <f>IF(A354="","","")</f>
        <v/>
      </c>
      <c r="B355" s="197">
        <f>IF(A355="","",IFERROR(xlookup(A355,'MONTHLY ANALYSIS'!$A:$A,'MONTHLY ANALYSIS'!$L:$L),0))</f>
        <v/>
      </c>
      <c r="C355" s="204">
        <f>IF(A355="","",IFERROR(xlookup(A355,'MONTHLY ANALYSIS'!$A:$A,'MONTHLY ANALYSIS'!$L:$L),0))</f>
        <v/>
      </c>
      <c r="D355" s="205">
        <f>IF(A355="","",IFERROR(xlookup(A355,'MONTHLY ANALYSIS'!$A:$A,'MONTHLY ANALYSIS'!$M:$M),0))</f>
        <v/>
      </c>
      <c r="E355" s="190">
        <f>IF(A355="","",IF(D355&gt;0,"⚑ PAST MIDNIGHT","⚠ PAST 10PM ONLY"))</f>
        <v/>
      </c>
      <c r="F355" s="170">
        <f>IF(A355="","",IFERROR(xlookup(A355,'FLEET REGISTER'!$B:$B,'FLEET REGISTER'!$F:$F),"Unknown"))</f>
        <v/>
      </c>
      <c r="G355" s="200" t="n"/>
      <c r="H355" s="200" t="n"/>
      <c r="I355" s="200" t="n"/>
      <c r="J355" s="200" t="n"/>
      <c r="K355" s="200" t="n"/>
      <c r="L355" s="200" t="n"/>
    </row>
    <row r="356" ht="15" customHeight="1" s="122">
      <c r="A356" s="197">
        <f>IF(A355="","","")</f>
        <v/>
      </c>
      <c r="B356" s="197">
        <f>IF(A356="","",IFERROR(xlookup(A356,'MONTHLY ANALYSIS'!$A:$A,'MONTHLY ANALYSIS'!$L:$L),0))</f>
        <v/>
      </c>
      <c r="C356" s="204">
        <f>IF(A356="","",IFERROR(xlookup(A356,'MONTHLY ANALYSIS'!$A:$A,'MONTHLY ANALYSIS'!$L:$L),0))</f>
        <v/>
      </c>
      <c r="D356" s="205">
        <f>IF(A356="","",IFERROR(xlookup(A356,'MONTHLY ANALYSIS'!$A:$A,'MONTHLY ANALYSIS'!$M:$M),0))</f>
        <v/>
      </c>
      <c r="E356" s="190">
        <f>IF(A356="","",IF(D356&gt;0,"⚑ PAST MIDNIGHT","⚠ PAST 10PM ONLY"))</f>
        <v/>
      </c>
      <c r="F356" s="170">
        <f>IF(A356="","",IFERROR(xlookup(A356,'FLEET REGISTER'!$B:$B,'FLEET REGISTER'!$F:$F),"Unknown"))</f>
        <v/>
      </c>
      <c r="G356" s="200" t="n"/>
      <c r="H356" s="200" t="n"/>
      <c r="I356" s="200" t="n"/>
      <c r="J356" s="200" t="n"/>
      <c r="K356" s="200" t="n"/>
      <c r="L356" s="200" t="n"/>
    </row>
    <row r="357" ht="15" customHeight="1" s="122">
      <c r="A357" s="197">
        <f>IF(A356="","","")</f>
        <v/>
      </c>
      <c r="B357" s="197">
        <f>IF(A357="","",IFERROR(xlookup(A357,'MONTHLY ANALYSIS'!$A:$A,'MONTHLY ANALYSIS'!$L:$L),0))</f>
        <v/>
      </c>
      <c r="C357" s="204">
        <f>IF(A357="","",IFERROR(xlookup(A357,'MONTHLY ANALYSIS'!$A:$A,'MONTHLY ANALYSIS'!$L:$L),0))</f>
        <v/>
      </c>
      <c r="D357" s="205">
        <f>IF(A357="","",IFERROR(xlookup(A357,'MONTHLY ANALYSIS'!$A:$A,'MONTHLY ANALYSIS'!$M:$M),0))</f>
        <v/>
      </c>
      <c r="E357" s="190">
        <f>IF(A357="","",IF(D357&gt;0,"⚑ PAST MIDNIGHT","⚠ PAST 10PM ONLY"))</f>
        <v/>
      </c>
      <c r="F357" s="170">
        <f>IF(A357="","",IFERROR(xlookup(A357,'FLEET REGISTER'!$B:$B,'FLEET REGISTER'!$F:$F),"Unknown"))</f>
        <v/>
      </c>
      <c r="G357" s="200" t="n"/>
      <c r="H357" s="200" t="n"/>
      <c r="I357" s="200" t="n"/>
      <c r="J357" s="200" t="n"/>
      <c r="K357" s="200" t="n"/>
      <c r="L357" s="200" t="n"/>
    </row>
    <row r="358" ht="15" customHeight="1" s="122">
      <c r="A358" s="197">
        <f>IF(A357="","","")</f>
        <v/>
      </c>
      <c r="B358" s="197">
        <f>IF(A358="","",IFERROR(xlookup(A358,'MONTHLY ANALYSIS'!$A:$A,'MONTHLY ANALYSIS'!$L:$L),0))</f>
        <v/>
      </c>
      <c r="C358" s="204">
        <f>IF(A358="","",IFERROR(xlookup(A358,'MONTHLY ANALYSIS'!$A:$A,'MONTHLY ANALYSIS'!$L:$L),0))</f>
        <v/>
      </c>
      <c r="D358" s="205">
        <f>IF(A358="","",IFERROR(xlookup(A358,'MONTHLY ANALYSIS'!$A:$A,'MONTHLY ANALYSIS'!$M:$M),0))</f>
        <v/>
      </c>
      <c r="E358" s="190">
        <f>IF(A358="","",IF(D358&gt;0,"⚑ PAST MIDNIGHT","⚠ PAST 10PM ONLY"))</f>
        <v/>
      </c>
      <c r="F358" s="170">
        <f>IF(A358="","",IFERROR(xlookup(A358,'FLEET REGISTER'!$B:$B,'FLEET REGISTER'!$F:$F),"Unknown"))</f>
        <v/>
      </c>
      <c r="G358" s="200" t="n"/>
      <c r="H358" s="200" t="n"/>
      <c r="I358" s="200" t="n"/>
      <c r="J358" s="200" t="n"/>
      <c r="K358" s="200" t="n"/>
      <c r="L358" s="200" t="n"/>
    </row>
    <row r="359" ht="15" customHeight="1" s="122">
      <c r="A359" s="197">
        <f>IF(A358="","","")</f>
        <v/>
      </c>
      <c r="B359" s="197">
        <f>IF(A359="","",IFERROR(xlookup(A359,'MONTHLY ANALYSIS'!$A:$A,'MONTHLY ANALYSIS'!$L:$L),0))</f>
        <v/>
      </c>
      <c r="C359" s="204">
        <f>IF(A359="","",IFERROR(xlookup(A359,'MONTHLY ANALYSIS'!$A:$A,'MONTHLY ANALYSIS'!$L:$L),0))</f>
        <v/>
      </c>
      <c r="D359" s="205">
        <f>IF(A359="","",IFERROR(xlookup(A359,'MONTHLY ANALYSIS'!$A:$A,'MONTHLY ANALYSIS'!$M:$M),0))</f>
        <v/>
      </c>
      <c r="E359" s="190">
        <f>IF(A359="","",IF(D359&gt;0,"⚑ PAST MIDNIGHT","⚠ PAST 10PM ONLY"))</f>
        <v/>
      </c>
      <c r="F359" s="170">
        <f>IF(A359="","",IFERROR(xlookup(A359,'FLEET REGISTER'!$B:$B,'FLEET REGISTER'!$F:$F),"Unknown"))</f>
        <v/>
      </c>
      <c r="G359" s="200" t="n"/>
      <c r="H359" s="200" t="n"/>
      <c r="I359" s="200" t="n"/>
      <c r="J359" s="200" t="n"/>
      <c r="K359" s="200" t="n"/>
      <c r="L359" s="200" t="n"/>
    </row>
    <row r="360" ht="15" customHeight="1" s="122">
      <c r="A360" s="197">
        <f>IF(A359="","","")</f>
        <v/>
      </c>
      <c r="B360" s="197">
        <f>IF(A360="","",IFERROR(xlookup(A360,'MONTHLY ANALYSIS'!$A:$A,'MONTHLY ANALYSIS'!$L:$L),0))</f>
        <v/>
      </c>
      <c r="C360" s="204">
        <f>IF(A360="","",IFERROR(xlookup(A360,'MONTHLY ANALYSIS'!$A:$A,'MONTHLY ANALYSIS'!$L:$L),0))</f>
        <v/>
      </c>
      <c r="D360" s="205">
        <f>IF(A360="","",IFERROR(xlookup(A360,'MONTHLY ANALYSIS'!$A:$A,'MONTHLY ANALYSIS'!$M:$M),0))</f>
        <v/>
      </c>
      <c r="E360" s="190">
        <f>IF(A360="","",IF(D360&gt;0,"⚑ PAST MIDNIGHT","⚠ PAST 10PM ONLY"))</f>
        <v/>
      </c>
      <c r="F360" s="170">
        <f>IF(A360="","",IFERROR(xlookup(A360,'FLEET REGISTER'!$B:$B,'FLEET REGISTER'!$F:$F),"Unknown"))</f>
        <v/>
      </c>
      <c r="G360" s="200" t="n"/>
      <c r="H360" s="200" t="n"/>
      <c r="I360" s="200" t="n"/>
      <c r="J360" s="200" t="n"/>
      <c r="K360" s="200" t="n"/>
      <c r="L360" s="200" t="n"/>
    </row>
    <row r="361" ht="15" customHeight="1" s="122">
      <c r="A361" s="197">
        <f>IF(A360="","","")</f>
        <v/>
      </c>
      <c r="B361" s="197">
        <f>IF(A361="","",IFERROR(xlookup(A361,'MONTHLY ANALYSIS'!$A:$A,'MONTHLY ANALYSIS'!$L:$L),0))</f>
        <v/>
      </c>
      <c r="C361" s="204">
        <f>IF(A361="","",IFERROR(xlookup(A361,'MONTHLY ANALYSIS'!$A:$A,'MONTHLY ANALYSIS'!$L:$L),0))</f>
        <v/>
      </c>
      <c r="D361" s="205">
        <f>IF(A361="","",IFERROR(xlookup(A361,'MONTHLY ANALYSIS'!$A:$A,'MONTHLY ANALYSIS'!$M:$M),0))</f>
        <v/>
      </c>
      <c r="E361" s="190">
        <f>IF(A361="","",IF(D361&gt;0,"⚑ PAST MIDNIGHT","⚠ PAST 10PM ONLY"))</f>
        <v/>
      </c>
      <c r="F361" s="170">
        <f>IF(A361="","",IFERROR(xlookup(A361,'FLEET REGISTER'!$B:$B,'FLEET REGISTER'!$F:$F),"Unknown"))</f>
        <v/>
      </c>
      <c r="G361" s="200" t="n"/>
      <c r="H361" s="200" t="n"/>
      <c r="I361" s="200" t="n"/>
      <c r="J361" s="200" t="n"/>
      <c r="K361" s="200" t="n"/>
      <c r="L361" s="200" t="n"/>
    </row>
    <row r="362" ht="15" customHeight="1" s="122">
      <c r="A362" s="197">
        <f>IF(A361="","","")</f>
        <v/>
      </c>
      <c r="B362" s="197">
        <f>IF(A362="","",IFERROR(xlookup(A362,'MONTHLY ANALYSIS'!$A:$A,'MONTHLY ANALYSIS'!$L:$L),0))</f>
        <v/>
      </c>
      <c r="C362" s="204">
        <f>IF(A362="","",IFERROR(xlookup(A362,'MONTHLY ANALYSIS'!$A:$A,'MONTHLY ANALYSIS'!$L:$L),0))</f>
        <v/>
      </c>
      <c r="D362" s="205">
        <f>IF(A362="","",IFERROR(xlookup(A362,'MONTHLY ANALYSIS'!$A:$A,'MONTHLY ANALYSIS'!$M:$M),0))</f>
        <v/>
      </c>
      <c r="E362" s="190">
        <f>IF(A362="","",IF(D362&gt;0,"⚑ PAST MIDNIGHT","⚠ PAST 10PM ONLY"))</f>
        <v/>
      </c>
      <c r="F362" s="170">
        <f>IF(A362="","",IFERROR(xlookup(A362,'FLEET REGISTER'!$B:$B,'FLEET REGISTER'!$F:$F),"Unknown"))</f>
        <v/>
      </c>
      <c r="G362" s="200" t="n"/>
      <c r="H362" s="200" t="n"/>
      <c r="I362" s="200" t="n"/>
      <c r="J362" s="200" t="n"/>
      <c r="K362" s="200" t="n"/>
      <c r="L362" s="200" t="n"/>
    </row>
    <row r="363" ht="15" customHeight="1" s="122">
      <c r="A363" s="197">
        <f>IF(A362="","","")</f>
        <v/>
      </c>
      <c r="B363" s="197">
        <f>IF(A363="","",IFERROR(xlookup(A363,'MONTHLY ANALYSIS'!$A:$A,'MONTHLY ANALYSIS'!$L:$L),0))</f>
        <v/>
      </c>
      <c r="C363" s="204">
        <f>IF(A363="","",IFERROR(xlookup(A363,'MONTHLY ANALYSIS'!$A:$A,'MONTHLY ANALYSIS'!$L:$L),0))</f>
        <v/>
      </c>
      <c r="D363" s="205">
        <f>IF(A363="","",IFERROR(xlookup(A363,'MONTHLY ANALYSIS'!$A:$A,'MONTHLY ANALYSIS'!$M:$M),0))</f>
        <v/>
      </c>
      <c r="E363" s="190">
        <f>IF(A363="","",IF(D363&gt;0,"⚑ PAST MIDNIGHT","⚠ PAST 10PM ONLY"))</f>
        <v/>
      </c>
      <c r="F363" s="170">
        <f>IF(A363="","",IFERROR(xlookup(A363,'FLEET REGISTER'!$B:$B,'FLEET REGISTER'!$F:$F),"Unknown"))</f>
        <v/>
      </c>
      <c r="G363" s="200" t="n"/>
      <c r="H363" s="200" t="n"/>
      <c r="I363" s="200" t="n"/>
      <c r="J363" s="200" t="n"/>
      <c r="K363" s="200" t="n"/>
      <c r="L363" s="200" t="n"/>
    </row>
    <row r="364" ht="15" customHeight="1" s="122">
      <c r="A364" s="197">
        <f>IF(A363="","","")</f>
        <v/>
      </c>
      <c r="B364" s="197">
        <f>IF(A364="","",IFERROR(xlookup(A364,'MONTHLY ANALYSIS'!$A:$A,'MONTHLY ANALYSIS'!$L:$L),0))</f>
        <v/>
      </c>
      <c r="C364" s="204">
        <f>IF(A364="","",IFERROR(xlookup(A364,'MONTHLY ANALYSIS'!$A:$A,'MONTHLY ANALYSIS'!$L:$L),0))</f>
        <v/>
      </c>
      <c r="D364" s="205">
        <f>IF(A364="","",IFERROR(xlookup(A364,'MONTHLY ANALYSIS'!$A:$A,'MONTHLY ANALYSIS'!$M:$M),0))</f>
        <v/>
      </c>
      <c r="E364" s="190">
        <f>IF(A364="","",IF(D364&gt;0,"⚑ PAST MIDNIGHT","⚠ PAST 10PM ONLY"))</f>
        <v/>
      </c>
      <c r="F364" s="170">
        <f>IF(A364="","",IFERROR(xlookup(A364,'FLEET REGISTER'!$B:$B,'FLEET REGISTER'!$F:$F),"Unknown"))</f>
        <v/>
      </c>
      <c r="G364" s="200" t="n"/>
      <c r="H364" s="200" t="n"/>
      <c r="I364" s="200" t="n"/>
      <c r="J364" s="200" t="n"/>
      <c r="K364" s="200" t="n"/>
      <c r="L364" s="200" t="n"/>
    </row>
    <row r="365" ht="15" customHeight="1" s="122">
      <c r="A365" s="197">
        <f>IF(A364="","","")</f>
        <v/>
      </c>
      <c r="B365" s="197">
        <f>IF(A365="","",IFERROR(xlookup(A365,'MONTHLY ANALYSIS'!$A:$A,'MONTHLY ANALYSIS'!$L:$L),0))</f>
        <v/>
      </c>
      <c r="C365" s="204">
        <f>IF(A365="","",IFERROR(xlookup(A365,'MONTHLY ANALYSIS'!$A:$A,'MONTHLY ANALYSIS'!$L:$L),0))</f>
        <v/>
      </c>
      <c r="D365" s="205">
        <f>IF(A365="","",IFERROR(xlookup(A365,'MONTHLY ANALYSIS'!$A:$A,'MONTHLY ANALYSIS'!$M:$M),0))</f>
        <v/>
      </c>
      <c r="E365" s="190">
        <f>IF(A365="","",IF(D365&gt;0,"⚑ PAST MIDNIGHT","⚠ PAST 10PM ONLY"))</f>
        <v/>
      </c>
      <c r="F365" s="170">
        <f>IF(A365="","",IFERROR(xlookup(A365,'FLEET REGISTER'!$B:$B,'FLEET REGISTER'!$F:$F),"Unknown"))</f>
        <v/>
      </c>
      <c r="G365" s="200" t="n"/>
      <c r="H365" s="200" t="n"/>
      <c r="I365" s="200" t="n"/>
      <c r="J365" s="200" t="n"/>
      <c r="K365" s="200" t="n"/>
      <c r="L365" s="200" t="n"/>
    </row>
    <row r="366" ht="15" customHeight="1" s="122">
      <c r="A366" s="197">
        <f>IF(A365="","","")</f>
        <v/>
      </c>
      <c r="B366" s="197">
        <f>IF(A366="","",IFERROR(xlookup(A366,'MONTHLY ANALYSIS'!$A:$A,'MONTHLY ANALYSIS'!$L:$L),0))</f>
        <v/>
      </c>
      <c r="C366" s="204">
        <f>IF(A366="","",IFERROR(xlookup(A366,'MONTHLY ANALYSIS'!$A:$A,'MONTHLY ANALYSIS'!$L:$L),0))</f>
        <v/>
      </c>
      <c r="D366" s="205">
        <f>IF(A366="","",IFERROR(xlookup(A366,'MONTHLY ANALYSIS'!$A:$A,'MONTHLY ANALYSIS'!$M:$M),0))</f>
        <v/>
      </c>
      <c r="E366" s="190">
        <f>IF(A366="","",IF(D366&gt;0,"⚑ PAST MIDNIGHT","⚠ PAST 10PM ONLY"))</f>
        <v/>
      </c>
      <c r="F366" s="170">
        <f>IF(A366="","",IFERROR(xlookup(A366,'FLEET REGISTER'!$B:$B,'FLEET REGISTER'!$F:$F),"Unknown"))</f>
        <v/>
      </c>
      <c r="G366" s="200" t="n"/>
      <c r="H366" s="200" t="n"/>
      <c r="I366" s="200" t="n"/>
      <c r="J366" s="200" t="n"/>
      <c r="K366" s="200" t="n"/>
      <c r="L366" s="200" t="n"/>
    </row>
    <row r="367" ht="15" customHeight="1" s="122">
      <c r="A367" s="197">
        <f>IF(A366="","","")</f>
        <v/>
      </c>
      <c r="B367" s="197">
        <f>IF(A367="","",IFERROR(xlookup(A367,'MONTHLY ANALYSIS'!$A:$A,'MONTHLY ANALYSIS'!$L:$L),0))</f>
        <v/>
      </c>
      <c r="C367" s="204">
        <f>IF(A367="","",IFERROR(xlookup(A367,'MONTHLY ANALYSIS'!$A:$A,'MONTHLY ANALYSIS'!$L:$L),0))</f>
        <v/>
      </c>
      <c r="D367" s="205">
        <f>IF(A367="","",IFERROR(xlookup(A367,'MONTHLY ANALYSIS'!$A:$A,'MONTHLY ANALYSIS'!$M:$M),0))</f>
        <v/>
      </c>
      <c r="E367" s="190">
        <f>IF(A367="","",IF(D367&gt;0,"⚑ PAST MIDNIGHT","⚠ PAST 10PM ONLY"))</f>
        <v/>
      </c>
      <c r="F367" s="170">
        <f>IF(A367="","",IFERROR(xlookup(A367,'FLEET REGISTER'!$B:$B,'FLEET REGISTER'!$F:$F),"Unknown"))</f>
        <v/>
      </c>
      <c r="G367" s="200" t="n"/>
      <c r="H367" s="200" t="n"/>
      <c r="I367" s="200" t="n"/>
      <c r="J367" s="200" t="n"/>
      <c r="K367" s="200" t="n"/>
      <c r="L367" s="200" t="n"/>
    </row>
    <row r="368" ht="15" customHeight="1" s="122">
      <c r="A368" s="197">
        <f>IF(A367="","","")</f>
        <v/>
      </c>
      <c r="B368" s="197">
        <f>IF(A368="","",IFERROR(xlookup(A368,'MONTHLY ANALYSIS'!$A:$A,'MONTHLY ANALYSIS'!$L:$L),0))</f>
        <v/>
      </c>
      <c r="C368" s="204">
        <f>IF(A368="","",IFERROR(xlookup(A368,'MONTHLY ANALYSIS'!$A:$A,'MONTHLY ANALYSIS'!$L:$L),0))</f>
        <v/>
      </c>
      <c r="D368" s="205">
        <f>IF(A368="","",IFERROR(xlookup(A368,'MONTHLY ANALYSIS'!$A:$A,'MONTHLY ANALYSIS'!$M:$M),0))</f>
        <v/>
      </c>
      <c r="E368" s="190">
        <f>IF(A368="","",IF(D368&gt;0,"⚑ PAST MIDNIGHT","⚠ PAST 10PM ONLY"))</f>
        <v/>
      </c>
      <c r="F368" s="170">
        <f>IF(A368="","",IFERROR(xlookup(A368,'FLEET REGISTER'!$B:$B,'FLEET REGISTER'!$F:$F),"Unknown"))</f>
        <v/>
      </c>
      <c r="G368" s="200" t="n"/>
      <c r="H368" s="200" t="n"/>
      <c r="I368" s="200" t="n"/>
      <c r="J368" s="200" t="n"/>
      <c r="K368" s="200" t="n"/>
      <c r="L368" s="200" t="n"/>
    </row>
    <row r="369" ht="15" customHeight="1" s="122">
      <c r="A369" s="197">
        <f>IF(A368="","","")</f>
        <v/>
      </c>
      <c r="B369" s="197">
        <f>IF(A369="","",IFERROR(xlookup(A369,'MONTHLY ANALYSIS'!$A:$A,'MONTHLY ANALYSIS'!$L:$L),0))</f>
        <v/>
      </c>
      <c r="C369" s="204">
        <f>IF(A369="","",IFERROR(xlookup(A369,'MONTHLY ANALYSIS'!$A:$A,'MONTHLY ANALYSIS'!$L:$L),0))</f>
        <v/>
      </c>
      <c r="D369" s="205">
        <f>IF(A369="","",IFERROR(xlookup(A369,'MONTHLY ANALYSIS'!$A:$A,'MONTHLY ANALYSIS'!$M:$M),0))</f>
        <v/>
      </c>
      <c r="E369" s="190">
        <f>IF(A369="","",IF(D369&gt;0,"⚑ PAST MIDNIGHT","⚠ PAST 10PM ONLY"))</f>
        <v/>
      </c>
      <c r="F369" s="170">
        <f>IF(A369="","",IFERROR(xlookup(A369,'FLEET REGISTER'!$B:$B,'FLEET REGISTER'!$F:$F),"Unknown"))</f>
        <v/>
      </c>
      <c r="G369" s="200" t="n"/>
      <c r="H369" s="200" t="n"/>
      <c r="I369" s="200" t="n"/>
      <c r="J369" s="200" t="n"/>
      <c r="K369" s="200" t="n"/>
      <c r="L369" s="200" t="n"/>
    </row>
    <row r="370" ht="15" customHeight="1" s="122">
      <c r="A370" s="197">
        <f>IF(A369="","","")</f>
        <v/>
      </c>
      <c r="B370" s="197">
        <f>IF(A370="","",IFERROR(xlookup(A370,'MONTHLY ANALYSIS'!$A:$A,'MONTHLY ANALYSIS'!$L:$L),0))</f>
        <v/>
      </c>
      <c r="C370" s="204">
        <f>IF(A370="","",IFERROR(xlookup(A370,'MONTHLY ANALYSIS'!$A:$A,'MONTHLY ANALYSIS'!$L:$L),0))</f>
        <v/>
      </c>
      <c r="D370" s="205">
        <f>IF(A370="","",IFERROR(xlookup(A370,'MONTHLY ANALYSIS'!$A:$A,'MONTHLY ANALYSIS'!$M:$M),0))</f>
        <v/>
      </c>
      <c r="E370" s="190">
        <f>IF(A370="","",IF(D370&gt;0,"⚑ PAST MIDNIGHT","⚠ PAST 10PM ONLY"))</f>
        <v/>
      </c>
      <c r="F370" s="170">
        <f>IF(A370="","",IFERROR(xlookup(A370,'FLEET REGISTER'!$B:$B,'FLEET REGISTER'!$F:$F),"Unknown"))</f>
        <v/>
      </c>
      <c r="G370" s="200" t="n"/>
      <c r="H370" s="200" t="n"/>
      <c r="I370" s="200" t="n"/>
      <c r="J370" s="200" t="n"/>
      <c r="K370" s="200" t="n"/>
      <c r="L370" s="200" t="n"/>
    </row>
    <row r="371" ht="15" customHeight="1" s="122">
      <c r="A371" s="197">
        <f>IF(A370="","","")</f>
        <v/>
      </c>
      <c r="B371" s="197">
        <f>IF(A371="","",IFERROR(xlookup(A371,'MONTHLY ANALYSIS'!$A:$A,'MONTHLY ANALYSIS'!$L:$L),0))</f>
        <v/>
      </c>
      <c r="C371" s="204">
        <f>IF(A371="","",IFERROR(xlookup(A371,'MONTHLY ANALYSIS'!$A:$A,'MONTHLY ANALYSIS'!$L:$L),0))</f>
        <v/>
      </c>
      <c r="D371" s="205">
        <f>IF(A371="","",IFERROR(xlookup(A371,'MONTHLY ANALYSIS'!$A:$A,'MONTHLY ANALYSIS'!$M:$M),0))</f>
        <v/>
      </c>
      <c r="E371" s="190">
        <f>IF(A371="","",IF(D371&gt;0,"⚑ PAST MIDNIGHT","⚠ PAST 10PM ONLY"))</f>
        <v/>
      </c>
      <c r="F371" s="170">
        <f>IF(A371="","",IFERROR(xlookup(A371,'FLEET REGISTER'!$B:$B,'FLEET REGISTER'!$F:$F),"Unknown"))</f>
        <v/>
      </c>
      <c r="G371" s="200" t="n"/>
      <c r="H371" s="200" t="n"/>
      <c r="I371" s="200" t="n"/>
      <c r="J371" s="200" t="n"/>
      <c r="K371" s="200" t="n"/>
      <c r="L371" s="200" t="n"/>
    </row>
    <row r="372" ht="15" customHeight="1" s="122">
      <c r="A372" s="197">
        <f>IF(A371="","","")</f>
        <v/>
      </c>
      <c r="B372" s="197">
        <f>IF(A372="","",IFERROR(xlookup(A372,'MONTHLY ANALYSIS'!$A:$A,'MONTHLY ANALYSIS'!$L:$L),0))</f>
        <v/>
      </c>
      <c r="C372" s="204">
        <f>IF(A372="","",IFERROR(xlookup(A372,'MONTHLY ANALYSIS'!$A:$A,'MONTHLY ANALYSIS'!$L:$L),0))</f>
        <v/>
      </c>
      <c r="D372" s="205">
        <f>IF(A372="","",IFERROR(xlookup(A372,'MONTHLY ANALYSIS'!$A:$A,'MONTHLY ANALYSIS'!$M:$M),0))</f>
        <v/>
      </c>
      <c r="E372" s="190">
        <f>IF(A372="","",IF(D372&gt;0,"⚑ PAST MIDNIGHT","⚠ PAST 10PM ONLY"))</f>
        <v/>
      </c>
      <c r="F372" s="170">
        <f>IF(A372="","",IFERROR(xlookup(A372,'FLEET REGISTER'!$B:$B,'FLEET REGISTER'!$F:$F),"Unknown"))</f>
        <v/>
      </c>
      <c r="G372" s="200" t="n"/>
      <c r="H372" s="200" t="n"/>
      <c r="I372" s="200" t="n"/>
      <c r="J372" s="200" t="n"/>
      <c r="K372" s="200" t="n"/>
      <c r="L372" s="200" t="n"/>
    </row>
    <row r="373" ht="15" customHeight="1" s="122">
      <c r="A373" s="197">
        <f>IF(A372="","","")</f>
        <v/>
      </c>
      <c r="B373" s="197">
        <f>IF(A373="","",IFERROR(xlookup(A373,'MONTHLY ANALYSIS'!$A:$A,'MONTHLY ANALYSIS'!$L:$L),0))</f>
        <v/>
      </c>
      <c r="C373" s="204">
        <f>IF(A373="","",IFERROR(xlookup(A373,'MONTHLY ANALYSIS'!$A:$A,'MONTHLY ANALYSIS'!$L:$L),0))</f>
        <v/>
      </c>
      <c r="D373" s="205">
        <f>IF(A373="","",IFERROR(xlookup(A373,'MONTHLY ANALYSIS'!$A:$A,'MONTHLY ANALYSIS'!$M:$M),0))</f>
        <v/>
      </c>
      <c r="E373" s="190">
        <f>IF(A373="","",IF(D373&gt;0,"⚑ PAST MIDNIGHT","⚠ PAST 10PM ONLY"))</f>
        <v/>
      </c>
      <c r="F373" s="170">
        <f>IF(A373="","",IFERROR(xlookup(A373,'FLEET REGISTER'!$B:$B,'FLEET REGISTER'!$F:$F),"Unknown"))</f>
        <v/>
      </c>
      <c r="G373" s="200" t="n"/>
      <c r="H373" s="200" t="n"/>
      <c r="I373" s="200" t="n"/>
      <c r="J373" s="200" t="n"/>
      <c r="K373" s="200" t="n"/>
      <c r="L373" s="200" t="n"/>
    </row>
    <row r="374" ht="15" customHeight="1" s="122">
      <c r="A374" s="197">
        <f>IF(A373="","","")</f>
        <v/>
      </c>
      <c r="B374" s="197">
        <f>IF(A374="","",IFERROR(xlookup(A374,'MONTHLY ANALYSIS'!$A:$A,'MONTHLY ANALYSIS'!$L:$L),0))</f>
        <v/>
      </c>
      <c r="C374" s="204">
        <f>IF(A374="","",IFERROR(xlookup(A374,'MONTHLY ANALYSIS'!$A:$A,'MONTHLY ANALYSIS'!$L:$L),0))</f>
        <v/>
      </c>
      <c r="D374" s="205">
        <f>IF(A374="","",IFERROR(xlookup(A374,'MONTHLY ANALYSIS'!$A:$A,'MONTHLY ANALYSIS'!$M:$M),0))</f>
        <v/>
      </c>
      <c r="E374" s="190">
        <f>IF(A374="","",IF(D374&gt;0,"⚑ PAST MIDNIGHT","⚠ PAST 10PM ONLY"))</f>
        <v/>
      </c>
      <c r="F374" s="170">
        <f>IF(A374="","",IFERROR(xlookup(A374,'FLEET REGISTER'!$B:$B,'FLEET REGISTER'!$F:$F),"Unknown"))</f>
        <v/>
      </c>
      <c r="G374" s="200" t="n"/>
      <c r="H374" s="200" t="n"/>
      <c r="I374" s="200" t="n"/>
      <c r="J374" s="200" t="n"/>
      <c r="K374" s="200" t="n"/>
      <c r="L374" s="200" t="n"/>
    </row>
    <row r="375" ht="15" customHeight="1" s="122">
      <c r="A375" s="197">
        <f>IF(A374="","","")</f>
        <v/>
      </c>
      <c r="B375" s="197">
        <f>IF(A375="","",IFERROR(xlookup(A375,'MONTHLY ANALYSIS'!$A:$A,'MONTHLY ANALYSIS'!$L:$L),0))</f>
        <v/>
      </c>
      <c r="C375" s="204">
        <f>IF(A375="","",IFERROR(xlookup(A375,'MONTHLY ANALYSIS'!$A:$A,'MONTHLY ANALYSIS'!$L:$L),0))</f>
        <v/>
      </c>
      <c r="D375" s="205">
        <f>IF(A375="","",IFERROR(xlookup(A375,'MONTHLY ANALYSIS'!$A:$A,'MONTHLY ANALYSIS'!$M:$M),0))</f>
        <v/>
      </c>
      <c r="E375" s="190">
        <f>IF(A375="","",IF(D375&gt;0,"⚑ PAST MIDNIGHT","⚠ PAST 10PM ONLY"))</f>
        <v/>
      </c>
      <c r="F375" s="170">
        <f>IF(A375="","",IFERROR(xlookup(A375,'FLEET REGISTER'!$B:$B,'FLEET REGISTER'!$F:$F),"Unknown"))</f>
        <v/>
      </c>
      <c r="G375" s="200" t="n"/>
      <c r="H375" s="200" t="n"/>
      <c r="I375" s="200" t="n"/>
      <c r="J375" s="200" t="n"/>
      <c r="K375" s="200" t="n"/>
      <c r="L375" s="200" t="n"/>
    </row>
    <row r="376" ht="15" customHeight="1" s="122">
      <c r="A376" s="197">
        <f>IF(A375="","","")</f>
        <v/>
      </c>
      <c r="B376" s="197">
        <f>IF(A376="","",IFERROR(xlookup(A376,'MONTHLY ANALYSIS'!$A:$A,'MONTHLY ANALYSIS'!$L:$L),0))</f>
        <v/>
      </c>
      <c r="C376" s="204">
        <f>IF(A376="","",IFERROR(xlookup(A376,'MONTHLY ANALYSIS'!$A:$A,'MONTHLY ANALYSIS'!$L:$L),0))</f>
        <v/>
      </c>
      <c r="D376" s="205">
        <f>IF(A376="","",IFERROR(xlookup(A376,'MONTHLY ANALYSIS'!$A:$A,'MONTHLY ANALYSIS'!$M:$M),0))</f>
        <v/>
      </c>
      <c r="E376" s="190">
        <f>IF(A376="","",IF(D376&gt;0,"⚑ PAST MIDNIGHT","⚠ PAST 10PM ONLY"))</f>
        <v/>
      </c>
      <c r="F376" s="170">
        <f>IF(A376="","",IFERROR(xlookup(A376,'FLEET REGISTER'!$B:$B,'FLEET REGISTER'!$F:$F),"Unknown"))</f>
        <v/>
      </c>
      <c r="G376" s="200" t="n"/>
      <c r="H376" s="200" t="n"/>
      <c r="I376" s="200" t="n"/>
      <c r="J376" s="200" t="n"/>
      <c r="K376" s="200" t="n"/>
      <c r="L376" s="200" t="n"/>
    </row>
    <row r="377" ht="15" customHeight="1" s="122">
      <c r="A377" s="197">
        <f>IF(A376="","","")</f>
        <v/>
      </c>
      <c r="B377" s="197">
        <f>IF(A377="","",IFERROR(xlookup(A377,'MONTHLY ANALYSIS'!$A:$A,'MONTHLY ANALYSIS'!$L:$L),0))</f>
        <v/>
      </c>
      <c r="C377" s="204">
        <f>IF(A377="","",IFERROR(xlookup(A377,'MONTHLY ANALYSIS'!$A:$A,'MONTHLY ANALYSIS'!$L:$L),0))</f>
        <v/>
      </c>
      <c r="D377" s="205">
        <f>IF(A377="","",IFERROR(xlookup(A377,'MONTHLY ANALYSIS'!$A:$A,'MONTHLY ANALYSIS'!$M:$M),0))</f>
        <v/>
      </c>
      <c r="E377" s="190">
        <f>IF(A377="","",IF(D377&gt;0,"⚑ PAST MIDNIGHT","⚠ PAST 10PM ONLY"))</f>
        <v/>
      </c>
      <c r="F377" s="170">
        <f>IF(A377="","",IFERROR(xlookup(A377,'FLEET REGISTER'!$B:$B,'FLEET REGISTER'!$F:$F),"Unknown"))</f>
        <v/>
      </c>
      <c r="G377" s="200" t="n"/>
      <c r="H377" s="200" t="n"/>
      <c r="I377" s="200" t="n"/>
      <c r="J377" s="200" t="n"/>
      <c r="K377" s="200" t="n"/>
      <c r="L377" s="200" t="n"/>
    </row>
    <row r="378" ht="15" customHeight="1" s="122">
      <c r="A378" s="197">
        <f>IF(A377="","","")</f>
        <v/>
      </c>
      <c r="B378" s="197">
        <f>IF(A378="","",IFERROR(xlookup(A378,'MONTHLY ANALYSIS'!$A:$A,'MONTHLY ANALYSIS'!$L:$L),0))</f>
        <v/>
      </c>
      <c r="C378" s="204">
        <f>IF(A378="","",IFERROR(xlookup(A378,'MONTHLY ANALYSIS'!$A:$A,'MONTHLY ANALYSIS'!$L:$L),0))</f>
        <v/>
      </c>
      <c r="D378" s="205">
        <f>IF(A378="","",IFERROR(xlookup(A378,'MONTHLY ANALYSIS'!$A:$A,'MONTHLY ANALYSIS'!$M:$M),0))</f>
        <v/>
      </c>
      <c r="E378" s="190">
        <f>IF(A378="","",IF(D378&gt;0,"⚑ PAST MIDNIGHT","⚠ PAST 10PM ONLY"))</f>
        <v/>
      </c>
      <c r="F378" s="170">
        <f>IF(A378="","",IFERROR(xlookup(A378,'FLEET REGISTER'!$B:$B,'FLEET REGISTER'!$F:$F),"Unknown"))</f>
        <v/>
      </c>
      <c r="G378" s="200" t="n"/>
      <c r="H378" s="200" t="n"/>
      <c r="I378" s="200" t="n"/>
      <c r="J378" s="200" t="n"/>
      <c r="K378" s="200" t="n"/>
      <c r="L378" s="200" t="n"/>
    </row>
    <row r="379" ht="15" customHeight="1" s="122">
      <c r="A379" s="197">
        <f>IF(A378="","","")</f>
        <v/>
      </c>
      <c r="B379" s="197">
        <f>IF(A379="","",IFERROR(xlookup(A379,'MONTHLY ANALYSIS'!$A:$A,'MONTHLY ANALYSIS'!$L:$L),0))</f>
        <v/>
      </c>
      <c r="C379" s="204">
        <f>IF(A379="","",IFERROR(xlookup(A379,'MONTHLY ANALYSIS'!$A:$A,'MONTHLY ANALYSIS'!$L:$L),0))</f>
        <v/>
      </c>
      <c r="D379" s="205">
        <f>IF(A379="","",IFERROR(xlookup(A379,'MONTHLY ANALYSIS'!$A:$A,'MONTHLY ANALYSIS'!$M:$M),0))</f>
        <v/>
      </c>
      <c r="E379" s="190">
        <f>IF(A379="","",IF(D379&gt;0,"⚑ PAST MIDNIGHT","⚠ PAST 10PM ONLY"))</f>
        <v/>
      </c>
      <c r="F379" s="170">
        <f>IF(A379="","",IFERROR(xlookup(A379,'FLEET REGISTER'!$B:$B,'FLEET REGISTER'!$F:$F),"Unknown"))</f>
        <v/>
      </c>
      <c r="G379" s="200" t="n"/>
      <c r="H379" s="200" t="n"/>
      <c r="I379" s="200" t="n"/>
      <c r="J379" s="200" t="n"/>
      <c r="K379" s="200" t="n"/>
      <c r="L379" s="200" t="n"/>
    </row>
    <row r="380" ht="15" customHeight="1" s="122">
      <c r="A380" s="197">
        <f>IF(A379="","","")</f>
        <v/>
      </c>
      <c r="B380" s="197">
        <f>IF(A380="","",IFERROR(xlookup(A380,'MONTHLY ANALYSIS'!$A:$A,'MONTHLY ANALYSIS'!$L:$L),0))</f>
        <v/>
      </c>
      <c r="C380" s="204">
        <f>IF(A380="","",IFERROR(xlookup(A380,'MONTHLY ANALYSIS'!$A:$A,'MONTHLY ANALYSIS'!$L:$L),0))</f>
        <v/>
      </c>
      <c r="D380" s="205">
        <f>IF(A380="","",IFERROR(xlookup(A380,'MONTHLY ANALYSIS'!$A:$A,'MONTHLY ANALYSIS'!$M:$M),0))</f>
        <v/>
      </c>
      <c r="E380" s="190">
        <f>IF(A380="","",IF(D380&gt;0,"⚑ PAST MIDNIGHT","⚠ PAST 10PM ONLY"))</f>
        <v/>
      </c>
      <c r="F380" s="170">
        <f>IF(A380="","",IFERROR(xlookup(A380,'FLEET REGISTER'!$B:$B,'FLEET REGISTER'!$F:$F),"Unknown"))</f>
        <v/>
      </c>
      <c r="G380" s="200" t="n"/>
      <c r="H380" s="200" t="n"/>
      <c r="I380" s="200" t="n"/>
      <c r="J380" s="200" t="n"/>
      <c r="K380" s="200" t="n"/>
      <c r="L380" s="200" t="n"/>
    </row>
    <row r="381" ht="15" customHeight="1" s="122">
      <c r="A381" s="197">
        <f>IF(A380="","","")</f>
        <v/>
      </c>
      <c r="B381" s="197">
        <f>IF(A381="","",IFERROR(xlookup(A381,'MONTHLY ANALYSIS'!$A:$A,'MONTHLY ANALYSIS'!$L:$L),0))</f>
        <v/>
      </c>
      <c r="C381" s="204">
        <f>IF(A381="","",IFERROR(xlookup(A381,'MONTHLY ANALYSIS'!$A:$A,'MONTHLY ANALYSIS'!$L:$L),0))</f>
        <v/>
      </c>
      <c r="D381" s="205">
        <f>IF(A381="","",IFERROR(xlookup(A381,'MONTHLY ANALYSIS'!$A:$A,'MONTHLY ANALYSIS'!$M:$M),0))</f>
        <v/>
      </c>
      <c r="E381" s="190">
        <f>IF(A381="","",IF(D381&gt;0,"⚑ PAST MIDNIGHT","⚠ PAST 10PM ONLY"))</f>
        <v/>
      </c>
      <c r="F381" s="170">
        <f>IF(A381="","",IFERROR(xlookup(A381,'FLEET REGISTER'!$B:$B,'FLEET REGISTER'!$F:$F),"Unknown"))</f>
        <v/>
      </c>
      <c r="G381" s="200" t="n"/>
      <c r="H381" s="200" t="n"/>
      <c r="I381" s="200" t="n"/>
      <c r="J381" s="200" t="n"/>
      <c r="K381" s="200" t="n"/>
      <c r="L381" s="200" t="n"/>
    </row>
    <row r="382" ht="15" customHeight="1" s="122">
      <c r="A382" s="197">
        <f>IF(A381="","","")</f>
        <v/>
      </c>
      <c r="B382" s="197">
        <f>IF(A382="","",IFERROR(xlookup(A382,'MONTHLY ANALYSIS'!$A:$A,'MONTHLY ANALYSIS'!$L:$L),0))</f>
        <v/>
      </c>
      <c r="C382" s="204">
        <f>IF(A382="","",IFERROR(xlookup(A382,'MONTHLY ANALYSIS'!$A:$A,'MONTHLY ANALYSIS'!$L:$L),0))</f>
        <v/>
      </c>
      <c r="D382" s="205">
        <f>IF(A382="","",IFERROR(xlookup(A382,'MONTHLY ANALYSIS'!$A:$A,'MONTHLY ANALYSIS'!$M:$M),0))</f>
        <v/>
      </c>
      <c r="E382" s="190">
        <f>IF(A382="","",IF(D382&gt;0,"⚑ PAST MIDNIGHT","⚠ PAST 10PM ONLY"))</f>
        <v/>
      </c>
      <c r="F382" s="170">
        <f>IF(A382="","",IFERROR(xlookup(A382,'FLEET REGISTER'!$B:$B,'FLEET REGISTER'!$F:$F),"Unknown"))</f>
        <v/>
      </c>
      <c r="G382" s="200" t="n"/>
      <c r="H382" s="200" t="n"/>
      <c r="I382" s="200" t="n"/>
      <c r="J382" s="200" t="n"/>
      <c r="K382" s="200" t="n"/>
      <c r="L382" s="200" t="n"/>
    </row>
    <row r="383" ht="15" customHeight="1" s="122">
      <c r="A383" s="197">
        <f>IF(A382="","","")</f>
        <v/>
      </c>
      <c r="B383" s="197">
        <f>IF(A383="","",IFERROR(xlookup(A383,'MONTHLY ANALYSIS'!$A:$A,'MONTHLY ANALYSIS'!$L:$L),0))</f>
        <v/>
      </c>
      <c r="C383" s="204">
        <f>IF(A383="","",IFERROR(xlookup(A383,'MONTHLY ANALYSIS'!$A:$A,'MONTHLY ANALYSIS'!$L:$L),0))</f>
        <v/>
      </c>
      <c r="D383" s="205">
        <f>IF(A383="","",IFERROR(xlookup(A383,'MONTHLY ANALYSIS'!$A:$A,'MONTHLY ANALYSIS'!$M:$M),0))</f>
        <v/>
      </c>
      <c r="E383" s="190">
        <f>IF(A383="","",IF(D383&gt;0,"⚑ PAST MIDNIGHT","⚠ PAST 10PM ONLY"))</f>
        <v/>
      </c>
      <c r="F383" s="170">
        <f>IF(A383="","",IFERROR(xlookup(A383,'FLEET REGISTER'!$B:$B,'FLEET REGISTER'!$F:$F),"Unknown"))</f>
        <v/>
      </c>
      <c r="G383" s="200" t="n"/>
      <c r="H383" s="200" t="n"/>
      <c r="I383" s="200" t="n"/>
      <c r="J383" s="200" t="n"/>
      <c r="K383" s="200" t="n"/>
      <c r="L383" s="200" t="n"/>
    </row>
    <row r="384" ht="15" customHeight="1" s="122">
      <c r="A384" s="197">
        <f>IF(A383="","","")</f>
        <v/>
      </c>
      <c r="B384" s="197">
        <f>IF(A384="","",IFERROR(xlookup(A384,'MONTHLY ANALYSIS'!$A:$A,'MONTHLY ANALYSIS'!$L:$L),0))</f>
        <v/>
      </c>
      <c r="C384" s="204">
        <f>IF(A384="","",IFERROR(xlookup(A384,'MONTHLY ANALYSIS'!$A:$A,'MONTHLY ANALYSIS'!$L:$L),0))</f>
        <v/>
      </c>
      <c r="D384" s="205">
        <f>IF(A384="","",IFERROR(xlookup(A384,'MONTHLY ANALYSIS'!$A:$A,'MONTHLY ANALYSIS'!$M:$M),0))</f>
        <v/>
      </c>
      <c r="E384" s="190">
        <f>IF(A384="","",IF(D384&gt;0,"⚑ PAST MIDNIGHT","⚠ PAST 10PM ONLY"))</f>
        <v/>
      </c>
      <c r="F384" s="170">
        <f>IF(A384="","",IFERROR(xlookup(A384,'FLEET REGISTER'!$B:$B,'FLEET REGISTER'!$F:$F),"Unknown"))</f>
        <v/>
      </c>
      <c r="G384" s="200" t="n"/>
      <c r="H384" s="200" t="n"/>
      <c r="I384" s="200" t="n"/>
      <c r="J384" s="200" t="n"/>
      <c r="K384" s="200" t="n"/>
      <c r="L384" s="200" t="n"/>
    </row>
    <row r="385" ht="15" customHeight="1" s="122">
      <c r="A385" s="197">
        <f>IF(A384="","","")</f>
        <v/>
      </c>
      <c r="B385" s="197">
        <f>IF(A385="","",IFERROR(xlookup(A385,'MONTHLY ANALYSIS'!$A:$A,'MONTHLY ANALYSIS'!$L:$L),0))</f>
        <v/>
      </c>
      <c r="C385" s="204">
        <f>IF(A385="","",IFERROR(xlookup(A385,'MONTHLY ANALYSIS'!$A:$A,'MONTHLY ANALYSIS'!$L:$L),0))</f>
        <v/>
      </c>
      <c r="D385" s="205">
        <f>IF(A385="","",IFERROR(xlookup(A385,'MONTHLY ANALYSIS'!$A:$A,'MONTHLY ANALYSIS'!$M:$M),0))</f>
        <v/>
      </c>
      <c r="E385" s="190">
        <f>IF(A385="","",IF(D385&gt;0,"⚑ PAST MIDNIGHT","⚠ PAST 10PM ONLY"))</f>
        <v/>
      </c>
      <c r="F385" s="170">
        <f>IF(A385="","",IFERROR(xlookup(A385,'FLEET REGISTER'!$B:$B,'FLEET REGISTER'!$F:$F),"Unknown"))</f>
        <v/>
      </c>
      <c r="G385" s="200" t="n"/>
      <c r="H385" s="200" t="n"/>
      <c r="I385" s="200" t="n"/>
      <c r="J385" s="200" t="n"/>
      <c r="K385" s="200" t="n"/>
      <c r="L385" s="200" t="n"/>
    </row>
    <row r="386" ht="15" customHeight="1" s="122">
      <c r="A386" s="197">
        <f>IF(A385="","","")</f>
        <v/>
      </c>
      <c r="B386" s="197">
        <f>IF(A386="","",IFERROR(xlookup(A386,'MONTHLY ANALYSIS'!$A:$A,'MONTHLY ANALYSIS'!$L:$L),0))</f>
        <v/>
      </c>
      <c r="C386" s="204">
        <f>IF(A386="","",IFERROR(xlookup(A386,'MONTHLY ANALYSIS'!$A:$A,'MONTHLY ANALYSIS'!$L:$L),0))</f>
        <v/>
      </c>
      <c r="D386" s="205">
        <f>IF(A386="","",IFERROR(xlookup(A386,'MONTHLY ANALYSIS'!$A:$A,'MONTHLY ANALYSIS'!$M:$M),0))</f>
        <v/>
      </c>
      <c r="E386" s="190">
        <f>IF(A386="","",IF(D386&gt;0,"⚑ PAST MIDNIGHT","⚠ PAST 10PM ONLY"))</f>
        <v/>
      </c>
      <c r="F386" s="170">
        <f>IF(A386="","",IFERROR(xlookup(A386,'FLEET REGISTER'!$B:$B,'FLEET REGISTER'!$F:$F),"Unknown"))</f>
        <v/>
      </c>
      <c r="G386" s="200" t="n"/>
      <c r="H386" s="200" t="n"/>
      <c r="I386" s="200" t="n"/>
      <c r="J386" s="200" t="n"/>
      <c r="K386" s="200" t="n"/>
      <c r="L386" s="200" t="n"/>
    </row>
    <row r="387" ht="15" customHeight="1" s="122">
      <c r="A387" s="197">
        <f>IF(A386="","","")</f>
        <v/>
      </c>
      <c r="B387" s="197">
        <f>IF(A387="","",IFERROR(xlookup(A387,'MONTHLY ANALYSIS'!$A:$A,'MONTHLY ANALYSIS'!$L:$L),0))</f>
        <v/>
      </c>
      <c r="C387" s="204">
        <f>IF(A387="","",IFERROR(xlookup(A387,'MONTHLY ANALYSIS'!$A:$A,'MONTHLY ANALYSIS'!$L:$L),0))</f>
        <v/>
      </c>
      <c r="D387" s="205">
        <f>IF(A387="","",IFERROR(xlookup(A387,'MONTHLY ANALYSIS'!$A:$A,'MONTHLY ANALYSIS'!$M:$M),0))</f>
        <v/>
      </c>
      <c r="E387" s="190">
        <f>IF(A387="","",IF(D387&gt;0,"⚑ PAST MIDNIGHT","⚠ PAST 10PM ONLY"))</f>
        <v/>
      </c>
      <c r="F387" s="170">
        <f>IF(A387="","",IFERROR(xlookup(A387,'FLEET REGISTER'!$B:$B,'FLEET REGISTER'!$F:$F),"Unknown"))</f>
        <v/>
      </c>
      <c r="G387" s="200" t="n"/>
      <c r="H387" s="200" t="n"/>
      <c r="I387" s="200" t="n"/>
      <c r="J387" s="200" t="n"/>
      <c r="K387" s="200" t="n"/>
      <c r="L387" s="200" t="n"/>
    </row>
    <row r="388" ht="15" customHeight="1" s="122">
      <c r="A388" s="197">
        <f>IF(A387="","","")</f>
        <v/>
      </c>
      <c r="B388" s="197">
        <f>IF(A388="","",IFERROR(xlookup(A388,'MONTHLY ANALYSIS'!$A:$A,'MONTHLY ANALYSIS'!$L:$L),0))</f>
        <v/>
      </c>
      <c r="C388" s="204">
        <f>IF(A388="","",IFERROR(xlookup(A388,'MONTHLY ANALYSIS'!$A:$A,'MONTHLY ANALYSIS'!$L:$L),0))</f>
        <v/>
      </c>
      <c r="D388" s="205">
        <f>IF(A388="","",IFERROR(xlookup(A388,'MONTHLY ANALYSIS'!$A:$A,'MONTHLY ANALYSIS'!$M:$M),0))</f>
        <v/>
      </c>
      <c r="E388" s="190">
        <f>IF(A388="","",IF(D388&gt;0,"⚑ PAST MIDNIGHT","⚠ PAST 10PM ONLY"))</f>
        <v/>
      </c>
      <c r="F388" s="170">
        <f>IF(A388="","",IFERROR(xlookup(A388,'FLEET REGISTER'!$B:$B,'FLEET REGISTER'!$F:$F),"Unknown"))</f>
        <v/>
      </c>
      <c r="G388" s="200" t="n"/>
      <c r="H388" s="200" t="n"/>
      <c r="I388" s="200" t="n"/>
      <c r="J388" s="200" t="n"/>
      <c r="K388" s="200" t="n"/>
      <c r="L388" s="200" t="n"/>
    </row>
    <row r="389" ht="15" customHeight="1" s="122">
      <c r="A389" s="197">
        <f>IF(A388="","","")</f>
        <v/>
      </c>
      <c r="B389" s="197">
        <f>IF(A389="","",IFERROR(xlookup(A389,'MONTHLY ANALYSIS'!$A:$A,'MONTHLY ANALYSIS'!$L:$L),0))</f>
        <v/>
      </c>
      <c r="C389" s="204">
        <f>IF(A389="","",IFERROR(xlookup(A389,'MONTHLY ANALYSIS'!$A:$A,'MONTHLY ANALYSIS'!$L:$L),0))</f>
        <v/>
      </c>
      <c r="D389" s="205">
        <f>IF(A389="","",IFERROR(xlookup(A389,'MONTHLY ANALYSIS'!$A:$A,'MONTHLY ANALYSIS'!$M:$M),0))</f>
        <v/>
      </c>
      <c r="E389" s="190">
        <f>IF(A389="","",IF(D389&gt;0,"⚑ PAST MIDNIGHT","⚠ PAST 10PM ONLY"))</f>
        <v/>
      </c>
      <c r="F389" s="170">
        <f>IF(A389="","",IFERROR(xlookup(A389,'FLEET REGISTER'!$B:$B,'FLEET REGISTER'!$F:$F),"Unknown"))</f>
        <v/>
      </c>
      <c r="G389" s="200" t="n"/>
      <c r="H389" s="200" t="n"/>
      <c r="I389" s="200" t="n"/>
      <c r="J389" s="200" t="n"/>
      <c r="K389" s="200" t="n"/>
      <c r="L389" s="200" t="n"/>
    </row>
    <row r="390" ht="15" customHeight="1" s="122">
      <c r="A390" s="197">
        <f>IF(A389="","","")</f>
        <v/>
      </c>
      <c r="B390" s="197">
        <f>IF(A390="","",IFERROR(xlookup(A390,'MONTHLY ANALYSIS'!$A:$A,'MONTHLY ANALYSIS'!$L:$L),0))</f>
        <v/>
      </c>
      <c r="C390" s="204">
        <f>IF(A390="","",IFERROR(xlookup(A390,'MONTHLY ANALYSIS'!$A:$A,'MONTHLY ANALYSIS'!$L:$L),0))</f>
        <v/>
      </c>
      <c r="D390" s="205">
        <f>IF(A390="","",IFERROR(xlookup(A390,'MONTHLY ANALYSIS'!$A:$A,'MONTHLY ANALYSIS'!$M:$M),0))</f>
        <v/>
      </c>
      <c r="E390" s="190">
        <f>IF(A390="","",IF(D390&gt;0,"⚑ PAST MIDNIGHT","⚠ PAST 10PM ONLY"))</f>
        <v/>
      </c>
      <c r="F390" s="170">
        <f>IF(A390="","",IFERROR(xlookup(A390,'FLEET REGISTER'!$B:$B,'FLEET REGISTER'!$F:$F),"Unknown"))</f>
        <v/>
      </c>
      <c r="G390" s="200" t="n"/>
      <c r="H390" s="200" t="n"/>
      <c r="I390" s="200" t="n"/>
      <c r="J390" s="200" t="n"/>
      <c r="K390" s="200" t="n"/>
      <c r="L390" s="200" t="n"/>
    </row>
    <row r="391" ht="15" customHeight="1" s="122">
      <c r="A391" s="197">
        <f>IF(A390="","","")</f>
        <v/>
      </c>
      <c r="B391" s="197">
        <f>IF(A391="","",IFERROR(xlookup(A391,'MONTHLY ANALYSIS'!$A:$A,'MONTHLY ANALYSIS'!$L:$L),0))</f>
        <v/>
      </c>
      <c r="C391" s="204">
        <f>IF(A391="","",IFERROR(xlookup(A391,'MONTHLY ANALYSIS'!$A:$A,'MONTHLY ANALYSIS'!$L:$L),0))</f>
        <v/>
      </c>
      <c r="D391" s="205">
        <f>IF(A391="","",IFERROR(xlookup(A391,'MONTHLY ANALYSIS'!$A:$A,'MONTHLY ANALYSIS'!$M:$M),0))</f>
        <v/>
      </c>
      <c r="E391" s="190">
        <f>IF(A391="","",IF(D391&gt;0,"⚑ PAST MIDNIGHT","⚠ PAST 10PM ONLY"))</f>
        <v/>
      </c>
      <c r="F391" s="170">
        <f>IF(A391="","",IFERROR(xlookup(A391,'FLEET REGISTER'!$B:$B,'FLEET REGISTER'!$F:$F),"Unknown"))</f>
        <v/>
      </c>
      <c r="G391" s="200" t="n"/>
      <c r="H391" s="200" t="n"/>
      <c r="I391" s="200" t="n"/>
      <c r="J391" s="200" t="n"/>
      <c r="K391" s="200" t="n"/>
      <c r="L391" s="200" t="n"/>
    </row>
    <row r="392" ht="15" customHeight="1" s="122">
      <c r="A392" s="197">
        <f>IF(A391="","","")</f>
        <v/>
      </c>
      <c r="B392" s="197">
        <f>IF(A392="","",IFERROR(xlookup(A392,'MONTHLY ANALYSIS'!$A:$A,'MONTHLY ANALYSIS'!$L:$L),0))</f>
        <v/>
      </c>
      <c r="C392" s="204">
        <f>IF(A392="","",IFERROR(xlookup(A392,'MONTHLY ANALYSIS'!$A:$A,'MONTHLY ANALYSIS'!$L:$L),0))</f>
        <v/>
      </c>
      <c r="D392" s="205">
        <f>IF(A392="","",IFERROR(xlookup(A392,'MONTHLY ANALYSIS'!$A:$A,'MONTHLY ANALYSIS'!$M:$M),0))</f>
        <v/>
      </c>
      <c r="E392" s="190">
        <f>IF(A392="","",IF(D392&gt;0,"⚑ PAST MIDNIGHT","⚠ PAST 10PM ONLY"))</f>
        <v/>
      </c>
      <c r="F392" s="170">
        <f>IF(A392="","",IFERROR(xlookup(A392,'FLEET REGISTER'!$B:$B,'FLEET REGISTER'!$F:$F),"Unknown"))</f>
        <v/>
      </c>
      <c r="G392" s="200" t="n"/>
      <c r="H392" s="200" t="n"/>
      <c r="I392" s="200" t="n"/>
      <c r="J392" s="200" t="n"/>
      <c r="K392" s="200" t="n"/>
      <c r="L392" s="200" t="n"/>
    </row>
    <row r="393" ht="15" customHeight="1" s="122">
      <c r="A393" s="197">
        <f>IF(A392="","","")</f>
        <v/>
      </c>
      <c r="B393" s="197">
        <f>IF(A393="","",IFERROR(xlookup(A393,'MONTHLY ANALYSIS'!$A:$A,'MONTHLY ANALYSIS'!$L:$L),0))</f>
        <v/>
      </c>
      <c r="C393" s="204">
        <f>IF(A393="","",IFERROR(xlookup(A393,'MONTHLY ANALYSIS'!$A:$A,'MONTHLY ANALYSIS'!$L:$L),0))</f>
        <v/>
      </c>
      <c r="D393" s="205">
        <f>IF(A393="","",IFERROR(xlookup(A393,'MONTHLY ANALYSIS'!$A:$A,'MONTHLY ANALYSIS'!$M:$M),0))</f>
        <v/>
      </c>
      <c r="E393" s="190">
        <f>IF(A393="","",IF(D393&gt;0,"⚑ PAST MIDNIGHT","⚠ PAST 10PM ONLY"))</f>
        <v/>
      </c>
      <c r="F393" s="170">
        <f>IF(A393="","",IFERROR(xlookup(A393,'FLEET REGISTER'!$B:$B,'FLEET REGISTER'!$F:$F),"Unknown"))</f>
        <v/>
      </c>
      <c r="G393" s="200" t="n"/>
      <c r="H393" s="200" t="n"/>
      <c r="I393" s="200" t="n"/>
      <c r="J393" s="200" t="n"/>
      <c r="K393" s="200" t="n"/>
      <c r="L393" s="200" t="n"/>
    </row>
    <row r="394" ht="15" customHeight="1" s="122">
      <c r="A394" s="197">
        <f>IF(A393="","","")</f>
        <v/>
      </c>
      <c r="B394" s="197">
        <f>IF(A394="","",IFERROR(xlookup(A394,'MONTHLY ANALYSIS'!$A:$A,'MONTHLY ANALYSIS'!$L:$L),0))</f>
        <v/>
      </c>
      <c r="C394" s="204">
        <f>IF(A394="","",IFERROR(xlookup(A394,'MONTHLY ANALYSIS'!$A:$A,'MONTHLY ANALYSIS'!$L:$L),0))</f>
        <v/>
      </c>
      <c r="D394" s="205">
        <f>IF(A394="","",IFERROR(xlookup(A394,'MONTHLY ANALYSIS'!$A:$A,'MONTHLY ANALYSIS'!$M:$M),0))</f>
        <v/>
      </c>
      <c r="E394" s="190">
        <f>IF(A394="","",IF(D394&gt;0,"⚑ PAST MIDNIGHT","⚠ PAST 10PM ONLY"))</f>
        <v/>
      </c>
      <c r="F394" s="170">
        <f>IF(A394="","",IFERROR(xlookup(A394,'FLEET REGISTER'!$B:$B,'FLEET REGISTER'!$F:$F),"Unknown"))</f>
        <v/>
      </c>
      <c r="G394" s="200" t="n"/>
      <c r="H394" s="200" t="n"/>
      <c r="I394" s="200" t="n"/>
      <c r="J394" s="200" t="n"/>
      <c r="K394" s="200" t="n"/>
      <c r="L394" s="200" t="n"/>
    </row>
    <row r="395" ht="15" customHeight="1" s="122">
      <c r="A395" s="197">
        <f>IF(A394="","","")</f>
        <v/>
      </c>
      <c r="B395" s="197">
        <f>IF(A395="","",IFERROR(xlookup(A395,'MONTHLY ANALYSIS'!$A:$A,'MONTHLY ANALYSIS'!$L:$L),0))</f>
        <v/>
      </c>
      <c r="C395" s="204">
        <f>IF(A395="","",IFERROR(xlookup(A395,'MONTHLY ANALYSIS'!$A:$A,'MONTHLY ANALYSIS'!$L:$L),0))</f>
        <v/>
      </c>
      <c r="D395" s="205">
        <f>IF(A395="","",IFERROR(xlookup(A395,'MONTHLY ANALYSIS'!$A:$A,'MONTHLY ANALYSIS'!$M:$M),0))</f>
        <v/>
      </c>
      <c r="E395" s="190">
        <f>IF(A395="","",IF(D395&gt;0,"⚑ PAST MIDNIGHT","⚠ PAST 10PM ONLY"))</f>
        <v/>
      </c>
      <c r="F395" s="170">
        <f>IF(A395="","",IFERROR(xlookup(A395,'FLEET REGISTER'!$B:$B,'FLEET REGISTER'!$F:$F),"Unknown"))</f>
        <v/>
      </c>
      <c r="G395" s="200" t="n"/>
      <c r="H395" s="200" t="n"/>
      <c r="I395" s="200" t="n"/>
      <c r="J395" s="200" t="n"/>
      <c r="K395" s="200" t="n"/>
      <c r="L395" s="200" t="n"/>
    </row>
    <row r="396" ht="15" customHeight="1" s="122">
      <c r="A396" s="197">
        <f>IF(A395="","","")</f>
        <v/>
      </c>
      <c r="B396" s="197">
        <f>IF(A396="","",IFERROR(xlookup(A396,'MONTHLY ANALYSIS'!$A:$A,'MONTHLY ANALYSIS'!$L:$L),0))</f>
        <v/>
      </c>
      <c r="C396" s="204">
        <f>IF(A396="","",IFERROR(xlookup(A396,'MONTHLY ANALYSIS'!$A:$A,'MONTHLY ANALYSIS'!$L:$L),0))</f>
        <v/>
      </c>
      <c r="D396" s="205">
        <f>IF(A396="","",IFERROR(xlookup(A396,'MONTHLY ANALYSIS'!$A:$A,'MONTHLY ANALYSIS'!$M:$M),0))</f>
        <v/>
      </c>
      <c r="E396" s="190">
        <f>IF(A396="","",IF(D396&gt;0,"⚑ PAST MIDNIGHT","⚠ PAST 10PM ONLY"))</f>
        <v/>
      </c>
      <c r="F396" s="170">
        <f>IF(A396="","",IFERROR(xlookup(A396,'FLEET REGISTER'!$B:$B,'FLEET REGISTER'!$F:$F),"Unknown"))</f>
        <v/>
      </c>
      <c r="G396" s="200" t="n"/>
      <c r="H396" s="200" t="n"/>
      <c r="I396" s="200" t="n"/>
      <c r="J396" s="200" t="n"/>
      <c r="K396" s="200" t="n"/>
      <c r="L396" s="200" t="n"/>
    </row>
    <row r="397" ht="15" customHeight="1" s="122">
      <c r="A397" s="197">
        <f>IF(A396="","","")</f>
        <v/>
      </c>
      <c r="B397" s="197">
        <f>IF(A397="","",IFERROR(xlookup(A397,'MONTHLY ANALYSIS'!$A:$A,'MONTHLY ANALYSIS'!$L:$L),0))</f>
        <v/>
      </c>
      <c r="C397" s="204">
        <f>IF(A397="","",IFERROR(xlookup(A397,'MONTHLY ANALYSIS'!$A:$A,'MONTHLY ANALYSIS'!$L:$L),0))</f>
        <v/>
      </c>
      <c r="D397" s="205">
        <f>IF(A397="","",IFERROR(xlookup(A397,'MONTHLY ANALYSIS'!$A:$A,'MONTHLY ANALYSIS'!$M:$M),0))</f>
        <v/>
      </c>
      <c r="E397" s="190">
        <f>IF(A397="","",IF(D397&gt;0,"⚑ PAST MIDNIGHT","⚠ PAST 10PM ONLY"))</f>
        <v/>
      </c>
      <c r="F397" s="170">
        <f>IF(A397="","",IFERROR(xlookup(A397,'FLEET REGISTER'!$B:$B,'FLEET REGISTER'!$F:$F),"Unknown"))</f>
        <v/>
      </c>
      <c r="G397" s="200" t="n"/>
      <c r="H397" s="200" t="n"/>
      <c r="I397" s="200" t="n"/>
      <c r="J397" s="200" t="n"/>
      <c r="K397" s="200" t="n"/>
      <c r="L397" s="200" t="n"/>
    </row>
    <row r="398" ht="15" customHeight="1" s="122">
      <c r="A398" s="197">
        <f>IF(A397="","","")</f>
        <v/>
      </c>
      <c r="B398" s="197">
        <f>IF(A398="","",IFERROR(xlookup(A398,'MONTHLY ANALYSIS'!$A:$A,'MONTHLY ANALYSIS'!$L:$L),0))</f>
        <v/>
      </c>
      <c r="C398" s="204">
        <f>IF(A398="","",IFERROR(xlookup(A398,'MONTHLY ANALYSIS'!$A:$A,'MONTHLY ANALYSIS'!$L:$L),0))</f>
        <v/>
      </c>
      <c r="D398" s="205">
        <f>IF(A398="","",IFERROR(xlookup(A398,'MONTHLY ANALYSIS'!$A:$A,'MONTHLY ANALYSIS'!$M:$M),0))</f>
        <v/>
      </c>
      <c r="E398" s="190">
        <f>IF(A398="","",IF(D398&gt;0,"⚑ PAST MIDNIGHT","⚠ PAST 10PM ONLY"))</f>
        <v/>
      </c>
      <c r="F398" s="170">
        <f>IF(A398="","",IFERROR(xlookup(A398,'FLEET REGISTER'!$B:$B,'FLEET REGISTER'!$F:$F),"Unknown"))</f>
        <v/>
      </c>
      <c r="G398" s="200" t="n"/>
      <c r="H398" s="200" t="n"/>
      <c r="I398" s="200" t="n"/>
      <c r="J398" s="200" t="n"/>
      <c r="K398" s="200" t="n"/>
      <c r="L398" s="200" t="n"/>
    </row>
    <row r="399" ht="15" customHeight="1" s="122">
      <c r="A399" s="197">
        <f>IF(A398="","","")</f>
        <v/>
      </c>
      <c r="B399" s="197">
        <f>IF(A399="","",IFERROR(xlookup(A399,'MONTHLY ANALYSIS'!$A:$A,'MONTHLY ANALYSIS'!$L:$L),0))</f>
        <v/>
      </c>
      <c r="C399" s="204">
        <f>IF(A399="","",IFERROR(xlookup(A399,'MONTHLY ANALYSIS'!$A:$A,'MONTHLY ANALYSIS'!$L:$L),0))</f>
        <v/>
      </c>
      <c r="D399" s="205">
        <f>IF(A399="","",IFERROR(xlookup(A399,'MONTHLY ANALYSIS'!$A:$A,'MONTHLY ANALYSIS'!$M:$M),0))</f>
        <v/>
      </c>
      <c r="E399" s="190">
        <f>IF(A399="","",IF(D399&gt;0,"⚑ PAST MIDNIGHT","⚠ PAST 10PM ONLY"))</f>
        <v/>
      </c>
      <c r="F399" s="170">
        <f>IF(A399="","",IFERROR(xlookup(A399,'FLEET REGISTER'!$B:$B,'FLEET REGISTER'!$F:$F),"Unknown"))</f>
        <v/>
      </c>
      <c r="G399" s="200" t="n"/>
      <c r="H399" s="200" t="n"/>
      <c r="I399" s="200" t="n"/>
      <c r="J399" s="200" t="n"/>
      <c r="K399" s="200" t="n"/>
      <c r="L399" s="200" t="n"/>
    </row>
    <row r="400" ht="15" customHeight="1" s="122">
      <c r="A400" s="197">
        <f>IF(A399="","","")</f>
        <v/>
      </c>
      <c r="B400" s="197">
        <f>IF(A400="","",IFERROR(xlookup(A400,'MONTHLY ANALYSIS'!$A:$A,'MONTHLY ANALYSIS'!$L:$L),0))</f>
        <v/>
      </c>
      <c r="C400" s="204">
        <f>IF(A400="","",IFERROR(xlookup(A400,'MONTHLY ANALYSIS'!$A:$A,'MONTHLY ANALYSIS'!$L:$L),0))</f>
        <v/>
      </c>
      <c r="D400" s="205">
        <f>IF(A400="","",IFERROR(xlookup(A400,'MONTHLY ANALYSIS'!$A:$A,'MONTHLY ANALYSIS'!$M:$M),0))</f>
        <v/>
      </c>
      <c r="E400" s="190">
        <f>IF(A400="","",IF(D400&gt;0,"⚑ PAST MIDNIGHT","⚠ PAST 10PM ONLY"))</f>
        <v/>
      </c>
      <c r="F400" s="170">
        <f>IF(A400="","",IFERROR(xlookup(A400,'FLEET REGISTER'!$B:$B,'FLEET REGISTER'!$F:$F),"Unknown"))</f>
        <v/>
      </c>
      <c r="G400" s="200" t="n"/>
      <c r="H400" s="200" t="n"/>
      <c r="I400" s="200" t="n"/>
      <c r="J400" s="200" t="n"/>
      <c r="K400" s="200" t="n"/>
      <c r="L400" s="200" t="n"/>
    </row>
    <row r="401" ht="15" customHeight="1" s="122">
      <c r="A401" s="197">
        <f>IF(A400="","","")</f>
        <v/>
      </c>
      <c r="B401" s="197">
        <f>IF(A401="","",IFERROR(xlookup(A401,'MONTHLY ANALYSIS'!$A:$A,'MONTHLY ANALYSIS'!$L:$L),0))</f>
        <v/>
      </c>
      <c r="C401" s="204">
        <f>IF(A401="","",IFERROR(xlookup(A401,'MONTHLY ANALYSIS'!$A:$A,'MONTHLY ANALYSIS'!$L:$L),0))</f>
        <v/>
      </c>
      <c r="D401" s="205">
        <f>IF(A401="","",IFERROR(xlookup(A401,'MONTHLY ANALYSIS'!$A:$A,'MONTHLY ANALYSIS'!$M:$M),0))</f>
        <v/>
      </c>
      <c r="E401" s="190">
        <f>IF(A401="","",IF(D401&gt;0,"⚑ PAST MIDNIGHT","⚠ PAST 10PM ONLY"))</f>
        <v/>
      </c>
      <c r="F401" s="170">
        <f>IF(A401="","",IFERROR(xlookup(A401,'FLEET REGISTER'!$B:$B,'FLEET REGISTER'!$F:$F),"Unknown"))</f>
        <v/>
      </c>
      <c r="G401" s="200" t="n"/>
      <c r="H401" s="200" t="n"/>
      <c r="I401" s="200" t="n"/>
      <c r="J401" s="200" t="n"/>
      <c r="K401" s="200" t="n"/>
      <c r="L401" s="200" t="n"/>
    </row>
    <row r="402" ht="15" customHeight="1" s="122">
      <c r="A402" s="197">
        <f>IF(A401="","","")</f>
        <v/>
      </c>
      <c r="B402" s="197">
        <f>IF(A402="","",IFERROR(xlookup(A402,'MONTHLY ANALYSIS'!$A:$A,'MONTHLY ANALYSIS'!$L:$L),0))</f>
        <v/>
      </c>
      <c r="C402" s="204">
        <f>IF(A402="","",IFERROR(xlookup(A402,'MONTHLY ANALYSIS'!$A:$A,'MONTHLY ANALYSIS'!$L:$L),0))</f>
        <v/>
      </c>
      <c r="D402" s="205">
        <f>IF(A402="","",IFERROR(xlookup(A402,'MONTHLY ANALYSIS'!$A:$A,'MONTHLY ANALYSIS'!$M:$M),0))</f>
        <v/>
      </c>
      <c r="E402" s="190">
        <f>IF(A402="","",IF(D402&gt;0,"⚑ PAST MIDNIGHT","⚠ PAST 10PM ONLY"))</f>
        <v/>
      </c>
      <c r="F402" s="170">
        <f>IF(A402="","",IFERROR(xlookup(A402,'FLEET REGISTER'!$B:$B,'FLEET REGISTER'!$F:$F),"Unknown"))</f>
        <v/>
      </c>
      <c r="G402" s="200" t="n"/>
      <c r="H402" s="200" t="n"/>
      <c r="I402" s="200" t="n"/>
      <c r="J402" s="200" t="n"/>
      <c r="K402" s="200" t="n"/>
      <c r="L402" s="200" t="n"/>
    </row>
    <row r="403" ht="15" customHeight="1" s="122">
      <c r="A403" s="197">
        <f>IF(A402="","","")</f>
        <v/>
      </c>
      <c r="B403" s="197">
        <f>IF(A403="","",IFERROR(xlookup(A403,'MONTHLY ANALYSIS'!$A:$A,'MONTHLY ANALYSIS'!$L:$L),0))</f>
        <v/>
      </c>
      <c r="C403" s="204">
        <f>IF(A403="","",IFERROR(xlookup(A403,'MONTHLY ANALYSIS'!$A:$A,'MONTHLY ANALYSIS'!$L:$L),0))</f>
        <v/>
      </c>
      <c r="D403" s="205">
        <f>IF(A403="","",IFERROR(xlookup(A403,'MONTHLY ANALYSIS'!$A:$A,'MONTHLY ANALYSIS'!$M:$M),0))</f>
        <v/>
      </c>
      <c r="E403" s="190">
        <f>IF(A403="","",IF(D403&gt;0,"⚑ PAST MIDNIGHT","⚠ PAST 10PM ONLY"))</f>
        <v/>
      </c>
      <c r="F403" s="170">
        <f>IF(A403="","",IFERROR(xlookup(A403,'FLEET REGISTER'!$B:$B,'FLEET REGISTER'!$F:$F),"Unknown"))</f>
        <v/>
      </c>
      <c r="G403" s="200" t="n"/>
      <c r="H403" s="200" t="n"/>
      <c r="I403" s="200" t="n"/>
      <c r="J403" s="200" t="n"/>
      <c r="K403" s="200" t="n"/>
      <c r="L403" s="200" t="n"/>
    </row>
    <row r="404" ht="15" customHeight="1" s="122">
      <c r="A404" s="197">
        <f>IF(A403="","","")</f>
        <v/>
      </c>
      <c r="B404" s="197">
        <f>IF(A404="","",IFERROR(xlookup(A404,'MONTHLY ANALYSIS'!$A:$A,'MONTHLY ANALYSIS'!$L:$L),0))</f>
        <v/>
      </c>
      <c r="C404" s="204">
        <f>IF(A404="","",IFERROR(xlookup(A404,'MONTHLY ANALYSIS'!$A:$A,'MONTHLY ANALYSIS'!$L:$L),0))</f>
        <v/>
      </c>
      <c r="D404" s="205">
        <f>IF(A404="","",IFERROR(xlookup(A404,'MONTHLY ANALYSIS'!$A:$A,'MONTHLY ANALYSIS'!$M:$M),0))</f>
        <v/>
      </c>
      <c r="E404" s="190">
        <f>IF(A404="","",IF(D404&gt;0,"⚑ PAST MIDNIGHT","⚠ PAST 10PM ONLY"))</f>
        <v/>
      </c>
      <c r="F404" s="170">
        <f>IF(A404="","",IFERROR(xlookup(A404,'FLEET REGISTER'!$B:$B,'FLEET REGISTER'!$F:$F),"Unknown"))</f>
        <v/>
      </c>
      <c r="G404" s="200" t="n"/>
      <c r="H404" s="200" t="n"/>
      <c r="I404" s="200" t="n"/>
      <c r="J404" s="200" t="n"/>
      <c r="K404" s="200" t="n"/>
      <c r="L404" s="200" t="n"/>
    </row>
    <row r="405" ht="15" customHeight="1" s="122">
      <c r="A405" s="197">
        <f>IF(A404="","","")</f>
        <v/>
      </c>
      <c r="B405" s="197">
        <f>IF(A405="","",IFERROR(xlookup(A405,'MONTHLY ANALYSIS'!$A:$A,'MONTHLY ANALYSIS'!$L:$L),0))</f>
        <v/>
      </c>
      <c r="C405" s="204">
        <f>IF(A405="","",IFERROR(xlookup(A405,'MONTHLY ANALYSIS'!$A:$A,'MONTHLY ANALYSIS'!$L:$L),0))</f>
        <v/>
      </c>
      <c r="D405" s="205">
        <f>IF(A405="","",IFERROR(xlookup(A405,'MONTHLY ANALYSIS'!$A:$A,'MONTHLY ANALYSIS'!$M:$M),0))</f>
        <v/>
      </c>
      <c r="E405" s="190">
        <f>IF(A405="","",IF(D405&gt;0,"⚑ PAST MIDNIGHT","⚠ PAST 10PM ONLY"))</f>
        <v/>
      </c>
      <c r="F405" s="170">
        <f>IF(A405="","",IFERROR(xlookup(A405,'FLEET REGISTER'!$B:$B,'FLEET REGISTER'!$F:$F),"Unknown"))</f>
        <v/>
      </c>
      <c r="G405" s="200" t="n"/>
      <c r="H405" s="200" t="n"/>
      <c r="I405" s="200" t="n"/>
      <c r="J405" s="200" t="n"/>
      <c r="K405" s="200" t="n"/>
      <c r="L405" s="200" t="n"/>
    </row>
    <row r="406" ht="15" customHeight="1" s="122">
      <c r="A406" s="197">
        <f>IF(A405="","","")</f>
        <v/>
      </c>
      <c r="B406" s="197">
        <f>IF(A406="","",IFERROR(xlookup(A406,'MONTHLY ANALYSIS'!$A:$A,'MONTHLY ANALYSIS'!$L:$L),0))</f>
        <v/>
      </c>
      <c r="C406" s="204">
        <f>IF(A406="","",IFERROR(xlookup(A406,'MONTHLY ANALYSIS'!$A:$A,'MONTHLY ANALYSIS'!$L:$L),0))</f>
        <v/>
      </c>
      <c r="D406" s="205">
        <f>IF(A406="","",IFERROR(xlookup(A406,'MONTHLY ANALYSIS'!$A:$A,'MONTHLY ANALYSIS'!$M:$M),0))</f>
        <v/>
      </c>
      <c r="E406" s="190">
        <f>IF(A406="","",IF(D406&gt;0,"⚑ PAST MIDNIGHT","⚠ PAST 10PM ONLY"))</f>
        <v/>
      </c>
      <c r="F406" s="170">
        <f>IF(A406="","",IFERROR(xlookup(A406,'FLEET REGISTER'!$B:$B,'FLEET REGISTER'!$F:$F),"Unknown"))</f>
        <v/>
      </c>
      <c r="G406" s="200" t="n"/>
      <c r="H406" s="200" t="n"/>
      <c r="I406" s="200" t="n"/>
      <c r="J406" s="200" t="n"/>
      <c r="K406" s="200" t="n"/>
      <c r="L406" s="200" t="n"/>
    </row>
    <row r="407" ht="15" customHeight="1" s="122">
      <c r="A407" s="197">
        <f>IF(A406="","","")</f>
        <v/>
      </c>
      <c r="B407" s="197">
        <f>IF(A407="","",IFERROR(xlookup(A407,'MONTHLY ANALYSIS'!$A:$A,'MONTHLY ANALYSIS'!$L:$L),0))</f>
        <v/>
      </c>
      <c r="C407" s="204">
        <f>IF(A407="","",IFERROR(xlookup(A407,'MONTHLY ANALYSIS'!$A:$A,'MONTHLY ANALYSIS'!$L:$L),0))</f>
        <v/>
      </c>
      <c r="D407" s="205">
        <f>IF(A407="","",IFERROR(xlookup(A407,'MONTHLY ANALYSIS'!$A:$A,'MONTHLY ANALYSIS'!$M:$M),0))</f>
        <v/>
      </c>
      <c r="E407" s="190">
        <f>IF(A407="","",IF(D407&gt;0,"⚑ PAST MIDNIGHT","⚠ PAST 10PM ONLY"))</f>
        <v/>
      </c>
      <c r="F407" s="170">
        <f>IF(A407="","",IFERROR(xlookup(A407,'FLEET REGISTER'!$B:$B,'FLEET REGISTER'!$F:$F),"Unknown"))</f>
        <v/>
      </c>
      <c r="G407" s="200" t="n"/>
      <c r="H407" s="200" t="n"/>
      <c r="I407" s="200" t="n"/>
      <c r="J407" s="200" t="n"/>
      <c r="K407" s="200" t="n"/>
      <c r="L407" s="200" t="n"/>
    </row>
    <row r="408" ht="15" customHeight="1" s="122">
      <c r="A408" s="197">
        <f>IF(A407="","","")</f>
        <v/>
      </c>
      <c r="B408" s="197">
        <f>IF(A408="","",IFERROR(xlookup(A408,'MONTHLY ANALYSIS'!$A:$A,'MONTHLY ANALYSIS'!$L:$L),0))</f>
        <v/>
      </c>
      <c r="C408" s="204">
        <f>IF(A408="","",IFERROR(xlookup(A408,'MONTHLY ANALYSIS'!$A:$A,'MONTHLY ANALYSIS'!$L:$L),0))</f>
        <v/>
      </c>
      <c r="D408" s="205">
        <f>IF(A408="","",IFERROR(xlookup(A408,'MONTHLY ANALYSIS'!$A:$A,'MONTHLY ANALYSIS'!$M:$M),0))</f>
        <v/>
      </c>
      <c r="E408" s="190">
        <f>IF(A408="","",IF(D408&gt;0,"⚑ PAST MIDNIGHT","⚠ PAST 10PM ONLY"))</f>
        <v/>
      </c>
      <c r="F408" s="170">
        <f>IF(A408="","",IFERROR(xlookup(A408,'FLEET REGISTER'!$B:$B,'FLEET REGISTER'!$F:$F),"Unknown"))</f>
        <v/>
      </c>
      <c r="G408" s="200" t="n"/>
      <c r="H408" s="200" t="n"/>
      <c r="I408" s="200" t="n"/>
      <c r="J408" s="200" t="n"/>
      <c r="K408" s="200" t="n"/>
      <c r="L408" s="200" t="n"/>
    </row>
    <row r="409" ht="15" customHeight="1" s="122">
      <c r="A409" s="197">
        <f>IF(A408="","","")</f>
        <v/>
      </c>
      <c r="B409" s="197">
        <f>IF(A409="","",IFERROR(xlookup(A409,'MONTHLY ANALYSIS'!$A:$A,'MONTHLY ANALYSIS'!$L:$L),0))</f>
        <v/>
      </c>
      <c r="C409" s="204">
        <f>IF(A409="","",IFERROR(xlookup(A409,'MONTHLY ANALYSIS'!$A:$A,'MONTHLY ANALYSIS'!$L:$L),0))</f>
        <v/>
      </c>
      <c r="D409" s="205">
        <f>IF(A409="","",IFERROR(xlookup(A409,'MONTHLY ANALYSIS'!$A:$A,'MONTHLY ANALYSIS'!$M:$M),0))</f>
        <v/>
      </c>
      <c r="E409" s="190">
        <f>IF(A409="","",IF(D409&gt;0,"⚑ PAST MIDNIGHT","⚠ PAST 10PM ONLY"))</f>
        <v/>
      </c>
      <c r="F409" s="170">
        <f>IF(A409="","",IFERROR(xlookup(A409,'FLEET REGISTER'!$B:$B,'FLEET REGISTER'!$F:$F),"Unknown"))</f>
        <v/>
      </c>
      <c r="G409" s="200" t="n"/>
      <c r="H409" s="200" t="n"/>
      <c r="I409" s="200" t="n"/>
      <c r="J409" s="200" t="n"/>
      <c r="K409" s="200" t="n"/>
      <c r="L409" s="200" t="n"/>
    </row>
    <row r="410" ht="15" customHeight="1" s="122">
      <c r="A410" s="197">
        <f>IF(A409="","","")</f>
        <v/>
      </c>
      <c r="B410" s="197">
        <f>IF(A410="","",IFERROR(xlookup(A410,'MONTHLY ANALYSIS'!$A:$A,'MONTHLY ANALYSIS'!$L:$L),0))</f>
        <v/>
      </c>
      <c r="C410" s="204">
        <f>IF(A410="","",IFERROR(xlookup(A410,'MONTHLY ANALYSIS'!$A:$A,'MONTHLY ANALYSIS'!$L:$L),0))</f>
        <v/>
      </c>
      <c r="D410" s="205">
        <f>IF(A410="","",IFERROR(xlookup(A410,'MONTHLY ANALYSIS'!$A:$A,'MONTHLY ANALYSIS'!$M:$M),0))</f>
        <v/>
      </c>
      <c r="E410" s="190">
        <f>IF(A410="","",IF(D410&gt;0,"⚑ PAST MIDNIGHT","⚠ PAST 10PM ONLY"))</f>
        <v/>
      </c>
      <c r="F410" s="170">
        <f>IF(A410="","",IFERROR(xlookup(A410,'FLEET REGISTER'!$B:$B,'FLEET REGISTER'!$F:$F),"Unknown"))</f>
        <v/>
      </c>
      <c r="G410" s="200" t="n"/>
      <c r="H410" s="200" t="n"/>
      <c r="I410" s="200" t="n"/>
      <c r="J410" s="200" t="n"/>
      <c r="K410" s="200" t="n"/>
      <c r="L410" s="200" t="n"/>
    </row>
    <row r="411" ht="15" customHeight="1" s="122">
      <c r="A411" s="197">
        <f>IF(A410="","","")</f>
        <v/>
      </c>
      <c r="B411" s="197">
        <f>IF(A411="","",IFERROR(xlookup(A411,'MONTHLY ANALYSIS'!$A:$A,'MONTHLY ANALYSIS'!$L:$L),0))</f>
        <v/>
      </c>
      <c r="C411" s="204">
        <f>IF(A411="","",IFERROR(xlookup(A411,'MONTHLY ANALYSIS'!$A:$A,'MONTHLY ANALYSIS'!$L:$L),0))</f>
        <v/>
      </c>
      <c r="D411" s="205">
        <f>IF(A411="","",IFERROR(xlookup(A411,'MONTHLY ANALYSIS'!$A:$A,'MONTHLY ANALYSIS'!$M:$M),0))</f>
        <v/>
      </c>
      <c r="E411" s="190">
        <f>IF(A411="","",IF(D411&gt;0,"⚑ PAST MIDNIGHT","⚠ PAST 10PM ONLY"))</f>
        <v/>
      </c>
      <c r="F411" s="170">
        <f>IF(A411="","",IFERROR(xlookup(A411,'FLEET REGISTER'!$B:$B,'FLEET REGISTER'!$F:$F),"Unknown"))</f>
        <v/>
      </c>
      <c r="G411" s="200" t="n"/>
      <c r="H411" s="200" t="n"/>
      <c r="I411" s="200" t="n"/>
      <c r="J411" s="200" t="n"/>
      <c r="K411" s="200" t="n"/>
      <c r="L411" s="200" t="n"/>
    </row>
    <row r="412" ht="15" customHeight="1" s="122">
      <c r="A412" s="197">
        <f>IF(A411="","","")</f>
        <v/>
      </c>
      <c r="B412" s="197">
        <f>IF(A412="","",IFERROR(xlookup(A412,'MONTHLY ANALYSIS'!$A:$A,'MONTHLY ANALYSIS'!$L:$L),0))</f>
        <v/>
      </c>
      <c r="C412" s="204">
        <f>IF(A412="","",IFERROR(xlookup(A412,'MONTHLY ANALYSIS'!$A:$A,'MONTHLY ANALYSIS'!$L:$L),0))</f>
        <v/>
      </c>
      <c r="D412" s="205">
        <f>IF(A412="","",IFERROR(xlookup(A412,'MONTHLY ANALYSIS'!$A:$A,'MONTHLY ANALYSIS'!$M:$M),0))</f>
        <v/>
      </c>
      <c r="E412" s="190">
        <f>IF(A412="","",IF(D412&gt;0,"⚑ PAST MIDNIGHT","⚠ PAST 10PM ONLY"))</f>
        <v/>
      </c>
      <c r="F412" s="170">
        <f>IF(A412="","",IFERROR(xlookup(A412,'FLEET REGISTER'!$B:$B,'FLEET REGISTER'!$F:$F),"Unknown"))</f>
        <v/>
      </c>
      <c r="G412" s="200" t="n"/>
      <c r="H412" s="200" t="n"/>
      <c r="I412" s="200" t="n"/>
      <c r="J412" s="200" t="n"/>
      <c r="K412" s="200" t="n"/>
      <c r="L412" s="200" t="n"/>
    </row>
    <row r="413" ht="15" customHeight="1" s="122">
      <c r="A413" s="197">
        <f>IF(A412="","","")</f>
        <v/>
      </c>
      <c r="B413" s="197">
        <f>IF(A413="","",IFERROR(xlookup(A413,'MONTHLY ANALYSIS'!$A:$A,'MONTHLY ANALYSIS'!$L:$L),0))</f>
        <v/>
      </c>
      <c r="C413" s="204">
        <f>IF(A413="","",IFERROR(xlookup(A413,'MONTHLY ANALYSIS'!$A:$A,'MONTHLY ANALYSIS'!$L:$L),0))</f>
        <v/>
      </c>
      <c r="D413" s="205">
        <f>IF(A413="","",IFERROR(xlookup(A413,'MONTHLY ANALYSIS'!$A:$A,'MONTHLY ANALYSIS'!$M:$M),0))</f>
        <v/>
      </c>
      <c r="E413" s="190">
        <f>IF(A413="","",IF(D413&gt;0,"⚑ PAST MIDNIGHT","⚠ PAST 10PM ONLY"))</f>
        <v/>
      </c>
      <c r="F413" s="170">
        <f>IF(A413="","",IFERROR(xlookup(A413,'FLEET REGISTER'!$B:$B,'FLEET REGISTER'!$F:$F),"Unknown"))</f>
        <v/>
      </c>
      <c r="G413" s="200" t="n"/>
      <c r="H413" s="200" t="n"/>
      <c r="I413" s="200" t="n"/>
      <c r="J413" s="200" t="n"/>
      <c r="K413" s="200" t="n"/>
      <c r="L413" s="200" t="n"/>
    </row>
    <row r="414" ht="15" customHeight="1" s="122">
      <c r="A414" s="197">
        <f>IF(A413="","","")</f>
        <v/>
      </c>
      <c r="B414" s="197">
        <f>IF(A414="","",IFERROR(xlookup(A414,'MONTHLY ANALYSIS'!$A:$A,'MONTHLY ANALYSIS'!$L:$L),0))</f>
        <v/>
      </c>
      <c r="C414" s="204">
        <f>IF(A414="","",IFERROR(xlookup(A414,'MONTHLY ANALYSIS'!$A:$A,'MONTHLY ANALYSIS'!$L:$L),0))</f>
        <v/>
      </c>
      <c r="D414" s="205">
        <f>IF(A414="","",IFERROR(xlookup(A414,'MONTHLY ANALYSIS'!$A:$A,'MONTHLY ANALYSIS'!$M:$M),0))</f>
        <v/>
      </c>
      <c r="E414" s="190">
        <f>IF(A414="","",IF(D414&gt;0,"⚑ PAST MIDNIGHT","⚠ PAST 10PM ONLY"))</f>
        <v/>
      </c>
      <c r="F414" s="170">
        <f>IF(A414="","",IFERROR(xlookup(A414,'FLEET REGISTER'!$B:$B,'FLEET REGISTER'!$F:$F),"Unknown"))</f>
        <v/>
      </c>
      <c r="G414" s="200" t="n"/>
      <c r="H414" s="200" t="n"/>
      <c r="I414" s="200" t="n"/>
      <c r="J414" s="200" t="n"/>
      <c r="K414" s="200" t="n"/>
      <c r="L414" s="200" t="n"/>
    </row>
    <row r="415" ht="15" customHeight="1" s="122">
      <c r="A415" s="197">
        <f>IF(A414="","","")</f>
        <v/>
      </c>
      <c r="B415" s="197">
        <f>IF(A415="","",IFERROR(xlookup(A415,'MONTHLY ANALYSIS'!$A:$A,'MONTHLY ANALYSIS'!$L:$L),0))</f>
        <v/>
      </c>
      <c r="C415" s="204">
        <f>IF(A415="","",IFERROR(xlookup(A415,'MONTHLY ANALYSIS'!$A:$A,'MONTHLY ANALYSIS'!$L:$L),0))</f>
        <v/>
      </c>
      <c r="D415" s="205">
        <f>IF(A415="","",IFERROR(xlookup(A415,'MONTHLY ANALYSIS'!$A:$A,'MONTHLY ANALYSIS'!$M:$M),0))</f>
        <v/>
      </c>
      <c r="E415" s="190">
        <f>IF(A415="","",IF(D415&gt;0,"⚑ PAST MIDNIGHT","⚠ PAST 10PM ONLY"))</f>
        <v/>
      </c>
      <c r="F415" s="170">
        <f>IF(A415="","",IFERROR(xlookup(A415,'FLEET REGISTER'!$B:$B,'FLEET REGISTER'!$F:$F),"Unknown"))</f>
        <v/>
      </c>
      <c r="G415" s="200" t="n"/>
      <c r="H415" s="200" t="n"/>
      <c r="I415" s="200" t="n"/>
      <c r="J415" s="200" t="n"/>
      <c r="K415" s="200" t="n"/>
      <c r="L415" s="200" t="n"/>
    </row>
    <row r="416" ht="15" customHeight="1" s="122">
      <c r="A416" s="197">
        <f>IF(A415="","","")</f>
        <v/>
      </c>
      <c r="B416" s="197">
        <f>IF(A416="","",IFERROR(xlookup(A416,'MONTHLY ANALYSIS'!$A:$A,'MONTHLY ANALYSIS'!$L:$L),0))</f>
        <v/>
      </c>
      <c r="C416" s="204">
        <f>IF(A416="","",IFERROR(xlookup(A416,'MONTHLY ANALYSIS'!$A:$A,'MONTHLY ANALYSIS'!$L:$L),0))</f>
        <v/>
      </c>
      <c r="D416" s="205">
        <f>IF(A416="","",IFERROR(xlookup(A416,'MONTHLY ANALYSIS'!$A:$A,'MONTHLY ANALYSIS'!$M:$M),0))</f>
        <v/>
      </c>
      <c r="E416" s="190">
        <f>IF(A416="","",IF(D416&gt;0,"⚑ PAST MIDNIGHT","⚠ PAST 10PM ONLY"))</f>
        <v/>
      </c>
      <c r="F416" s="170">
        <f>IF(A416="","",IFERROR(xlookup(A416,'FLEET REGISTER'!$B:$B,'FLEET REGISTER'!$F:$F),"Unknown"))</f>
        <v/>
      </c>
      <c r="G416" s="200" t="n"/>
      <c r="H416" s="200" t="n"/>
      <c r="I416" s="200" t="n"/>
      <c r="J416" s="200" t="n"/>
      <c r="K416" s="200" t="n"/>
      <c r="L416" s="200" t="n"/>
    </row>
    <row r="417" ht="15" customHeight="1" s="122">
      <c r="A417" s="197">
        <f>IF(A416="","","")</f>
        <v/>
      </c>
      <c r="B417" s="197">
        <f>IF(A417="","",IFERROR(xlookup(A417,'MONTHLY ANALYSIS'!$A:$A,'MONTHLY ANALYSIS'!$L:$L),0))</f>
        <v/>
      </c>
      <c r="C417" s="204">
        <f>IF(A417="","",IFERROR(xlookup(A417,'MONTHLY ANALYSIS'!$A:$A,'MONTHLY ANALYSIS'!$L:$L),0))</f>
        <v/>
      </c>
      <c r="D417" s="205">
        <f>IF(A417="","",IFERROR(xlookup(A417,'MONTHLY ANALYSIS'!$A:$A,'MONTHLY ANALYSIS'!$M:$M),0))</f>
        <v/>
      </c>
      <c r="E417" s="190">
        <f>IF(A417="","",IF(D417&gt;0,"⚑ PAST MIDNIGHT","⚠ PAST 10PM ONLY"))</f>
        <v/>
      </c>
      <c r="F417" s="170">
        <f>IF(A417="","",IFERROR(xlookup(A417,'FLEET REGISTER'!$B:$B,'FLEET REGISTER'!$F:$F),"Unknown"))</f>
        <v/>
      </c>
      <c r="G417" s="200" t="n"/>
      <c r="H417" s="200" t="n"/>
      <c r="I417" s="200" t="n"/>
      <c r="J417" s="200" t="n"/>
      <c r="K417" s="200" t="n"/>
      <c r="L417" s="200" t="n"/>
    </row>
    <row r="418" ht="15" customHeight="1" s="122">
      <c r="A418" s="197">
        <f>IF(A417="","","")</f>
        <v/>
      </c>
      <c r="B418" s="197">
        <f>IF(A418="","",IFERROR(xlookup(A418,'MONTHLY ANALYSIS'!$A:$A,'MONTHLY ANALYSIS'!$L:$L),0))</f>
        <v/>
      </c>
      <c r="C418" s="204">
        <f>IF(A418="","",IFERROR(xlookup(A418,'MONTHLY ANALYSIS'!$A:$A,'MONTHLY ANALYSIS'!$L:$L),0))</f>
        <v/>
      </c>
      <c r="D418" s="205">
        <f>IF(A418="","",IFERROR(xlookup(A418,'MONTHLY ANALYSIS'!$A:$A,'MONTHLY ANALYSIS'!$M:$M),0))</f>
        <v/>
      </c>
      <c r="E418" s="190">
        <f>IF(A418="","",IF(D418&gt;0,"⚑ PAST MIDNIGHT","⚠ PAST 10PM ONLY"))</f>
        <v/>
      </c>
      <c r="F418" s="170">
        <f>IF(A418="","",IFERROR(xlookup(A418,'FLEET REGISTER'!$B:$B,'FLEET REGISTER'!$F:$F),"Unknown"))</f>
        <v/>
      </c>
      <c r="G418" s="200" t="n"/>
      <c r="H418" s="200" t="n"/>
      <c r="I418" s="200" t="n"/>
      <c r="J418" s="200" t="n"/>
      <c r="K418" s="200" t="n"/>
      <c r="L418" s="200" t="n"/>
    </row>
    <row r="419" ht="15" customHeight="1" s="122">
      <c r="A419" s="197">
        <f>IF(A418="","","")</f>
        <v/>
      </c>
      <c r="B419" s="197">
        <f>IF(A419="","",IFERROR(xlookup(A419,'MONTHLY ANALYSIS'!$A:$A,'MONTHLY ANALYSIS'!$L:$L),0))</f>
        <v/>
      </c>
      <c r="C419" s="204">
        <f>IF(A419="","",IFERROR(xlookup(A419,'MONTHLY ANALYSIS'!$A:$A,'MONTHLY ANALYSIS'!$L:$L),0))</f>
        <v/>
      </c>
      <c r="D419" s="205">
        <f>IF(A419="","",IFERROR(xlookup(A419,'MONTHLY ANALYSIS'!$A:$A,'MONTHLY ANALYSIS'!$M:$M),0))</f>
        <v/>
      </c>
      <c r="E419" s="190">
        <f>IF(A419="","",IF(D419&gt;0,"⚑ PAST MIDNIGHT","⚠ PAST 10PM ONLY"))</f>
        <v/>
      </c>
      <c r="F419" s="170">
        <f>IF(A419="","",IFERROR(xlookup(A419,'FLEET REGISTER'!$B:$B,'FLEET REGISTER'!$F:$F),"Unknown"))</f>
        <v/>
      </c>
      <c r="G419" s="200" t="n"/>
      <c r="H419" s="200" t="n"/>
      <c r="I419" s="200" t="n"/>
      <c r="J419" s="200" t="n"/>
      <c r="K419" s="200" t="n"/>
      <c r="L419" s="200" t="n"/>
    </row>
    <row r="420" ht="15" customHeight="1" s="122">
      <c r="A420" s="197">
        <f>IF(A419="","","")</f>
        <v/>
      </c>
      <c r="B420" s="197">
        <f>IF(A420="","",IFERROR(xlookup(A420,'MONTHLY ANALYSIS'!$A:$A,'MONTHLY ANALYSIS'!$L:$L),0))</f>
        <v/>
      </c>
      <c r="C420" s="204">
        <f>IF(A420="","",IFERROR(xlookup(A420,'MONTHLY ANALYSIS'!$A:$A,'MONTHLY ANALYSIS'!$L:$L),0))</f>
        <v/>
      </c>
      <c r="D420" s="205">
        <f>IF(A420="","",IFERROR(xlookup(A420,'MONTHLY ANALYSIS'!$A:$A,'MONTHLY ANALYSIS'!$M:$M),0))</f>
        <v/>
      </c>
      <c r="E420" s="190">
        <f>IF(A420="","",IF(D420&gt;0,"⚑ PAST MIDNIGHT","⚠ PAST 10PM ONLY"))</f>
        <v/>
      </c>
      <c r="F420" s="170">
        <f>IF(A420="","",IFERROR(xlookup(A420,'FLEET REGISTER'!$B:$B,'FLEET REGISTER'!$F:$F),"Unknown"))</f>
        <v/>
      </c>
      <c r="G420" s="200" t="n"/>
      <c r="H420" s="200" t="n"/>
      <c r="I420" s="200" t="n"/>
      <c r="J420" s="200" t="n"/>
      <c r="K420" s="200" t="n"/>
      <c r="L420" s="200" t="n"/>
    </row>
    <row r="421" ht="15" customHeight="1" s="122">
      <c r="A421" s="197">
        <f>IF(A420="","","")</f>
        <v/>
      </c>
      <c r="B421" s="197">
        <f>IF(A421="","",IFERROR(xlookup(A421,'MONTHLY ANALYSIS'!$A:$A,'MONTHLY ANALYSIS'!$L:$L),0))</f>
        <v/>
      </c>
      <c r="C421" s="204">
        <f>IF(A421="","",IFERROR(xlookup(A421,'MONTHLY ANALYSIS'!$A:$A,'MONTHLY ANALYSIS'!$L:$L),0))</f>
        <v/>
      </c>
      <c r="D421" s="205">
        <f>IF(A421="","",IFERROR(xlookup(A421,'MONTHLY ANALYSIS'!$A:$A,'MONTHLY ANALYSIS'!$M:$M),0))</f>
        <v/>
      </c>
      <c r="E421" s="190">
        <f>IF(A421="","",IF(D421&gt;0,"⚑ PAST MIDNIGHT","⚠ PAST 10PM ONLY"))</f>
        <v/>
      </c>
      <c r="F421" s="170">
        <f>IF(A421="","",IFERROR(xlookup(A421,'FLEET REGISTER'!$B:$B,'FLEET REGISTER'!$F:$F),"Unknown"))</f>
        <v/>
      </c>
      <c r="G421" s="200" t="n"/>
      <c r="H421" s="200" t="n"/>
      <c r="I421" s="200" t="n"/>
      <c r="J421" s="200" t="n"/>
      <c r="K421" s="200" t="n"/>
      <c r="L421" s="200" t="n"/>
    </row>
    <row r="422" ht="15" customHeight="1" s="122">
      <c r="A422" s="197">
        <f>IF(A421="","","")</f>
        <v/>
      </c>
      <c r="B422" s="197">
        <f>IF(A422="","",IFERROR(xlookup(A422,'MONTHLY ANALYSIS'!$A:$A,'MONTHLY ANALYSIS'!$L:$L),0))</f>
        <v/>
      </c>
      <c r="C422" s="204">
        <f>IF(A422="","",IFERROR(xlookup(A422,'MONTHLY ANALYSIS'!$A:$A,'MONTHLY ANALYSIS'!$L:$L),0))</f>
        <v/>
      </c>
      <c r="D422" s="205">
        <f>IF(A422="","",IFERROR(xlookup(A422,'MONTHLY ANALYSIS'!$A:$A,'MONTHLY ANALYSIS'!$M:$M),0))</f>
        <v/>
      </c>
      <c r="E422" s="190">
        <f>IF(A422="","",IF(D422&gt;0,"⚑ PAST MIDNIGHT","⚠ PAST 10PM ONLY"))</f>
        <v/>
      </c>
      <c r="F422" s="170">
        <f>IF(A422="","",IFERROR(xlookup(A422,'FLEET REGISTER'!$B:$B,'FLEET REGISTER'!$F:$F),"Unknown"))</f>
        <v/>
      </c>
      <c r="G422" s="200" t="n"/>
      <c r="H422" s="200" t="n"/>
      <c r="I422" s="200" t="n"/>
      <c r="J422" s="200" t="n"/>
      <c r="K422" s="200" t="n"/>
      <c r="L422" s="200" t="n"/>
    </row>
    <row r="423" ht="15" customHeight="1" s="122">
      <c r="A423" s="197">
        <f>IF(A422="","","")</f>
        <v/>
      </c>
      <c r="B423" s="197">
        <f>IF(A423="","",IFERROR(xlookup(A423,'MONTHLY ANALYSIS'!$A:$A,'MONTHLY ANALYSIS'!$L:$L),0))</f>
        <v/>
      </c>
      <c r="C423" s="204">
        <f>IF(A423="","",IFERROR(xlookup(A423,'MONTHLY ANALYSIS'!$A:$A,'MONTHLY ANALYSIS'!$L:$L),0))</f>
        <v/>
      </c>
      <c r="D423" s="205">
        <f>IF(A423="","",IFERROR(xlookup(A423,'MONTHLY ANALYSIS'!$A:$A,'MONTHLY ANALYSIS'!$M:$M),0))</f>
        <v/>
      </c>
      <c r="E423" s="190">
        <f>IF(A423="","",IF(D423&gt;0,"⚑ PAST MIDNIGHT","⚠ PAST 10PM ONLY"))</f>
        <v/>
      </c>
      <c r="F423" s="170">
        <f>IF(A423="","",IFERROR(xlookup(A423,'FLEET REGISTER'!$B:$B,'FLEET REGISTER'!$F:$F),"Unknown"))</f>
        <v/>
      </c>
      <c r="G423" s="200" t="n"/>
      <c r="H423" s="200" t="n"/>
      <c r="I423" s="200" t="n"/>
      <c r="J423" s="200" t="n"/>
      <c r="K423" s="200" t="n"/>
      <c r="L423" s="200" t="n"/>
    </row>
    <row r="424" ht="15" customHeight="1" s="122">
      <c r="A424" s="197">
        <f>IF(A423="","","")</f>
        <v/>
      </c>
      <c r="B424" s="197">
        <f>IF(A424="","",IFERROR(xlookup(A424,'MONTHLY ANALYSIS'!$A:$A,'MONTHLY ANALYSIS'!$L:$L),0))</f>
        <v/>
      </c>
      <c r="C424" s="204">
        <f>IF(A424="","",IFERROR(xlookup(A424,'MONTHLY ANALYSIS'!$A:$A,'MONTHLY ANALYSIS'!$L:$L),0))</f>
        <v/>
      </c>
      <c r="D424" s="205">
        <f>IF(A424="","",IFERROR(xlookup(A424,'MONTHLY ANALYSIS'!$A:$A,'MONTHLY ANALYSIS'!$M:$M),0))</f>
        <v/>
      </c>
      <c r="E424" s="190">
        <f>IF(A424="","",IF(D424&gt;0,"⚑ PAST MIDNIGHT","⚠ PAST 10PM ONLY"))</f>
        <v/>
      </c>
      <c r="F424" s="170">
        <f>IF(A424="","",IFERROR(xlookup(A424,'FLEET REGISTER'!$B:$B,'FLEET REGISTER'!$F:$F),"Unknown"))</f>
        <v/>
      </c>
      <c r="G424" s="200" t="n"/>
      <c r="H424" s="200" t="n"/>
      <c r="I424" s="200" t="n"/>
      <c r="J424" s="200" t="n"/>
      <c r="K424" s="200" t="n"/>
      <c r="L424" s="200" t="n"/>
    </row>
    <row r="425" ht="15" customHeight="1" s="122">
      <c r="A425" s="197">
        <f>IF(A424="","","")</f>
        <v/>
      </c>
      <c r="B425" s="197">
        <f>IF(A425="","",IFERROR(xlookup(A425,'MONTHLY ANALYSIS'!$A:$A,'MONTHLY ANALYSIS'!$L:$L),0))</f>
        <v/>
      </c>
      <c r="C425" s="204">
        <f>IF(A425="","",IFERROR(xlookup(A425,'MONTHLY ANALYSIS'!$A:$A,'MONTHLY ANALYSIS'!$L:$L),0))</f>
        <v/>
      </c>
      <c r="D425" s="205">
        <f>IF(A425="","",IFERROR(xlookup(A425,'MONTHLY ANALYSIS'!$A:$A,'MONTHLY ANALYSIS'!$M:$M),0))</f>
        <v/>
      </c>
      <c r="E425" s="190">
        <f>IF(A425="","",IF(D425&gt;0,"⚑ PAST MIDNIGHT","⚠ PAST 10PM ONLY"))</f>
        <v/>
      </c>
      <c r="F425" s="170">
        <f>IF(A425="","",IFERROR(xlookup(A425,'FLEET REGISTER'!$B:$B,'FLEET REGISTER'!$F:$F),"Unknown"))</f>
        <v/>
      </c>
      <c r="G425" s="200" t="n"/>
      <c r="H425" s="200" t="n"/>
      <c r="I425" s="200" t="n"/>
      <c r="J425" s="200" t="n"/>
      <c r="K425" s="200" t="n"/>
      <c r="L425" s="200" t="n"/>
    </row>
    <row r="426" ht="15" customHeight="1" s="122">
      <c r="A426" s="197">
        <f>IF(A425="","","")</f>
        <v/>
      </c>
      <c r="B426" s="197">
        <f>IF(A426="","",IFERROR(xlookup(A426,'MONTHLY ANALYSIS'!$A:$A,'MONTHLY ANALYSIS'!$L:$L),0))</f>
        <v/>
      </c>
      <c r="C426" s="204">
        <f>IF(A426="","",IFERROR(xlookup(A426,'MONTHLY ANALYSIS'!$A:$A,'MONTHLY ANALYSIS'!$L:$L),0))</f>
        <v/>
      </c>
      <c r="D426" s="205">
        <f>IF(A426="","",IFERROR(xlookup(A426,'MONTHLY ANALYSIS'!$A:$A,'MONTHLY ANALYSIS'!$M:$M),0))</f>
        <v/>
      </c>
      <c r="E426" s="190">
        <f>IF(A426="","",IF(D426&gt;0,"⚑ PAST MIDNIGHT","⚠ PAST 10PM ONLY"))</f>
        <v/>
      </c>
      <c r="F426" s="170">
        <f>IF(A426="","",IFERROR(xlookup(A426,'FLEET REGISTER'!$B:$B,'FLEET REGISTER'!$F:$F),"Unknown"))</f>
        <v/>
      </c>
      <c r="G426" s="200" t="n"/>
      <c r="H426" s="200" t="n"/>
      <c r="I426" s="200" t="n"/>
      <c r="J426" s="200" t="n"/>
      <c r="K426" s="200" t="n"/>
      <c r="L426" s="200" t="n"/>
    </row>
    <row r="427" ht="15" customHeight="1" s="122">
      <c r="A427" s="197">
        <f>IF(A426="","","")</f>
        <v/>
      </c>
      <c r="B427" s="197">
        <f>IF(A427="","",IFERROR(xlookup(A427,'MONTHLY ANALYSIS'!$A:$A,'MONTHLY ANALYSIS'!$L:$L),0))</f>
        <v/>
      </c>
      <c r="C427" s="204">
        <f>IF(A427="","",IFERROR(xlookup(A427,'MONTHLY ANALYSIS'!$A:$A,'MONTHLY ANALYSIS'!$L:$L),0))</f>
        <v/>
      </c>
      <c r="D427" s="205">
        <f>IF(A427="","",IFERROR(xlookup(A427,'MONTHLY ANALYSIS'!$A:$A,'MONTHLY ANALYSIS'!$M:$M),0))</f>
        <v/>
      </c>
      <c r="E427" s="190">
        <f>IF(A427="","",IF(D427&gt;0,"⚑ PAST MIDNIGHT","⚠ PAST 10PM ONLY"))</f>
        <v/>
      </c>
      <c r="F427" s="170">
        <f>IF(A427="","",IFERROR(xlookup(A427,'FLEET REGISTER'!$B:$B,'FLEET REGISTER'!$F:$F),"Unknown"))</f>
        <v/>
      </c>
      <c r="G427" s="200" t="n"/>
      <c r="H427" s="200" t="n"/>
      <c r="I427" s="200" t="n"/>
      <c r="J427" s="200" t="n"/>
      <c r="K427" s="200" t="n"/>
      <c r="L427" s="200" t="n"/>
    </row>
    <row r="428" ht="15" customHeight="1" s="122">
      <c r="A428" s="197">
        <f>IF(A427="","","")</f>
        <v/>
      </c>
      <c r="B428" s="197">
        <f>IF(A428="","",IFERROR(xlookup(A428,'MONTHLY ANALYSIS'!$A:$A,'MONTHLY ANALYSIS'!$L:$L),0))</f>
        <v/>
      </c>
      <c r="C428" s="204">
        <f>IF(A428="","",IFERROR(xlookup(A428,'MONTHLY ANALYSIS'!$A:$A,'MONTHLY ANALYSIS'!$L:$L),0))</f>
        <v/>
      </c>
      <c r="D428" s="205">
        <f>IF(A428="","",IFERROR(xlookup(A428,'MONTHLY ANALYSIS'!$A:$A,'MONTHLY ANALYSIS'!$M:$M),0))</f>
        <v/>
      </c>
      <c r="E428" s="190">
        <f>IF(A428="","",IF(D428&gt;0,"⚑ PAST MIDNIGHT","⚠ PAST 10PM ONLY"))</f>
        <v/>
      </c>
      <c r="F428" s="170">
        <f>IF(A428="","",IFERROR(xlookup(A428,'FLEET REGISTER'!$B:$B,'FLEET REGISTER'!$F:$F),"Unknown"))</f>
        <v/>
      </c>
      <c r="G428" s="200" t="n"/>
      <c r="H428" s="200" t="n"/>
      <c r="I428" s="200" t="n"/>
      <c r="J428" s="200" t="n"/>
      <c r="K428" s="200" t="n"/>
      <c r="L428" s="200" t="n"/>
    </row>
    <row r="429" ht="15" customHeight="1" s="122">
      <c r="A429" s="197">
        <f>IF(A428="","","")</f>
        <v/>
      </c>
      <c r="B429" s="197">
        <f>IF(A429="","",IFERROR(xlookup(A429,'MONTHLY ANALYSIS'!$A:$A,'MONTHLY ANALYSIS'!$L:$L),0))</f>
        <v/>
      </c>
      <c r="C429" s="204">
        <f>IF(A429="","",IFERROR(xlookup(A429,'MONTHLY ANALYSIS'!$A:$A,'MONTHLY ANALYSIS'!$L:$L),0))</f>
        <v/>
      </c>
      <c r="D429" s="205">
        <f>IF(A429="","",IFERROR(xlookup(A429,'MONTHLY ANALYSIS'!$A:$A,'MONTHLY ANALYSIS'!$M:$M),0))</f>
        <v/>
      </c>
      <c r="E429" s="190">
        <f>IF(A429="","",IF(D429&gt;0,"⚑ PAST MIDNIGHT","⚠ PAST 10PM ONLY"))</f>
        <v/>
      </c>
      <c r="F429" s="170">
        <f>IF(A429="","",IFERROR(xlookup(A429,'FLEET REGISTER'!$B:$B,'FLEET REGISTER'!$F:$F),"Unknown"))</f>
        <v/>
      </c>
      <c r="G429" s="200" t="n"/>
      <c r="H429" s="200" t="n"/>
      <c r="I429" s="200" t="n"/>
      <c r="J429" s="200" t="n"/>
      <c r="K429" s="200" t="n"/>
      <c r="L429" s="200" t="n"/>
    </row>
    <row r="430" ht="15" customHeight="1" s="122">
      <c r="A430" s="197">
        <f>IF(A429="","","")</f>
        <v/>
      </c>
      <c r="B430" s="197">
        <f>IF(A430="","",IFERROR(xlookup(A430,'MONTHLY ANALYSIS'!$A:$A,'MONTHLY ANALYSIS'!$L:$L),0))</f>
        <v/>
      </c>
      <c r="C430" s="204">
        <f>IF(A430="","",IFERROR(xlookup(A430,'MONTHLY ANALYSIS'!$A:$A,'MONTHLY ANALYSIS'!$L:$L),0))</f>
        <v/>
      </c>
      <c r="D430" s="205">
        <f>IF(A430="","",IFERROR(xlookup(A430,'MONTHLY ANALYSIS'!$A:$A,'MONTHLY ANALYSIS'!$M:$M),0))</f>
        <v/>
      </c>
      <c r="E430" s="190">
        <f>IF(A430="","",IF(D430&gt;0,"⚑ PAST MIDNIGHT","⚠ PAST 10PM ONLY"))</f>
        <v/>
      </c>
      <c r="F430" s="170">
        <f>IF(A430="","",IFERROR(xlookup(A430,'FLEET REGISTER'!$B:$B,'FLEET REGISTER'!$F:$F),"Unknown"))</f>
        <v/>
      </c>
      <c r="G430" s="200" t="n"/>
      <c r="H430" s="200" t="n"/>
      <c r="I430" s="200" t="n"/>
      <c r="J430" s="200" t="n"/>
      <c r="K430" s="200" t="n"/>
      <c r="L430" s="200" t="n"/>
    </row>
    <row r="431" ht="15" customHeight="1" s="122">
      <c r="A431" s="197">
        <f>IF(A430="","","")</f>
        <v/>
      </c>
      <c r="B431" s="197">
        <f>IF(A431="","",IFERROR(xlookup(A431,'MONTHLY ANALYSIS'!$A:$A,'MONTHLY ANALYSIS'!$L:$L),0))</f>
        <v/>
      </c>
      <c r="C431" s="204">
        <f>IF(A431="","",IFERROR(xlookup(A431,'MONTHLY ANALYSIS'!$A:$A,'MONTHLY ANALYSIS'!$L:$L),0))</f>
        <v/>
      </c>
      <c r="D431" s="205">
        <f>IF(A431="","",IFERROR(xlookup(A431,'MONTHLY ANALYSIS'!$A:$A,'MONTHLY ANALYSIS'!$M:$M),0))</f>
        <v/>
      </c>
      <c r="E431" s="190">
        <f>IF(A431="","",IF(D431&gt;0,"⚑ PAST MIDNIGHT","⚠ PAST 10PM ONLY"))</f>
        <v/>
      </c>
      <c r="F431" s="170">
        <f>IF(A431="","",IFERROR(xlookup(A431,'FLEET REGISTER'!$B:$B,'FLEET REGISTER'!$F:$F),"Unknown"))</f>
        <v/>
      </c>
      <c r="G431" s="200" t="n"/>
      <c r="H431" s="200" t="n"/>
      <c r="I431" s="200" t="n"/>
      <c r="J431" s="200" t="n"/>
      <c r="K431" s="200" t="n"/>
      <c r="L431" s="200" t="n"/>
    </row>
    <row r="432" ht="15" customHeight="1" s="122">
      <c r="A432" s="197">
        <f>IF(A431="","","")</f>
        <v/>
      </c>
      <c r="B432" s="197">
        <f>IF(A432="","",IFERROR(xlookup(A432,'MONTHLY ANALYSIS'!$A:$A,'MONTHLY ANALYSIS'!$L:$L),0))</f>
        <v/>
      </c>
      <c r="C432" s="204">
        <f>IF(A432="","",IFERROR(xlookup(A432,'MONTHLY ANALYSIS'!$A:$A,'MONTHLY ANALYSIS'!$L:$L),0))</f>
        <v/>
      </c>
      <c r="D432" s="205">
        <f>IF(A432="","",IFERROR(xlookup(A432,'MONTHLY ANALYSIS'!$A:$A,'MONTHLY ANALYSIS'!$M:$M),0))</f>
        <v/>
      </c>
      <c r="E432" s="190">
        <f>IF(A432="","",IF(D432&gt;0,"⚑ PAST MIDNIGHT","⚠ PAST 10PM ONLY"))</f>
        <v/>
      </c>
      <c r="F432" s="170">
        <f>IF(A432="","",IFERROR(xlookup(A432,'FLEET REGISTER'!$B:$B,'FLEET REGISTER'!$F:$F),"Unknown"))</f>
        <v/>
      </c>
      <c r="G432" s="200" t="n"/>
      <c r="H432" s="200" t="n"/>
      <c r="I432" s="200" t="n"/>
      <c r="J432" s="200" t="n"/>
      <c r="K432" s="200" t="n"/>
      <c r="L432" s="200" t="n"/>
    </row>
    <row r="433" ht="15" customHeight="1" s="122">
      <c r="A433" s="197">
        <f>IF(A432="","","")</f>
        <v/>
      </c>
      <c r="B433" s="197">
        <f>IF(A433="","",IFERROR(xlookup(A433,'MONTHLY ANALYSIS'!$A:$A,'MONTHLY ANALYSIS'!$L:$L),0))</f>
        <v/>
      </c>
      <c r="C433" s="204">
        <f>IF(A433="","",IFERROR(xlookup(A433,'MONTHLY ANALYSIS'!$A:$A,'MONTHLY ANALYSIS'!$L:$L),0))</f>
        <v/>
      </c>
      <c r="D433" s="205">
        <f>IF(A433="","",IFERROR(xlookup(A433,'MONTHLY ANALYSIS'!$A:$A,'MONTHLY ANALYSIS'!$M:$M),0))</f>
        <v/>
      </c>
      <c r="E433" s="190">
        <f>IF(A433="","",IF(D433&gt;0,"⚑ PAST MIDNIGHT","⚠ PAST 10PM ONLY"))</f>
        <v/>
      </c>
      <c r="F433" s="170">
        <f>IF(A433="","",IFERROR(xlookup(A433,'FLEET REGISTER'!$B:$B,'FLEET REGISTER'!$F:$F),"Unknown"))</f>
        <v/>
      </c>
      <c r="G433" s="200" t="n"/>
      <c r="H433" s="200" t="n"/>
      <c r="I433" s="200" t="n"/>
      <c r="J433" s="200" t="n"/>
      <c r="K433" s="200" t="n"/>
      <c r="L433" s="200" t="n"/>
    </row>
    <row r="434" ht="15" customHeight="1" s="122">
      <c r="A434" s="197">
        <f>IF(A433="","","")</f>
        <v/>
      </c>
      <c r="B434" s="197">
        <f>IF(A434="","",IFERROR(xlookup(A434,'MONTHLY ANALYSIS'!$A:$A,'MONTHLY ANALYSIS'!$L:$L),0))</f>
        <v/>
      </c>
      <c r="C434" s="204">
        <f>IF(A434="","",IFERROR(xlookup(A434,'MONTHLY ANALYSIS'!$A:$A,'MONTHLY ANALYSIS'!$L:$L),0))</f>
        <v/>
      </c>
      <c r="D434" s="205">
        <f>IF(A434="","",IFERROR(xlookup(A434,'MONTHLY ANALYSIS'!$A:$A,'MONTHLY ANALYSIS'!$M:$M),0))</f>
        <v/>
      </c>
      <c r="E434" s="190">
        <f>IF(A434="","",IF(D434&gt;0,"⚑ PAST MIDNIGHT","⚠ PAST 10PM ONLY"))</f>
        <v/>
      </c>
      <c r="F434" s="170">
        <f>IF(A434="","",IFERROR(xlookup(A434,'FLEET REGISTER'!$B:$B,'FLEET REGISTER'!$F:$F),"Unknown"))</f>
        <v/>
      </c>
      <c r="G434" s="200" t="n"/>
      <c r="H434" s="200" t="n"/>
      <c r="I434" s="200" t="n"/>
      <c r="J434" s="200" t="n"/>
      <c r="K434" s="200" t="n"/>
      <c r="L434" s="200" t="n"/>
    </row>
    <row r="435" ht="15" customHeight="1" s="122">
      <c r="A435" s="197">
        <f>IF(A434="","","")</f>
        <v/>
      </c>
      <c r="B435" s="197">
        <f>IF(A435="","",IFERROR(xlookup(A435,'MONTHLY ANALYSIS'!$A:$A,'MONTHLY ANALYSIS'!$L:$L),0))</f>
        <v/>
      </c>
      <c r="C435" s="204">
        <f>IF(A435="","",IFERROR(xlookup(A435,'MONTHLY ANALYSIS'!$A:$A,'MONTHLY ANALYSIS'!$L:$L),0))</f>
        <v/>
      </c>
      <c r="D435" s="205">
        <f>IF(A435="","",IFERROR(xlookup(A435,'MONTHLY ANALYSIS'!$A:$A,'MONTHLY ANALYSIS'!$M:$M),0))</f>
        <v/>
      </c>
      <c r="E435" s="190">
        <f>IF(A435="","",IF(D435&gt;0,"⚑ PAST MIDNIGHT","⚠ PAST 10PM ONLY"))</f>
        <v/>
      </c>
      <c r="F435" s="170">
        <f>IF(A435="","",IFERROR(xlookup(A435,'FLEET REGISTER'!$B:$B,'FLEET REGISTER'!$F:$F),"Unknown"))</f>
        <v/>
      </c>
      <c r="G435" s="200" t="n"/>
      <c r="H435" s="200" t="n"/>
      <c r="I435" s="200" t="n"/>
      <c r="J435" s="200" t="n"/>
      <c r="K435" s="200" t="n"/>
      <c r="L435" s="200" t="n"/>
    </row>
    <row r="436" ht="15" customHeight="1" s="122">
      <c r="A436" s="197">
        <f>IF(A435="","","")</f>
        <v/>
      </c>
      <c r="B436" s="197">
        <f>IF(A436="","",IFERROR(xlookup(A436,'MONTHLY ANALYSIS'!$A:$A,'MONTHLY ANALYSIS'!$L:$L),0))</f>
        <v/>
      </c>
      <c r="C436" s="204">
        <f>IF(A436="","",IFERROR(xlookup(A436,'MONTHLY ANALYSIS'!$A:$A,'MONTHLY ANALYSIS'!$L:$L),0))</f>
        <v/>
      </c>
      <c r="D436" s="205">
        <f>IF(A436="","",IFERROR(xlookup(A436,'MONTHLY ANALYSIS'!$A:$A,'MONTHLY ANALYSIS'!$M:$M),0))</f>
        <v/>
      </c>
      <c r="E436" s="190">
        <f>IF(A436="","",IF(D436&gt;0,"⚑ PAST MIDNIGHT","⚠ PAST 10PM ONLY"))</f>
        <v/>
      </c>
      <c r="F436" s="170">
        <f>IF(A436="","",IFERROR(xlookup(A436,'FLEET REGISTER'!$B:$B,'FLEET REGISTER'!$F:$F),"Unknown"))</f>
        <v/>
      </c>
      <c r="G436" s="200" t="n"/>
      <c r="H436" s="200" t="n"/>
      <c r="I436" s="200" t="n"/>
      <c r="J436" s="200" t="n"/>
      <c r="K436" s="200" t="n"/>
      <c r="L436" s="200" t="n"/>
    </row>
    <row r="437" ht="15" customHeight="1" s="122">
      <c r="A437" s="197">
        <f>IF(A436="","","")</f>
        <v/>
      </c>
      <c r="B437" s="197">
        <f>IF(A437="","",IFERROR(xlookup(A437,'MONTHLY ANALYSIS'!$A:$A,'MONTHLY ANALYSIS'!$L:$L),0))</f>
        <v/>
      </c>
      <c r="C437" s="204">
        <f>IF(A437="","",IFERROR(xlookup(A437,'MONTHLY ANALYSIS'!$A:$A,'MONTHLY ANALYSIS'!$L:$L),0))</f>
        <v/>
      </c>
      <c r="D437" s="205">
        <f>IF(A437="","",IFERROR(xlookup(A437,'MONTHLY ANALYSIS'!$A:$A,'MONTHLY ANALYSIS'!$M:$M),0))</f>
        <v/>
      </c>
      <c r="E437" s="190">
        <f>IF(A437="","",IF(D437&gt;0,"⚑ PAST MIDNIGHT","⚠ PAST 10PM ONLY"))</f>
        <v/>
      </c>
      <c r="F437" s="170">
        <f>IF(A437="","",IFERROR(xlookup(A437,'FLEET REGISTER'!$B:$B,'FLEET REGISTER'!$F:$F),"Unknown"))</f>
        <v/>
      </c>
      <c r="G437" s="200" t="n"/>
      <c r="H437" s="200" t="n"/>
      <c r="I437" s="200" t="n"/>
      <c r="J437" s="200" t="n"/>
      <c r="K437" s="200" t="n"/>
      <c r="L437" s="200" t="n"/>
    </row>
    <row r="438" ht="15" customHeight="1" s="122">
      <c r="A438" s="197">
        <f>IF(A437="","","")</f>
        <v/>
      </c>
      <c r="B438" s="197">
        <f>IF(A438="","",IFERROR(xlookup(A438,'MONTHLY ANALYSIS'!$A:$A,'MONTHLY ANALYSIS'!$L:$L),0))</f>
        <v/>
      </c>
      <c r="C438" s="204">
        <f>IF(A438="","",IFERROR(xlookup(A438,'MONTHLY ANALYSIS'!$A:$A,'MONTHLY ANALYSIS'!$L:$L),0))</f>
        <v/>
      </c>
      <c r="D438" s="205">
        <f>IF(A438="","",IFERROR(xlookup(A438,'MONTHLY ANALYSIS'!$A:$A,'MONTHLY ANALYSIS'!$M:$M),0))</f>
        <v/>
      </c>
      <c r="E438" s="190">
        <f>IF(A438="","",IF(D438&gt;0,"⚑ PAST MIDNIGHT","⚠ PAST 10PM ONLY"))</f>
        <v/>
      </c>
      <c r="F438" s="170">
        <f>IF(A438="","",IFERROR(xlookup(A438,'FLEET REGISTER'!$B:$B,'FLEET REGISTER'!$F:$F),"Unknown"))</f>
        <v/>
      </c>
      <c r="G438" s="200" t="n"/>
      <c r="H438" s="200" t="n"/>
      <c r="I438" s="200" t="n"/>
      <c r="J438" s="200" t="n"/>
      <c r="K438" s="200" t="n"/>
      <c r="L438" s="200" t="n"/>
    </row>
    <row r="439" ht="15" customHeight="1" s="122">
      <c r="A439" s="197">
        <f>IF(A438="","","")</f>
        <v/>
      </c>
      <c r="B439" s="197">
        <f>IF(A439="","",IFERROR(xlookup(A439,'MONTHLY ANALYSIS'!$A:$A,'MONTHLY ANALYSIS'!$L:$L),0))</f>
        <v/>
      </c>
      <c r="C439" s="204">
        <f>IF(A439="","",IFERROR(xlookup(A439,'MONTHLY ANALYSIS'!$A:$A,'MONTHLY ANALYSIS'!$L:$L),0))</f>
        <v/>
      </c>
      <c r="D439" s="205">
        <f>IF(A439="","",IFERROR(xlookup(A439,'MONTHLY ANALYSIS'!$A:$A,'MONTHLY ANALYSIS'!$M:$M),0))</f>
        <v/>
      </c>
      <c r="E439" s="190">
        <f>IF(A439="","",IF(D439&gt;0,"⚑ PAST MIDNIGHT","⚠ PAST 10PM ONLY"))</f>
        <v/>
      </c>
      <c r="F439" s="170">
        <f>IF(A439="","",IFERROR(xlookup(A439,'FLEET REGISTER'!$B:$B,'FLEET REGISTER'!$F:$F),"Unknown"))</f>
        <v/>
      </c>
      <c r="G439" s="200" t="n"/>
      <c r="H439" s="200" t="n"/>
      <c r="I439" s="200" t="n"/>
      <c r="J439" s="200" t="n"/>
      <c r="K439" s="200" t="n"/>
      <c r="L439" s="200" t="n"/>
    </row>
    <row r="440" ht="15" customHeight="1" s="122">
      <c r="A440" s="197">
        <f>IF(A439="","","")</f>
        <v/>
      </c>
      <c r="B440" s="197">
        <f>IF(A440="","",IFERROR(xlookup(A440,'MONTHLY ANALYSIS'!$A:$A,'MONTHLY ANALYSIS'!$L:$L),0))</f>
        <v/>
      </c>
      <c r="C440" s="204">
        <f>IF(A440="","",IFERROR(xlookup(A440,'MONTHLY ANALYSIS'!$A:$A,'MONTHLY ANALYSIS'!$L:$L),0))</f>
        <v/>
      </c>
      <c r="D440" s="205">
        <f>IF(A440="","",IFERROR(xlookup(A440,'MONTHLY ANALYSIS'!$A:$A,'MONTHLY ANALYSIS'!$M:$M),0))</f>
        <v/>
      </c>
      <c r="E440" s="190">
        <f>IF(A440="","",IF(D440&gt;0,"⚑ PAST MIDNIGHT","⚠ PAST 10PM ONLY"))</f>
        <v/>
      </c>
      <c r="F440" s="170">
        <f>IF(A440="","",IFERROR(xlookup(A440,'FLEET REGISTER'!$B:$B,'FLEET REGISTER'!$F:$F),"Unknown"))</f>
        <v/>
      </c>
      <c r="G440" s="200" t="n"/>
      <c r="H440" s="200" t="n"/>
      <c r="I440" s="200" t="n"/>
      <c r="J440" s="200" t="n"/>
      <c r="K440" s="200" t="n"/>
      <c r="L440" s="200" t="n"/>
    </row>
    <row r="441" ht="15" customHeight="1" s="122">
      <c r="A441" s="197">
        <f>IF(A440="","","")</f>
        <v/>
      </c>
      <c r="B441" s="197">
        <f>IF(A441="","",IFERROR(xlookup(A441,'MONTHLY ANALYSIS'!$A:$A,'MONTHLY ANALYSIS'!$L:$L),0))</f>
        <v/>
      </c>
      <c r="C441" s="204">
        <f>IF(A441="","",IFERROR(xlookup(A441,'MONTHLY ANALYSIS'!$A:$A,'MONTHLY ANALYSIS'!$L:$L),0))</f>
        <v/>
      </c>
      <c r="D441" s="205">
        <f>IF(A441="","",IFERROR(xlookup(A441,'MONTHLY ANALYSIS'!$A:$A,'MONTHLY ANALYSIS'!$M:$M),0))</f>
        <v/>
      </c>
      <c r="E441" s="190">
        <f>IF(A441="","",IF(D441&gt;0,"⚑ PAST MIDNIGHT","⚠ PAST 10PM ONLY"))</f>
        <v/>
      </c>
      <c r="F441" s="170">
        <f>IF(A441="","",IFERROR(xlookup(A441,'FLEET REGISTER'!$B:$B,'FLEET REGISTER'!$F:$F),"Unknown"))</f>
        <v/>
      </c>
      <c r="G441" s="200" t="n"/>
      <c r="H441" s="200" t="n"/>
      <c r="I441" s="200" t="n"/>
      <c r="J441" s="200" t="n"/>
      <c r="K441" s="200" t="n"/>
      <c r="L441" s="200" t="n"/>
    </row>
    <row r="442" ht="15" customHeight="1" s="122">
      <c r="A442" s="197">
        <f>IF(A441="","","")</f>
        <v/>
      </c>
      <c r="B442" s="197">
        <f>IF(A442="","",IFERROR(xlookup(A442,'MONTHLY ANALYSIS'!$A:$A,'MONTHLY ANALYSIS'!$L:$L),0))</f>
        <v/>
      </c>
      <c r="C442" s="204">
        <f>IF(A442="","",IFERROR(xlookup(A442,'MONTHLY ANALYSIS'!$A:$A,'MONTHLY ANALYSIS'!$L:$L),0))</f>
        <v/>
      </c>
      <c r="D442" s="205">
        <f>IF(A442="","",IFERROR(xlookup(A442,'MONTHLY ANALYSIS'!$A:$A,'MONTHLY ANALYSIS'!$M:$M),0))</f>
        <v/>
      </c>
      <c r="E442" s="190">
        <f>IF(A442="","",IF(D442&gt;0,"⚑ PAST MIDNIGHT","⚠ PAST 10PM ONLY"))</f>
        <v/>
      </c>
      <c r="F442" s="170">
        <f>IF(A442="","",IFERROR(xlookup(A442,'FLEET REGISTER'!$B:$B,'FLEET REGISTER'!$F:$F),"Unknown"))</f>
        <v/>
      </c>
      <c r="G442" s="200" t="n"/>
      <c r="H442" s="200" t="n"/>
      <c r="I442" s="200" t="n"/>
      <c r="J442" s="200" t="n"/>
      <c r="K442" s="200" t="n"/>
      <c r="L442" s="200" t="n"/>
    </row>
    <row r="443" ht="15" customHeight="1" s="122">
      <c r="A443" s="197">
        <f>IF(A442="","","")</f>
        <v/>
      </c>
      <c r="B443" s="197">
        <f>IF(A443="","",IFERROR(xlookup(A443,'MONTHLY ANALYSIS'!$A:$A,'MONTHLY ANALYSIS'!$L:$L),0))</f>
        <v/>
      </c>
      <c r="C443" s="204">
        <f>IF(A443="","",IFERROR(xlookup(A443,'MONTHLY ANALYSIS'!$A:$A,'MONTHLY ANALYSIS'!$L:$L),0))</f>
        <v/>
      </c>
      <c r="D443" s="205">
        <f>IF(A443="","",IFERROR(xlookup(A443,'MONTHLY ANALYSIS'!$A:$A,'MONTHLY ANALYSIS'!$M:$M),0))</f>
        <v/>
      </c>
      <c r="E443" s="190">
        <f>IF(A443="","",IF(D443&gt;0,"⚑ PAST MIDNIGHT","⚠ PAST 10PM ONLY"))</f>
        <v/>
      </c>
      <c r="F443" s="170">
        <f>IF(A443="","",IFERROR(xlookup(A443,'FLEET REGISTER'!$B:$B,'FLEET REGISTER'!$F:$F),"Unknown"))</f>
        <v/>
      </c>
      <c r="G443" s="200" t="n"/>
      <c r="H443" s="200" t="n"/>
      <c r="I443" s="200" t="n"/>
      <c r="J443" s="200" t="n"/>
      <c r="K443" s="200" t="n"/>
      <c r="L443" s="200" t="n"/>
    </row>
    <row r="444" ht="15" customHeight="1" s="122">
      <c r="A444" s="197">
        <f>IF(A443="","","")</f>
        <v/>
      </c>
      <c r="B444" s="197">
        <f>IF(A444="","",IFERROR(xlookup(A444,'MONTHLY ANALYSIS'!$A:$A,'MONTHLY ANALYSIS'!$L:$L),0))</f>
        <v/>
      </c>
      <c r="C444" s="204">
        <f>IF(A444="","",IFERROR(xlookup(A444,'MONTHLY ANALYSIS'!$A:$A,'MONTHLY ANALYSIS'!$L:$L),0))</f>
        <v/>
      </c>
      <c r="D444" s="205">
        <f>IF(A444="","",IFERROR(xlookup(A444,'MONTHLY ANALYSIS'!$A:$A,'MONTHLY ANALYSIS'!$M:$M),0))</f>
        <v/>
      </c>
      <c r="E444" s="190">
        <f>IF(A444="","",IF(D444&gt;0,"⚑ PAST MIDNIGHT","⚠ PAST 10PM ONLY"))</f>
        <v/>
      </c>
      <c r="F444" s="170">
        <f>IF(A444="","",IFERROR(xlookup(A444,'FLEET REGISTER'!$B:$B,'FLEET REGISTER'!$F:$F),"Unknown"))</f>
        <v/>
      </c>
      <c r="G444" s="200" t="n"/>
      <c r="H444" s="200" t="n"/>
      <c r="I444" s="200" t="n"/>
      <c r="J444" s="200" t="n"/>
      <c r="K444" s="200" t="n"/>
      <c r="L444" s="200" t="n"/>
    </row>
    <row r="445" ht="15" customHeight="1" s="122">
      <c r="A445" s="197">
        <f>IF(A444="","","")</f>
        <v/>
      </c>
      <c r="B445" s="197">
        <f>IF(A445="","",IFERROR(xlookup(A445,'MONTHLY ANALYSIS'!$A:$A,'MONTHLY ANALYSIS'!$L:$L),0))</f>
        <v/>
      </c>
      <c r="C445" s="204">
        <f>IF(A445="","",IFERROR(xlookup(A445,'MONTHLY ANALYSIS'!$A:$A,'MONTHLY ANALYSIS'!$L:$L),0))</f>
        <v/>
      </c>
      <c r="D445" s="205">
        <f>IF(A445="","",IFERROR(xlookup(A445,'MONTHLY ANALYSIS'!$A:$A,'MONTHLY ANALYSIS'!$M:$M),0))</f>
        <v/>
      </c>
      <c r="E445" s="190">
        <f>IF(A445="","",IF(D445&gt;0,"⚑ PAST MIDNIGHT","⚠ PAST 10PM ONLY"))</f>
        <v/>
      </c>
      <c r="F445" s="170">
        <f>IF(A445="","",IFERROR(xlookup(A445,'FLEET REGISTER'!$B:$B,'FLEET REGISTER'!$F:$F),"Unknown"))</f>
        <v/>
      </c>
      <c r="G445" s="200" t="n"/>
      <c r="H445" s="200" t="n"/>
      <c r="I445" s="200" t="n"/>
      <c r="J445" s="200" t="n"/>
      <c r="K445" s="200" t="n"/>
      <c r="L445" s="200" t="n"/>
    </row>
    <row r="446" ht="15" customHeight="1" s="122">
      <c r="A446" s="197">
        <f>IF(A445="","","")</f>
        <v/>
      </c>
      <c r="B446" s="197">
        <f>IF(A446="","",IFERROR(xlookup(A446,'MONTHLY ANALYSIS'!$A:$A,'MONTHLY ANALYSIS'!$L:$L),0))</f>
        <v/>
      </c>
      <c r="C446" s="204">
        <f>IF(A446="","",IFERROR(xlookup(A446,'MONTHLY ANALYSIS'!$A:$A,'MONTHLY ANALYSIS'!$L:$L),0))</f>
        <v/>
      </c>
      <c r="D446" s="205">
        <f>IF(A446="","",IFERROR(xlookup(A446,'MONTHLY ANALYSIS'!$A:$A,'MONTHLY ANALYSIS'!$M:$M),0))</f>
        <v/>
      </c>
      <c r="E446" s="190">
        <f>IF(A446="","",IF(D446&gt;0,"⚑ PAST MIDNIGHT","⚠ PAST 10PM ONLY"))</f>
        <v/>
      </c>
      <c r="F446" s="170">
        <f>IF(A446="","",IFERROR(xlookup(A446,'FLEET REGISTER'!$B:$B,'FLEET REGISTER'!$F:$F),"Unknown"))</f>
        <v/>
      </c>
      <c r="G446" s="200" t="n"/>
      <c r="H446" s="200" t="n"/>
      <c r="I446" s="200" t="n"/>
      <c r="J446" s="200" t="n"/>
      <c r="K446" s="200" t="n"/>
      <c r="L446" s="200" t="n"/>
    </row>
    <row r="447" ht="15" customHeight="1" s="122">
      <c r="A447" s="197">
        <f>IF(A446="","","")</f>
        <v/>
      </c>
      <c r="B447" s="197">
        <f>IF(A447="","",IFERROR(xlookup(A447,'MONTHLY ANALYSIS'!$A:$A,'MONTHLY ANALYSIS'!$L:$L),0))</f>
        <v/>
      </c>
      <c r="C447" s="204">
        <f>IF(A447="","",IFERROR(xlookup(A447,'MONTHLY ANALYSIS'!$A:$A,'MONTHLY ANALYSIS'!$L:$L),0))</f>
        <v/>
      </c>
      <c r="D447" s="205">
        <f>IF(A447="","",IFERROR(xlookup(A447,'MONTHLY ANALYSIS'!$A:$A,'MONTHLY ANALYSIS'!$M:$M),0))</f>
        <v/>
      </c>
      <c r="E447" s="190">
        <f>IF(A447="","",IF(D447&gt;0,"⚑ PAST MIDNIGHT","⚠ PAST 10PM ONLY"))</f>
        <v/>
      </c>
      <c r="F447" s="170">
        <f>IF(A447="","",IFERROR(xlookup(A447,'FLEET REGISTER'!$B:$B,'FLEET REGISTER'!$F:$F),"Unknown"))</f>
        <v/>
      </c>
      <c r="G447" s="200" t="n"/>
      <c r="H447" s="200" t="n"/>
      <c r="I447" s="200" t="n"/>
      <c r="J447" s="200" t="n"/>
      <c r="K447" s="200" t="n"/>
      <c r="L447" s="200" t="n"/>
    </row>
    <row r="448" ht="15" customHeight="1" s="122">
      <c r="A448" s="197">
        <f>IF(A447="","","")</f>
        <v/>
      </c>
      <c r="B448" s="197">
        <f>IF(A448="","",IFERROR(xlookup(A448,'MONTHLY ANALYSIS'!$A:$A,'MONTHLY ANALYSIS'!$L:$L),0))</f>
        <v/>
      </c>
      <c r="C448" s="204">
        <f>IF(A448="","",IFERROR(xlookup(A448,'MONTHLY ANALYSIS'!$A:$A,'MONTHLY ANALYSIS'!$L:$L),0))</f>
        <v/>
      </c>
      <c r="D448" s="205">
        <f>IF(A448="","",IFERROR(xlookup(A448,'MONTHLY ANALYSIS'!$A:$A,'MONTHLY ANALYSIS'!$M:$M),0))</f>
        <v/>
      </c>
      <c r="E448" s="190">
        <f>IF(A448="","",IF(D448&gt;0,"⚑ PAST MIDNIGHT","⚠ PAST 10PM ONLY"))</f>
        <v/>
      </c>
      <c r="F448" s="170">
        <f>IF(A448="","",IFERROR(xlookup(A448,'FLEET REGISTER'!$B:$B,'FLEET REGISTER'!$F:$F),"Unknown"))</f>
        <v/>
      </c>
      <c r="G448" s="200" t="n"/>
      <c r="H448" s="200" t="n"/>
      <c r="I448" s="200" t="n"/>
      <c r="J448" s="200" t="n"/>
      <c r="K448" s="200" t="n"/>
      <c r="L448" s="200" t="n"/>
    </row>
    <row r="449" ht="15" customHeight="1" s="122">
      <c r="A449" s="197">
        <f>IF(A448="","","")</f>
        <v/>
      </c>
      <c r="B449" s="197">
        <f>IF(A449="","",IFERROR(xlookup(A449,'MONTHLY ANALYSIS'!$A:$A,'MONTHLY ANALYSIS'!$L:$L),0))</f>
        <v/>
      </c>
      <c r="C449" s="204">
        <f>IF(A449="","",IFERROR(xlookup(A449,'MONTHLY ANALYSIS'!$A:$A,'MONTHLY ANALYSIS'!$L:$L),0))</f>
        <v/>
      </c>
      <c r="D449" s="205">
        <f>IF(A449="","",IFERROR(xlookup(A449,'MONTHLY ANALYSIS'!$A:$A,'MONTHLY ANALYSIS'!$M:$M),0))</f>
        <v/>
      </c>
      <c r="E449" s="190">
        <f>IF(A449="","",IF(D449&gt;0,"⚑ PAST MIDNIGHT","⚠ PAST 10PM ONLY"))</f>
        <v/>
      </c>
      <c r="F449" s="170">
        <f>IF(A449="","",IFERROR(xlookup(A449,'FLEET REGISTER'!$B:$B,'FLEET REGISTER'!$F:$F),"Unknown"))</f>
        <v/>
      </c>
      <c r="G449" s="200" t="n"/>
      <c r="H449" s="200" t="n"/>
      <c r="I449" s="200" t="n"/>
      <c r="J449" s="200" t="n"/>
      <c r="K449" s="200" t="n"/>
      <c r="L449" s="200" t="n"/>
    </row>
    <row r="450" ht="15" customHeight="1" s="122">
      <c r="A450" s="197">
        <f>IF(A449="","","")</f>
        <v/>
      </c>
      <c r="B450" s="197">
        <f>IF(A450="","",IFERROR(xlookup(A450,'MONTHLY ANALYSIS'!$A:$A,'MONTHLY ANALYSIS'!$L:$L),0))</f>
        <v/>
      </c>
      <c r="C450" s="204">
        <f>IF(A450="","",IFERROR(xlookup(A450,'MONTHLY ANALYSIS'!$A:$A,'MONTHLY ANALYSIS'!$L:$L),0))</f>
        <v/>
      </c>
      <c r="D450" s="205">
        <f>IF(A450="","",IFERROR(xlookup(A450,'MONTHLY ANALYSIS'!$A:$A,'MONTHLY ANALYSIS'!$M:$M),0))</f>
        <v/>
      </c>
      <c r="E450" s="190">
        <f>IF(A450="","",IF(D450&gt;0,"⚑ PAST MIDNIGHT","⚠ PAST 10PM ONLY"))</f>
        <v/>
      </c>
      <c r="F450" s="170">
        <f>IF(A450="","",IFERROR(xlookup(A450,'FLEET REGISTER'!$B:$B,'FLEET REGISTER'!$F:$F),"Unknown"))</f>
        <v/>
      </c>
      <c r="G450" s="200" t="n"/>
      <c r="H450" s="200" t="n"/>
      <c r="I450" s="200" t="n"/>
      <c r="J450" s="200" t="n"/>
      <c r="K450" s="200" t="n"/>
      <c r="L450" s="200" t="n"/>
    </row>
    <row r="451" ht="15" customHeight="1" s="122">
      <c r="A451" s="197">
        <f>IF(A450="","","")</f>
        <v/>
      </c>
      <c r="B451" s="197">
        <f>IF(A451="","",IFERROR(xlookup(A451,'MONTHLY ANALYSIS'!$A:$A,'MONTHLY ANALYSIS'!$L:$L),0))</f>
        <v/>
      </c>
      <c r="C451" s="204">
        <f>IF(A451="","",IFERROR(xlookup(A451,'MONTHLY ANALYSIS'!$A:$A,'MONTHLY ANALYSIS'!$L:$L),0))</f>
        <v/>
      </c>
      <c r="D451" s="205">
        <f>IF(A451="","",IFERROR(xlookup(A451,'MONTHLY ANALYSIS'!$A:$A,'MONTHLY ANALYSIS'!$M:$M),0))</f>
        <v/>
      </c>
      <c r="E451" s="190">
        <f>IF(A451="","",IF(D451&gt;0,"⚑ PAST MIDNIGHT","⚠ PAST 10PM ONLY"))</f>
        <v/>
      </c>
      <c r="F451" s="170">
        <f>IF(A451="","",IFERROR(xlookup(A451,'FLEET REGISTER'!$B:$B,'FLEET REGISTER'!$F:$F),"Unknown"))</f>
        <v/>
      </c>
      <c r="G451" s="200" t="n"/>
      <c r="H451" s="200" t="n"/>
      <c r="I451" s="200" t="n"/>
      <c r="J451" s="200" t="n"/>
      <c r="K451" s="200" t="n"/>
      <c r="L451" s="200" t="n"/>
    </row>
    <row r="452" ht="15" customHeight="1" s="122">
      <c r="A452" s="197">
        <f>IF(A451="","","")</f>
        <v/>
      </c>
      <c r="B452" s="197">
        <f>IF(A452="","",IFERROR(xlookup(A452,'MONTHLY ANALYSIS'!$A:$A,'MONTHLY ANALYSIS'!$L:$L),0))</f>
        <v/>
      </c>
      <c r="C452" s="204">
        <f>IF(A452="","",IFERROR(xlookup(A452,'MONTHLY ANALYSIS'!$A:$A,'MONTHLY ANALYSIS'!$L:$L),0))</f>
        <v/>
      </c>
      <c r="D452" s="205">
        <f>IF(A452="","",IFERROR(xlookup(A452,'MONTHLY ANALYSIS'!$A:$A,'MONTHLY ANALYSIS'!$M:$M),0))</f>
        <v/>
      </c>
      <c r="E452" s="190">
        <f>IF(A452="","",IF(D452&gt;0,"⚑ PAST MIDNIGHT","⚠ PAST 10PM ONLY"))</f>
        <v/>
      </c>
      <c r="F452" s="170">
        <f>IF(A452="","",IFERROR(xlookup(A452,'FLEET REGISTER'!$B:$B,'FLEET REGISTER'!$F:$F),"Unknown"))</f>
        <v/>
      </c>
      <c r="G452" s="200" t="n"/>
      <c r="H452" s="200" t="n"/>
      <c r="I452" s="200" t="n"/>
      <c r="J452" s="200" t="n"/>
      <c r="K452" s="200" t="n"/>
      <c r="L452" s="200" t="n"/>
    </row>
    <row r="453" ht="15" customHeight="1" s="122">
      <c r="A453" s="197">
        <f>IF(A452="","","")</f>
        <v/>
      </c>
      <c r="B453" s="197">
        <f>IF(A453="","",IFERROR(xlookup(A453,'MONTHLY ANALYSIS'!$A:$A,'MONTHLY ANALYSIS'!$L:$L),0))</f>
        <v/>
      </c>
      <c r="C453" s="204">
        <f>IF(A453="","",IFERROR(xlookup(A453,'MONTHLY ANALYSIS'!$A:$A,'MONTHLY ANALYSIS'!$L:$L),0))</f>
        <v/>
      </c>
      <c r="D453" s="205">
        <f>IF(A453="","",IFERROR(xlookup(A453,'MONTHLY ANALYSIS'!$A:$A,'MONTHLY ANALYSIS'!$M:$M),0))</f>
        <v/>
      </c>
      <c r="E453" s="190">
        <f>IF(A453="","",IF(D453&gt;0,"⚑ PAST MIDNIGHT","⚠ PAST 10PM ONLY"))</f>
        <v/>
      </c>
      <c r="F453" s="170">
        <f>IF(A453="","",IFERROR(xlookup(A453,'FLEET REGISTER'!$B:$B,'FLEET REGISTER'!$F:$F),"Unknown"))</f>
        <v/>
      </c>
      <c r="G453" s="200" t="n"/>
      <c r="H453" s="200" t="n"/>
      <c r="I453" s="200" t="n"/>
      <c r="J453" s="200" t="n"/>
      <c r="K453" s="200" t="n"/>
      <c r="L453" s="200" t="n"/>
    </row>
    <row r="454" ht="15" customHeight="1" s="122">
      <c r="A454" s="197">
        <f>IF(A453="","","")</f>
        <v/>
      </c>
      <c r="B454" s="197">
        <f>IF(A454="","",IFERROR(xlookup(A454,'MONTHLY ANALYSIS'!$A:$A,'MONTHLY ANALYSIS'!$L:$L),0))</f>
        <v/>
      </c>
      <c r="C454" s="204">
        <f>IF(A454="","",IFERROR(xlookup(A454,'MONTHLY ANALYSIS'!$A:$A,'MONTHLY ANALYSIS'!$L:$L),0))</f>
        <v/>
      </c>
      <c r="D454" s="205">
        <f>IF(A454="","",IFERROR(xlookup(A454,'MONTHLY ANALYSIS'!$A:$A,'MONTHLY ANALYSIS'!$M:$M),0))</f>
        <v/>
      </c>
      <c r="E454" s="190">
        <f>IF(A454="","",IF(D454&gt;0,"⚑ PAST MIDNIGHT","⚠ PAST 10PM ONLY"))</f>
        <v/>
      </c>
      <c r="F454" s="170">
        <f>IF(A454="","",IFERROR(xlookup(A454,'FLEET REGISTER'!$B:$B,'FLEET REGISTER'!$F:$F),"Unknown"))</f>
        <v/>
      </c>
      <c r="G454" s="200" t="n"/>
      <c r="H454" s="200" t="n"/>
      <c r="I454" s="200" t="n"/>
      <c r="J454" s="200" t="n"/>
      <c r="K454" s="200" t="n"/>
      <c r="L454" s="200" t="n"/>
    </row>
    <row r="455" ht="15" customHeight="1" s="122">
      <c r="A455" s="197">
        <f>IF(A454="","","")</f>
        <v/>
      </c>
      <c r="B455" s="197">
        <f>IF(A455="","",IFERROR(xlookup(A455,'MONTHLY ANALYSIS'!$A:$A,'MONTHLY ANALYSIS'!$L:$L),0))</f>
        <v/>
      </c>
      <c r="C455" s="204">
        <f>IF(A455="","",IFERROR(xlookup(A455,'MONTHLY ANALYSIS'!$A:$A,'MONTHLY ANALYSIS'!$L:$L),0))</f>
        <v/>
      </c>
      <c r="D455" s="205">
        <f>IF(A455="","",IFERROR(xlookup(A455,'MONTHLY ANALYSIS'!$A:$A,'MONTHLY ANALYSIS'!$M:$M),0))</f>
        <v/>
      </c>
      <c r="E455" s="190">
        <f>IF(A455="","",IF(D455&gt;0,"⚑ PAST MIDNIGHT","⚠ PAST 10PM ONLY"))</f>
        <v/>
      </c>
      <c r="F455" s="170">
        <f>IF(A455="","",IFERROR(xlookup(A455,'FLEET REGISTER'!$B:$B,'FLEET REGISTER'!$F:$F),"Unknown"))</f>
        <v/>
      </c>
      <c r="G455" s="200" t="n"/>
      <c r="H455" s="200" t="n"/>
      <c r="I455" s="200" t="n"/>
      <c r="J455" s="200" t="n"/>
      <c r="K455" s="200" t="n"/>
      <c r="L455" s="200" t="n"/>
    </row>
    <row r="456" ht="15" customHeight="1" s="122">
      <c r="A456" s="197">
        <f>IF(A455="","","")</f>
        <v/>
      </c>
      <c r="B456" s="197">
        <f>IF(A456="","",IFERROR(xlookup(A456,'MONTHLY ANALYSIS'!$A:$A,'MONTHLY ANALYSIS'!$L:$L),0))</f>
        <v/>
      </c>
      <c r="C456" s="204">
        <f>IF(A456="","",IFERROR(xlookup(A456,'MONTHLY ANALYSIS'!$A:$A,'MONTHLY ANALYSIS'!$L:$L),0))</f>
        <v/>
      </c>
      <c r="D456" s="205">
        <f>IF(A456="","",IFERROR(xlookup(A456,'MONTHLY ANALYSIS'!$A:$A,'MONTHLY ANALYSIS'!$M:$M),0))</f>
        <v/>
      </c>
      <c r="E456" s="190">
        <f>IF(A456="","",IF(D456&gt;0,"⚑ PAST MIDNIGHT","⚠ PAST 10PM ONLY"))</f>
        <v/>
      </c>
      <c r="F456" s="170">
        <f>IF(A456="","",IFERROR(xlookup(A456,'FLEET REGISTER'!$B:$B,'FLEET REGISTER'!$F:$F),"Unknown"))</f>
        <v/>
      </c>
      <c r="G456" s="200" t="n"/>
      <c r="H456" s="200" t="n"/>
      <c r="I456" s="200" t="n"/>
      <c r="J456" s="200" t="n"/>
      <c r="K456" s="200" t="n"/>
      <c r="L456" s="200" t="n"/>
    </row>
    <row r="457" ht="15" customHeight="1" s="122">
      <c r="A457" s="197">
        <f>IF(A456="","","")</f>
        <v/>
      </c>
      <c r="B457" s="197">
        <f>IF(A457="","",IFERROR(xlookup(A457,'MONTHLY ANALYSIS'!$A:$A,'MONTHLY ANALYSIS'!$L:$L),0))</f>
        <v/>
      </c>
      <c r="C457" s="204">
        <f>IF(A457="","",IFERROR(xlookup(A457,'MONTHLY ANALYSIS'!$A:$A,'MONTHLY ANALYSIS'!$L:$L),0))</f>
        <v/>
      </c>
      <c r="D457" s="205">
        <f>IF(A457="","",IFERROR(xlookup(A457,'MONTHLY ANALYSIS'!$A:$A,'MONTHLY ANALYSIS'!$M:$M),0))</f>
        <v/>
      </c>
      <c r="E457" s="190">
        <f>IF(A457="","",IF(D457&gt;0,"⚑ PAST MIDNIGHT","⚠ PAST 10PM ONLY"))</f>
        <v/>
      </c>
      <c r="F457" s="170">
        <f>IF(A457="","",IFERROR(xlookup(A457,'FLEET REGISTER'!$B:$B,'FLEET REGISTER'!$F:$F),"Unknown"))</f>
        <v/>
      </c>
      <c r="G457" s="200" t="n"/>
      <c r="H457" s="200" t="n"/>
      <c r="I457" s="200" t="n"/>
      <c r="J457" s="200" t="n"/>
      <c r="K457" s="200" t="n"/>
      <c r="L457" s="200" t="n"/>
    </row>
    <row r="458" ht="15" customHeight="1" s="122">
      <c r="A458" s="197">
        <f>IF(A457="","","")</f>
        <v/>
      </c>
      <c r="B458" s="197">
        <f>IF(A458="","",IFERROR(xlookup(A458,'MONTHLY ANALYSIS'!$A:$A,'MONTHLY ANALYSIS'!$L:$L),0))</f>
        <v/>
      </c>
      <c r="C458" s="204">
        <f>IF(A458="","",IFERROR(xlookup(A458,'MONTHLY ANALYSIS'!$A:$A,'MONTHLY ANALYSIS'!$L:$L),0))</f>
        <v/>
      </c>
      <c r="D458" s="205">
        <f>IF(A458="","",IFERROR(xlookup(A458,'MONTHLY ANALYSIS'!$A:$A,'MONTHLY ANALYSIS'!$M:$M),0))</f>
        <v/>
      </c>
      <c r="E458" s="190">
        <f>IF(A458="","",IF(D458&gt;0,"⚑ PAST MIDNIGHT","⚠ PAST 10PM ONLY"))</f>
        <v/>
      </c>
      <c r="F458" s="170">
        <f>IF(A458="","",IFERROR(xlookup(A458,'FLEET REGISTER'!$B:$B,'FLEET REGISTER'!$F:$F),"Unknown"))</f>
        <v/>
      </c>
      <c r="G458" s="200" t="n"/>
      <c r="H458" s="200" t="n"/>
      <c r="I458" s="200" t="n"/>
      <c r="J458" s="200" t="n"/>
      <c r="K458" s="200" t="n"/>
      <c r="L458" s="200" t="n"/>
    </row>
    <row r="459" ht="15" customHeight="1" s="122">
      <c r="A459" s="197">
        <f>IF(A458="","","")</f>
        <v/>
      </c>
      <c r="B459" s="197">
        <f>IF(A459="","",IFERROR(xlookup(A459,'MONTHLY ANALYSIS'!$A:$A,'MONTHLY ANALYSIS'!$L:$L),0))</f>
        <v/>
      </c>
      <c r="C459" s="204">
        <f>IF(A459="","",IFERROR(xlookup(A459,'MONTHLY ANALYSIS'!$A:$A,'MONTHLY ANALYSIS'!$L:$L),0))</f>
        <v/>
      </c>
      <c r="D459" s="205">
        <f>IF(A459="","",IFERROR(xlookup(A459,'MONTHLY ANALYSIS'!$A:$A,'MONTHLY ANALYSIS'!$M:$M),0))</f>
        <v/>
      </c>
      <c r="E459" s="190">
        <f>IF(A459="","",IF(D459&gt;0,"⚑ PAST MIDNIGHT","⚠ PAST 10PM ONLY"))</f>
        <v/>
      </c>
      <c r="F459" s="170">
        <f>IF(A459="","",IFERROR(xlookup(A459,'FLEET REGISTER'!$B:$B,'FLEET REGISTER'!$F:$F),"Unknown"))</f>
        <v/>
      </c>
      <c r="G459" s="200" t="n"/>
      <c r="H459" s="200" t="n"/>
      <c r="I459" s="200" t="n"/>
      <c r="J459" s="200" t="n"/>
      <c r="K459" s="200" t="n"/>
      <c r="L459" s="200" t="n"/>
    </row>
    <row r="460" ht="15" customHeight="1" s="122">
      <c r="A460" s="197">
        <f>IF(A459="","","")</f>
        <v/>
      </c>
      <c r="B460" s="197">
        <f>IF(A460="","",IFERROR(xlookup(A460,'MONTHLY ANALYSIS'!$A:$A,'MONTHLY ANALYSIS'!$L:$L),0))</f>
        <v/>
      </c>
      <c r="C460" s="204">
        <f>IF(A460="","",IFERROR(xlookup(A460,'MONTHLY ANALYSIS'!$A:$A,'MONTHLY ANALYSIS'!$L:$L),0))</f>
        <v/>
      </c>
      <c r="D460" s="205">
        <f>IF(A460="","",IFERROR(xlookup(A460,'MONTHLY ANALYSIS'!$A:$A,'MONTHLY ANALYSIS'!$M:$M),0))</f>
        <v/>
      </c>
      <c r="E460" s="190">
        <f>IF(A460="","",IF(D460&gt;0,"⚑ PAST MIDNIGHT","⚠ PAST 10PM ONLY"))</f>
        <v/>
      </c>
      <c r="F460" s="170">
        <f>IF(A460="","",IFERROR(xlookup(A460,'FLEET REGISTER'!$B:$B,'FLEET REGISTER'!$F:$F),"Unknown"))</f>
        <v/>
      </c>
      <c r="G460" s="200" t="n"/>
      <c r="H460" s="200" t="n"/>
      <c r="I460" s="200" t="n"/>
      <c r="J460" s="200" t="n"/>
      <c r="K460" s="200" t="n"/>
      <c r="L460" s="200" t="n"/>
    </row>
    <row r="461" ht="15" customHeight="1" s="122">
      <c r="A461" s="197">
        <f>IF(A460="","","")</f>
        <v/>
      </c>
      <c r="B461" s="197">
        <f>IF(A461="","",IFERROR(xlookup(A461,'MONTHLY ANALYSIS'!$A:$A,'MONTHLY ANALYSIS'!$L:$L),0))</f>
        <v/>
      </c>
      <c r="C461" s="204">
        <f>IF(A461="","",IFERROR(xlookup(A461,'MONTHLY ANALYSIS'!$A:$A,'MONTHLY ANALYSIS'!$L:$L),0))</f>
        <v/>
      </c>
      <c r="D461" s="205">
        <f>IF(A461="","",IFERROR(xlookup(A461,'MONTHLY ANALYSIS'!$A:$A,'MONTHLY ANALYSIS'!$M:$M),0))</f>
        <v/>
      </c>
      <c r="E461" s="190">
        <f>IF(A461="","",IF(D461&gt;0,"⚑ PAST MIDNIGHT","⚠ PAST 10PM ONLY"))</f>
        <v/>
      </c>
      <c r="F461" s="170">
        <f>IF(A461="","",IFERROR(xlookup(A461,'FLEET REGISTER'!$B:$B,'FLEET REGISTER'!$F:$F),"Unknown"))</f>
        <v/>
      </c>
      <c r="G461" s="200" t="n"/>
      <c r="H461" s="200" t="n"/>
      <c r="I461" s="200" t="n"/>
      <c r="J461" s="200" t="n"/>
      <c r="K461" s="200" t="n"/>
      <c r="L461" s="200" t="n"/>
    </row>
    <row r="462" ht="15" customHeight="1" s="122">
      <c r="A462" s="197">
        <f>IF(A461="","","")</f>
        <v/>
      </c>
      <c r="B462" s="197">
        <f>IF(A462="","",IFERROR(xlookup(A462,'MONTHLY ANALYSIS'!$A:$A,'MONTHLY ANALYSIS'!$L:$L),0))</f>
        <v/>
      </c>
      <c r="C462" s="204">
        <f>IF(A462="","",IFERROR(xlookup(A462,'MONTHLY ANALYSIS'!$A:$A,'MONTHLY ANALYSIS'!$L:$L),0))</f>
        <v/>
      </c>
      <c r="D462" s="205">
        <f>IF(A462="","",IFERROR(xlookup(A462,'MONTHLY ANALYSIS'!$A:$A,'MONTHLY ANALYSIS'!$M:$M),0))</f>
        <v/>
      </c>
      <c r="E462" s="190">
        <f>IF(A462="","",IF(D462&gt;0,"⚑ PAST MIDNIGHT","⚠ PAST 10PM ONLY"))</f>
        <v/>
      </c>
      <c r="F462" s="170">
        <f>IF(A462="","",IFERROR(xlookup(A462,'FLEET REGISTER'!$B:$B,'FLEET REGISTER'!$F:$F),"Unknown"))</f>
        <v/>
      </c>
      <c r="G462" s="200" t="n"/>
      <c r="H462" s="200" t="n"/>
      <c r="I462" s="200" t="n"/>
      <c r="J462" s="200" t="n"/>
      <c r="K462" s="200" t="n"/>
      <c r="L462" s="200" t="n"/>
    </row>
    <row r="463" ht="15" customHeight="1" s="122">
      <c r="A463" s="197">
        <f>IF(A462="","","")</f>
        <v/>
      </c>
      <c r="B463" s="197">
        <f>IF(A463="","",IFERROR(xlookup(A463,'MONTHLY ANALYSIS'!$A:$A,'MONTHLY ANALYSIS'!$L:$L),0))</f>
        <v/>
      </c>
      <c r="C463" s="204">
        <f>IF(A463="","",IFERROR(xlookup(A463,'MONTHLY ANALYSIS'!$A:$A,'MONTHLY ANALYSIS'!$L:$L),0))</f>
        <v/>
      </c>
      <c r="D463" s="205">
        <f>IF(A463="","",IFERROR(xlookup(A463,'MONTHLY ANALYSIS'!$A:$A,'MONTHLY ANALYSIS'!$M:$M),0))</f>
        <v/>
      </c>
      <c r="E463" s="190">
        <f>IF(A463="","",IF(D463&gt;0,"⚑ PAST MIDNIGHT","⚠ PAST 10PM ONLY"))</f>
        <v/>
      </c>
      <c r="F463" s="170">
        <f>IF(A463="","",IFERROR(xlookup(A463,'FLEET REGISTER'!$B:$B,'FLEET REGISTER'!$F:$F),"Unknown"))</f>
        <v/>
      </c>
      <c r="G463" s="200" t="n"/>
      <c r="H463" s="200" t="n"/>
      <c r="I463" s="200" t="n"/>
      <c r="J463" s="200" t="n"/>
      <c r="K463" s="200" t="n"/>
      <c r="L463" s="200" t="n"/>
    </row>
    <row r="464" ht="15" customHeight="1" s="122">
      <c r="A464" s="197">
        <f>IF(A463="","","")</f>
        <v/>
      </c>
      <c r="B464" s="197">
        <f>IF(A464="","",IFERROR(xlookup(A464,'MONTHLY ANALYSIS'!$A:$A,'MONTHLY ANALYSIS'!$L:$L),0))</f>
        <v/>
      </c>
      <c r="C464" s="204">
        <f>IF(A464="","",IFERROR(xlookup(A464,'MONTHLY ANALYSIS'!$A:$A,'MONTHLY ANALYSIS'!$L:$L),0))</f>
        <v/>
      </c>
      <c r="D464" s="205">
        <f>IF(A464="","",IFERROR(xlookup(A464,'MONTHLY ANALYSIS'!$A:$A,'MONTHLY ANALYSIS'!$M:$M),0))</f>
        <v/>
      </c>
      <c r="E464" s="190">
        <f>IF(A464="","",IF(D464&gt;0,"⚑ PAST MIDNIGHT","⚠ PAST 10PM ONLY"))</f>
        <v/>
      </c>
      <c r="F464" s="170">
        <f>IF(A464="","",IFERROR(xlookup(A464,'FLEET REGISTER'!$B:$B,'FLEET REGISTER'!$F:$F),"Unknown"))</f>
        <v/>
      </c>
      <c r="G464" s="200" t="n"/>
      <c r="H464" s="200" t="n"/>
      <c r="I464" s="200" t="n"/>
      <c r="J464" s="200" t="n"/>
      <c r="K464" s="200" t="n"/>
      <c r="L464" s="200" t="n"/>
    </row>
    <row r="465" ht="15" customHeight="1" s="122">
      <c r="A465" s="197">
        <f>IF(A464="","","")</f>
        <v/>
      </c>
      <c r="B465" s="197">
        <f>IF(A465="","",IFERROR(xlookup(A465,'MONTHLY ANALYSIS'!$A:$A,'MONTHLY ANALYSIS'!$L:$L),0))</f>
        <v/>
      </c>
      <c r="C465" s="204">
        <f>IF(A465="","",IFERROR(xlookup(A465,'MONTHLY ANALYSIS'!$A:$A,'MONTHLY ANALYSIS'!$L:$L),0))</f>
        <v/>
      </c>
      <c r="D465" s="205">
        <f>IF(A465="","",IFERROR(xlookup(A465,'MONTHLY ANALYSIS'!$A:$A,'MONTHLY ANALYSIS'!$M:$M),0))</f>
        <v/>
      </c>
      <c r="E465" s="190">
        <f>IF(A465="","",IF(D465&gt;0,"⚑ PAST MIDNIGHT","⚠ PAST 10PM ONLY"))</f>
        <v/>
      </c>
      <c r="F465" s="170">
        <f>IF(A465="","",IFERROR(xlookup(A465,'FLEET REGISTER'!$B:$B,'FLEET REGISTER'!$F:$F),"Unknown"))</f>
        <v/>
      </c>
      <c r="G465" s="200" t="n"/>
      <c r="H465" s="200" t="n"/>
      <c r="I465" s="200" t="n"/>
      <c r="J465" s="200" t="n"/>
      <c r="K465" s="200" t="n"/>
      <c r="L465" s="200" t="n"/>
    </row>
    <row r="466" ht="15" customHeight="1" s="122">
      <c r="A466" s="197">
        <f>IF(A465="","","")</f>
        <v/>
      </c>
      <c r="B466" s="197">
        <f>IF(A466="","",IFERROR(xlookup(A466,'MONTHLY ANALYSIS'!$A:$A,'MONTHLY ANALYSIS'!$L:$L),0))</f>
        <v/>
      </c>
      <c r="C466" s="204">
        <f>IF(A466="","",IFERROR(xlookup(A466,'MONTHLY ANALYSIS'!$A:$A,'MONTHLY ANALYSIS'!$L:$L),0))</f>
        <v/>
      </c>
      <c r="D466" s="205">
        <f>IF(A466="","",IFERROR(xlookup(A466,'MONTHLY ANALYSIS'!$A:$A,'MONTHLY ANALYSIS'!$M:$M),0))</f>
        <v/>
      </c>
      <c r="E466" s="190">
        <f>IF(A466="","",IF(D466&gt;0,"⚑ PAST MIDNIGHT","⚠ PAST 10PM ONLY"))</f>
        <v/>
      </c>
      <c r="F466" s="170">
        <f>IF(A466="","",IFERROR(xlookup(A466,'FLEET REGISTER'!$B:$B,'FLEET REGISTER'!$F:$F),"Unknown"))</f>
        <v/>
      </c>
      <c r="G466" s="200" t="n"/>
      <c r="H466" s="200" t="n"/>
      <c r="I466" s="200" t="n"/>
      <c r="J466" s="200" t="n"/>
      <c r="K466" s="200" t="n"/>
      <c r="L466" s="200" t="n"/>
    </row>
    <row r="467" ht="15" customHeight="1" s="122">
      <c r="A467" s="197">
        <f>IF(A466="","","")</f>
        <v/>
      </c>
      <c r="B467" s="197">
        <f>IF(A467="","",IFERROR(xlookup(A467,'MONTHLY ANALYSIS'!$A:$A,'MONTHLY ANALYSIS'!$L:$L),0))</f>
        <v/>
      </c>
      <c r="C467" s="204">
        <f>IF(A467="","",IFERROR(xlookup(A467,'MONTHLY ANALYSIS'!$A:$A,'MONTHLY ANALYSIS'!$L:$L),0))</f>
        <v/>
      </c>
      <c r="D467" s="205">
        <f>IF(A467="","",IFERROR(xlookup(A467,'MONTHLY ANALYSIS'!$A:$A,'MONTHLY ANALYSIS'!$M:$M),0))</f>
        <v/>
      </c>
      <c r="E467" s="190">
        <f>IF(A467="","",IF(D467&gt;0,"⚑ PAST MIDNIGHT","⚠ PAST 10PM ONLY"))</f>
        <v/>
      </c>
      <c r="F467" s="170">
        <f>IF(A467="","",IFERROR(xlookup(A467,'FLEET REGISTER'!$B:$B,'FLEET REGISTER'!$F:$F),"Unknown"))</f>
        <v/>
      </c>
      <c r="G467" s="200" t="n"/>
      <c r="H467" s="200" t="n"/>
      <c r="I467" s="200" t="n"/>
      <c r="J467" s="200" t="n"/>
      <c r="K467" s="200" t="n"/>
      <c r="L467" s="200" t="n"/>
    </row>
    <row r="468" ht="15" customHeight="1" s="122">
      <c r="A468" s="197">
        <f>IF(A467="","","")</f>
        <v/>
      </c>
      <c r="B468" s="197">
        <f>IF(A468="","",IFERROR(xlookup(A468,'MONTHLY ANALYSIS'!$A:$A,'MONTHLY ANALYSIS'!$L:$L),0))</f>
        <v/>
      </c>
      <c r="C468" s="204">
        <f>IF(A468="","",IFERROR(xlookup(A468,'MONTHLY ANALYSIS'!$A:$A,'MONTHLY ANALYSIS'!$L:$L),0))</f>
        <v/>
      </c>
      <c r="D468" s="205">
        <f>IF(A468="","",IFERROR(xlookup(A468,'MONTHLY ANALYSIS'!$A:$A,'MONTHLY ANALYSIS'!$M:$M),0))</f>
        <v/>
      </c>
      <c r="E468" s="190">
        <f>IF(A468="","",IF(D468&gt;0,"⚑ PAST MIDNIGHT","⚠ PAST 10PM ONLY"))</f>
        <v/>
      </c>
      <c r="F468" s="170">
        <f>IF(A468="","",IFERROR(xlookup(A468,'FLEET REGISTER'!$B:$B,'FLEET REGISTER'!$F:$F),"Unknown"))</f>
        <v/>
      </c>
      <c r="G468" s="200" t="n"/>
      <c r="H468" s="200" t="n"/>
      <c r="I468" s="200" t="n"/>
      <c r="J468" s="200" t="n"/>
      <c r="K468" s="200" t="n"/>
      <c r="L468" s="200" t="n"/>
    </row>
    <row r="469" ht="15" customHeight="1" s="122">
      <c r="A469" s="197">
        <f>IF(A468="","","")</f>
        <v/>
      </c>
      <c r="B469" s="197">
        <f>IF(A469="","",IFERROR(xlookup(A469,'MONTHLY ANALYSIS'!$A:$A,'MONTHLY ANALYSIS'!$L:$L),0))</f>
        <v/>
      </c>
      <c r="C469" s="204">
        <f>IF(A469="","",IFERROR(xlookup(A469,'MONTHLY ANALYSIS'!$A:$A,'MONTHLY ANALYSIS'!$L:$L),0))</f>
        <v/>
      </c>
      <c r="D469" s="205">
        <f>IF(A469="","",IFERROR(xlookup(A469,'MONTHLY ANALYSIS'!$A:$A,'MONTHLY ANALYSIS'!$M:$M),0))</f>
        <v/>
      </c>
      <c r="E469" s="190">
        <f>IF(A469="","",IF(D469&gt;0,"⚑ PAST MIDNIGHT","⚠ PAST 10PM ONLY"))</f>
        <v/>
      </c>
      <c r="F469" s="170">
        <f>IF(A469="","",IFERROR(xlookup(A469,'FLEET REGISTER'!$B:$B,'FLEET REGISTER'!$F:$F),"Unknown"))</f>
        <v/>
      </c>
      <c r="G469" s="200" t="n"/>
      <c r="H469" s="200" t="n"/>
      <c r="I469" s="200" t="n"/>
      <c r="J469" s="200" t="n"/>
      <c r="K469" s="200" t="n"/>
      <c r="L469" s="200" t="n"/>
    </row>
    <row r="470" ht="15" customHeight="1" s="122">
      <c r="A470" s="197">
        <f>IF(A469="","","")</f>
        <v/>
      </c>
      <c r="B470" s="197">
        <f>IF(A470="","",IFERROR(xlookup(A470,'MONTHLY ANALYSIS'!$A:$A,'MONTHLY ANALYSIS'!$L:$L),0))</f>
        <v/>
      </c>
      <c r="C470" s="204">
        <f>IF(A470="","",IFERROR(xlookup(A470,'MONTHLY ANALYSIS'!$A:$A,'MONTHLY ANALYSIS'!$L:$L),0))</f>
        <v/>
      </c>
      <c r="D470" s="205">
        <f>IF(A470="","",IFERROR(xlookup(A470,'MONTHLY ANALYSIS'!$A:$A,'MONTHLY ANALYSIS'!$M:$M),0))</f>
        <v/>
      </c>
      <c r="E470" s="190">
        <f>IF(A470="","",IF(D470&gt;0,"⚑ PAST MIDNIGHT","⚠ PAST 10PM ONLY"))</f>
        <v/>
      </c>
      <c r="F470" s="170">
        <f>IF(A470="","",IFERROR(xlookup(A470,'FLEET REGISTER'!$B:$B,'FLEET REGISTER'!$F:$F),"Unknown"))</f>
        <v/>
      </c>
      <c r="G470" s="200" t="n"/>
      <c r="H470" s="200" t="n"/>
      <c r="I470" s="200" t="n"/>
      <c r="J470" s="200" t="n"/>
      <c r="K470" s="200" t="n"/>
      <c r="L470" s="200" t="n"/>
    </row>
    <row r="471" ht="15" customHeight="1" s="122">
      <c r="A471" s="197">
        <f>IF(A470="","","")</f>
        <v/>
      </c>
      <c r="B471" s="197">
        <f>IF(A471="","",IFERROR(xlookup(A471,'MONTHLY ANALYSIS'!$A:$A,'MONTHLY ANALYSIS'!$L:$L),0))</f>
        <v/>
      </c>
      <c r="C471" s="204">
        <f>IF(A471="","",IFERROR(xlookup(A471,'MONTHLY ANALYSIS'!$A:$A,'MONTHLY ANALYSIS'!$L:$L),0))</f>
        <v/>
      </c>
      <c r="D471" s="205">
        <f>IF(A471="","",IFERROR(xlookup(A471,'MONTHLY ANALYSIS'!$A:$A,'MONTHLY ANALYSIS'!$M:$M),0))</f>
        <v/>
      </c>
      <c r="E471" s="190">
        <f>IF(A471="","",IF(D471&gt;0,"⚑ PAST MIDNIGHT","⚠ PAST 10PM ONLY"))</f>
        <v/>
      </c>
      <c r="F471" s="170">
        <f>IF(A471="","",IFERROR(xlookup(A471,'FLEET REGISTER'!$B:$B,'FLEET REGISTER'!$F:$F),"Unknown"))</f>
        <v/>
      </c>
      <c r="G471" s="200" t="n"/>
      <c r="H471" s="200" t="n"/>
      <c r="I471" s="200" t="n"/>
      <c r="J471" s="200" t="n"/>
      <c r="K471" s="200" t="n"/>
      <c r="L471" s="200" t="n"/>
    </row>
    <row r="472" ht="15" customHeight="1" s="122">
      <c r="A472" s="197">
        <f>IF(A471="","","")</f>
        <v/>
      </c>
      <c r="B472" s="197">
        <f>IF(A472="","",IFERROR(xlookup(A472,'MONTHLY ANALYSIS'!$A:$A,'MONTHLY ANALYSIS'!$L:$L),0))</f>
        <v/>
      </c>
      <c r="C472" s="204">
        <f>IF(A472="","",IFERROR(xlookup(A472,'MONTHLY ANALYSIS'!$A:$A,'MONTHLY ANALYSIS'!$L:$L),0))</f>
        <v/>
      </c>
      <c r="D472" s="205">
        <f>IF(A472="","",IFERROR(xlookup(A472,'MONTHLY ANALYSIS'!$A:$A,'MONTHLY ANALYSIS'!$M:$M),0))</f>
        <v/>
      </c>
      <c r="E472" s="190">
        <f>IF(A472="","",IF(D472&gt;0,"⚑ PAST MIDNIGHT","⚠ PAST 10PM ONLY"))</f>
        <v/>
      </c>
      <c r="F472" s="170">
        <f>IF(A472="","",IFERROR(xlookup(A472,'FLEET REGISTER'!$B:$B,'FLEET REGISTER'!$F:$F),"Unknown"))</f>
        <v/>
      </c>
      <c r="G472" s="200" t="n"/>
      <c r="H472" s="200" t="n"/>
      <c r="I472" s="200" t="n"/>
      <c r="J472" s="200" t="n"/>
      <c r="K472" s="200" t="n"/>
      <c r="L472" s="200" t="n"/>
    </row>
    <row r="473" ht="15" customHeight="1" s="122">
      <c r="A473" s="197">
        <f>IF(A472="","","")</f>
        <v/>
      </c>
      <c r="B473" s="197">
        <f>IF(A473="","",IFERROR(xlookup(A473,'MONTHLY ANALYSIS'!$A:$A,'MONTHLY ANALYSIS'!$L:$L),0))</f>
        <v/>
      </c>
      <c r="C473" s="204">
        <f>IF(A473="","",IFERROR(xlookup(A473,'MONTHLY ANALYSIS'!$A:$A,'MONTHLY ANALYSIS'!$L:$L),0))</f>
        <v/>
      </c>
      <c r="D473" s="205">
        <f>IF(A473="","",IFERROR(xlookup(A473,'MONTHLY ANALYSIS'!$A:$A,'MONTHLY ANALYSIS'!$M:$M),0))</f>
        <v/>
      </c>
      <c r="E473" s="190">
        <f>IF(A473="","",IF(D473&gt;0,"⚑ PAST MIDNIGHT","⚠ PAST 10PM ONLY"))</f>
        <v/>
      </c>
      <c r="F473" s="170">
        <f>IF(A473="","",IFERROR(xlookup(A473,'FLEET REGISTER'!$B:$B,'FLEET REGISTER'!$F:$F),"Unknown"))</f>
        <v/>
      </c>
      <c r="G473" s="200" t="n"/>
      <c r="H473" s="200" t="n"/>
      <c r="I473" s="200" t="n"/>
      <c r="J473" s="200" t="n"/>
      <c r="K473" s="200" t="n"/>
      <c r="L473" s="200" t="n"/>
    </row>
    <row r="474" ht="15" customHeight="1" s="122">
      <c r="A474" s="197">
        <f>IF(A473="","","")</f>
        <v/>
      </c>
      <c r="B474" s="197">
        <f>IF(A474="","",IFERROR(xlookup(A474,'MONTHLY ANALYSIS'!$A:$A,'MONTHLY ANALYSIS'!$L:$L),0))</f>
        <v/>
      </c>
      <c r="C474" s="204">
        <f>IF(A474="","",IFERROR(xlookup(A474,'MONTHLY ANALYSIS'!$A:$A,'MONTHLY ANALYSIS'!$L:$L),0))</f>
        <v/>
      </c>
      <c r="D474" s="205">
        <f>IF(A474="","",IFERROR(xlookup(A474,'MONTHLY ANALYSIS'!$A:$A,'MONTHLY ANALYSIS'!$M:$M),0))</f>
        <v/>
      </c>
      <c r="E474" s="190">
        <f>IF(A474="","",IF(D474&gt;0,"⚑ PAST MIDNIGHT","⚠ PAST 10PM ONLY"))</f>
        <v/>
      </c>
      <c r="F474" s="170">
        <f>IF(A474="","",IFERROR(xlookup(A474,'FLEET REGISTER'!$B:$B,'FLEET REGISTER'!$F:$F),"Unknown"))</f>
        <v/>
      </c>
      <c r="G474" s="200" t="n"/>
      <c r="H474" s="200" t="n"/>
      <c r="I474" s="200" t="n"/>
      <c r="J474" s="200" t="n"/>
      <c r="K474" s="200" t="n"/>
      <c r="L474" s="200" t="n"/>
    </row>
    <row r="475" ht="15" customHeight="1" s="122">
      <c r="A475" s="197">
        <f>IF(A474="","","")</f>
        <v/>
      </c>
      <c r="B475" s="197">
        <f>IF(A475="","",IFERROR(xlookup(A475,'MONTHLY ANALYSIS'!$A:$A,'MONTHLY ANALYSIS'!$L:$L),0))</f>
        <v/>
      </c>
      <c r="C475" s="204">
        <f>IF(A475="","",IFERROR(xlookup(A475,'MONTHLY ANALYSIS'!$A:$A,'MONTHLY ANALYSIS'!$L:$L),0))</f>
        <v/>
      </c>
      <c r="D475" s="205">
        <f>IF(A475="","",IFERROR(xlookup(A475,'MONTHLY ANALYSIS'!$A:$A,'MONTHLY ANALYSIS'!$M:$M),0))</f>
        <v/>
      </c>
      <c r="E475" s="190">
        <f>IF(A475="","",IF(D475&gt;0,"⚑ PAST MIDNIGHT","⚠ PAST 10PM ONLY"))</f>
        <v/>
      </c>
      <c r="F475" s="170">
        <f>IF(A475="","",IFERROR(xlookup(A475,'FLEET REGISTER'!$B:$B,'FLEET REGISTER'!$F:$F),"Unknown"))</f>
        <v/>
      </c>
      <c r="G475" s="200" t="n"/>
      <c r="H475" s="200" t="n"/>
      <c r="I475" s="200" t="n"/>
      <c r="J475" s="200" t="n"/>
      <c r="K475" s="200" t="n"/>
      <c r="L475" s="200" t="n"/>
    </row>
    <row r="476" ht="15" customHeight="1" s="122">
      <c r="A476" s="197">
        <f>IF(A475="","","")</f>
        <v/>
      </c>
      <c r="B476" s="197">
        <f>IF(A476="","",IFERROR(xlookup(A476,'MONTHLY ANALYSIS'!$A:$A,'MONTHLY ANALYSIS'!$L:$L),0))</f>
        <v/>
      </c>
      <c r="C476" s="204">
        <f>IF(A476="","",IFERROR(xlookup(A476,'MONTHLY ANALYSIS'!$A:$A,'MONTHLY ANALYSIS'!$L:$L),0))</f>
        <v/>
      </c>
      <c r="D476" s="205">
        <f>IF(A476="","",IFERROR(xlookup(A476,'MONTHLY ANALYSIS'!$A:$A,'MONTHLY ANALYSIS'!$M:$M),0))</f>
        <v/>
      </c>
      <c r="E476" s="190">
        <f>IF(A476="","",IF(D476&gt;0,"⚑ PAST MIDNIGHT","⚠ PAST 10PM ONLY"))</f>
        <v/>
      </c>
      <c r="F476" s="170">
        <f>IF(A476="","",IFERROR(xlookup(A476,'FLEET REGISTER'!$B:$B,'FLEET REGISTER'!$F:$F),"Unknown"))</f>
        <v/>
      </c>
      <c r="G476" s="200" t="n"/>
      <c r="H476" s="200" t="n"/>
      <c r="I476" s="200" t="n"/>
      <c r="J476" s="200" t="n"/>
      <c r="K476" s="200" t="n"/>
      <c r="L476" s="200" t="n"/>
    </row>
    <row r="477" ht="15" customHeight="1" s="122">
      <c r="A477" s="197">
        <f>IF(A476="","","")</f>
        <v/>
      </c>
      <c r="B477" s="197">
        <f>IF(A477="","",IFERROR(xlookup(A477,'MONTHLY ANALYSIS'!$A:$A,'MONTHLY ANALYSIS'!$L:$L),0))</f>
        <v/>
      </c>
      <c r="C477" s="204">
        <f>IF(A477="","",IFERROR(xlookup(A477,'MONTHLY ANALYSIS'!$A:$A,'MONTHLY ANALYSIS'!$L:$L),0))</f>
        <v/>
      </c>
      <c r="D477" s="205">
        <f>IF(A477="","",IFERROR(xlookup(A477,'MONTHLY ANALYSIS'!$A:$A,'MONTHLY ANALYSIS'!$M:$M),0))</f>
        <v/>
      </c>
      <c r="E477" s="190">
        <f>IF(A477="","",IF(D477&gt;0,"⚑ PAST MIDNIGHT","⚠ PAST 10PM ONLY"))</f>
        <v/>
      </c>
      <c r="F477" s="170">
        <f>IF(A477="","",IFERROR(xlookup(A477,'FLEET REGISTER'!$B:$B,'FLEET REGISTER'!$F:$F),"Unknown"))</f>
        <v/>
      </c>
      <c r="G477" s="200" t="n"/>
      <c r="H477" s="200" t="n"/>
      <c r="I477" s="200" t="n"/>
      <c r="J477" s="200" t="n"/>
      <c r="K477" s="200" t="n"/>
      <c r="L477" s="200" t="n"/>
    </row>
    <row r="478" ht="15" customHeight="1" s="122">
      <c r="A478" s="197">
        <f>IF(A477="","","")</f>
        <v/>
      </c>
      <c r="B478" s="197">
        <f>IF(A478="","",IFERROR(xlookup(A478,'MONTHLY ANALYSIS'!$A:$A,'MONTHLY ANALYSIS'!$L:$L),0))</f>
        <v/>
      </c>
      <c r="C478" s="204">
        <f>IF(A478="","",IFERROR(xlookup(A478,'MONTHLY ANALYSIS'!$A:$A,'MONTHLY ANALYSIS'!$L:$L),0))</f>
        <v/>
      </c>
      <c r="D478" s="205">
        <f>IF(A478="","",IFERROR(xlookup(A478,'MONTHLY ANALYSIS'!$A:$A,'MONTHLY ANALYSIS'!$M:$M),0))</f>
        <v/>
      </c>
      <c r="E478" s="190">
        <f>IF(A478="","",IF(D478&gt;0,"⚑ PAST MIDNIGHT","⚠ PAST 10PM ONLY"))</f>
        <v/>
      </c>
      <c r="F478" s="170">
        <f>IF(A478="","",IFERROR(xlookup(A478,'FLEET REGISTER'!$B:$B,'FLEET REGISTER'!$F:$F),"Unknown"))</f>
        <v/>
      </c>
      <c r="G478" s="200" t="n"/>
      <c r="H478" s="200" t="n"/>
      <c r="I478" s="200" t="n"/>
      <c r="J478" s="200" t="n"/>
      <c r="K478" s="200" t="n"/>
      <c r="L478" s="200" t="n"/>
    </row>
    <row r="479" ht="15" customHeight="1" s="122">
      <c r="A479" s="197">
        <f>IF(A478="","","")</f>
        <v/>
      </c>
      <c r="B479" s="197">
        <f>IF(A479="","",IFERROR(xlookup(A479,'MONTHLY ANALYSIS'!$A:$A,'MONTHLY ANALYSIS'!$L:$L),0))</f>
        <v/>
      </c>
      <c r="C479" s="204">
        <f>IF(A479="","",IFERROR(xlookup(A479,'MONTHLY ANALYSIS'!$A:$A,'MONTHLY ANALYSIS'!$L:$L),0))</f>
        <v/>
      </c>
      <c r="D479" s="205">
        <f>IF(A479="","",IFERROR(xlookup(A479,'MONTHLY ANALYSIS'!$A:$A,'MONTHLY ANALYSIS'!$M:$M),0))</f>
        <v/>
      </c>
      <c r="E479" s="190">
        <f>IF(A479="","",IF(D479&gt;0,"⚑ PAST MIDNIGHT","⚠ PAST 10PM ONLY"))</f>
        <v/>
      </c>
      <c r="F479" s="170">
        <f>IF(A479="","",IFERROR(xlookup(A479,'FLEET REGISTER'!$B:$B,'FLEET REGISTER'!$F:$F),"Unknown"))</f>
        <v/>
      </c>
      <c r="G479" s="200" t="n"/>
      <c r="H479" s="200" t="n"/>
      <c r="I479" s="200" t="n"/>
      <c r="J479" s="200" t="n"/>
      <c r="K479" s="200" t="n"/>
      <c r="L479" s="200" t="n"/>
    </row>
    <row r="480" ht="15" customHeight="1" s="122">
      <c r="A480" s="197">
        <f>IF(A479="","","")</f>
        <v/>
      </c>
      <c r="B480" s="197">
        <f>IF(A480="","",IFERROR(xlookup(A480,'MONTHLY ANALYSIS'!$A:$A,'MONTHLY ANALYSIS'!$L:$L),0))</f>
        <v/>
      </c>
      <c r="C480" s="204">
        <f>IF(A480="","",IFERROR(xlookup(A480,'MONTHLY ANALYSIS'!$A:$A,'MONTHLY ANALYSIS'!$L:$L),0))</f>
        <v/>
      </c>
      <c r="D480" s="205">
        <f>IF(A480="","",IFERROR(xlookup(A480,'MONTHLY ANALYSIS'!$A:$A,'MONTHLY ANALYSIS'!$M:$M),0))</f>
        <v/>
      </c>
      <c r="E480" s="190">
        <f>IF(A480="","",IF(D480&gt;0,"⚑ PAST MIDNIGHT","⚠ PAST 10PM ONLY"))</f>
        <v/>
      </c>
      <c r="F480" s="170">
        <f>IF(A480="","",IFERROR(xlookup(A480,'FLEET REGISTER'!$B:$B,'FLEET REGISTER'!$F:$F),"Unknown"))</f>
        <v/>
      </c>
      <c r="G480" s="200" t="n"/>
      <c r="H480" s="200" t="n"/>
      <c r="I480" s="200" t="n"/>
      <c r="J480" s="200" t="n"/>
      <c r="K480" s="200" t="n"/>
      <c r="L480" s="200" t="n"/>
    </row>
    <row r="481" ht="15" customHeight="1" s="122">
      <c r="A481" s="197">
        <f>IF(A480="","","")</f>
        <v/>
      </c>
      <c r="B481" s="197">
        <f>IF(A481="","",IFERROR(xlookup(A481,'MONTHLY ANALYSIS'!$A:$A,'MONTHLY ANALYSIS'!$L:$L),0))</f>
        <v/>
      </c>
      <c r="C481" s="204">
        <f>IF(A481="","",IFERROR(xlookup(A481,'MONTHLY ANALYSIS'!$A:$A,'MONTHLY ANALYSIS'!$L:$L),0))</f>
        <v/>
      </c>
      <c r="D481" s="205">
        <f>IF(A481="","",IFERROR(xlookup(A481,'MONTHLY ANALYSIS'!$A:$A,'MONTHLY ANALYSIS'!$M:$M),0))</f>
        <v/>
      </c>
      <c r="E481" s="190">
        <f>IF(A481="","",IF(D481&gt;0,"⚑ PAST MIDNIGHT","⚠ PAST 10PM ONLY"))</f>
        <v/>
      </c>
      <c r="F481" s="170">
        <f>IF(A481="","",IFERROR(xlookup(A481,'FLEET REGISTER'!$B:$B,'FLEET REGISTER'!$F:$F),"Unknown"))</f>
        <v/>
      </c>
      <c r="G481" s="200" t="n"/>
      <c r="H481" s="200" t="n"/>
      <c r="I481" s="200" t="n"/>
      <c r="J481" s="200" t="n"/>
      <c r="K481" s="200" t="n"/>
      <c r="L481" s="200" t="n"/>
    </row>
    <row r="482" ht="15" customHeight="1" s="122">
      <c r="A482" s="197">
        <f>IF(A481="","","")</f>
        <v/>
      </c>
      <c r="B482" s="197">
        <f>IF(A482="","",IFERROR(xlookup(A482,'MONTHLY ANALYSIS'!$A:$A,'MONTHLY ANALYSIS'!$L:$L),0))</f>
        <v/>
      </c>
      <c r="C482" s="204">
        <f>IF(A482="","",IFERROR(xlookup(A482,'MONTHLY ANALYSIS'!$A:$A,'MONTHLY ANALYSIS'!$L:$L),0))</f>
        <v/>
      </c>
      <c r="D482" s="205">
        <f>IF(A482="","",IFERROR(xlookup(A482,'MONTHLY ANALYSIS'!$A:$A,'MONTHLY ANALYSIS'!$M:$M),0))</f>
        <v/>
      </c>
      <c r="E482" s="190">
        <f>IF(A482="","",IF(D482&gt;0,"⚑ PAST MIDNIGHT","⚠ PAST 10PM ONLY"))</f>
        <v/>
      </c>
      <c r="F482" s="170">
        <f>IF(A482="","",IFERROR(xlookup(A482,'FLEET REGISTER'!$B:$B,'FLEET REGISTER'!$F:$F),"Unknown"))</f>
        <v/>
      </c>
      <c r="G482" s="200" t="n"/>
      <c r="H482" s="200" t="n"/>
      <c r="I482" s="200" t="n"/>
      <c r="J482" s="200" t="n"/>
      <c r="K482" s="200" t="n"/>
      <c r="L482" s="200" t="n"/>
    </row>
    <row r="483" ht="15" customHeight="1" s="122">
      <c r="A483" s="197">
        <f>IF(A482="","","")</f>
        <v/>
      </c>
      <c r="B483" s="197">
        <f>IF(A483="","",IFERROR(xlookup(A483,'MONTHLY ANALYSIS'!$A:$A,'MONTHLY ANALYSIS'!$L:$L),0))</f>
        <v/>
      </c>
      <c r="C483" s="204">
        <f>IF(A483="","",IFERROR(xlookup(A483,'MONTHLY ANALYSIS'!$A:$A,'MONTHLY ANALYSIS'!$L:$L),0))</f>
        <v/>
      </c>
      <c r="D483" s="205">
        <f>IF(A483="","",IFERROR(xlookup(A483,'MONTHLY ANALYSIS'!$A:$A,'MONTHLY ANALYSIS'!$M:$M),0))</f>
        <v/>
      </c>
      <c r="E483" s="190">
        <f>IF(A483="","",IF(D483&gt;0,"⚑ PAST MIDNIGHT","⚠ PAST 10PM ONLY"))</f>
        <v/>
      </c>
      <c r="F483" s="170">
        <f>IF(A483="","",IFERROR(xlookup(A483,'FLEET REGISTER'!$B:$B,'FLEET REGISTER'!$F:$F),"Unknown"))</f>
        <v/>
      </c>
      <c r="G483" s="200" t="n"/>
      <c r="H483" s="200" t="n"/>
      <c r="I483" s="200" t="n"/>
      <c r="J483" s="200" t="n"/>
      <c r="K483" s="200" t="n"/>
      <c r="L483" s="200" t="n"/>
    </row>
    <row r="484" ht="15" customHeight="1" s="122">
      <c r="A484" s="197">
        <f>IF(A483="","","")</f>
        <v/>
      </c>
      <c r="B484" s="197">
        <f>IF(A484="","",IFERROR(xlookup(A484,'MONTHLY ANALYSIS'!$A:$A,'MONTHLY ANALYSIS'!$L:$L),0))</f>
        <v/>
      </c>
      <c r="C484" s="204">
        <f>IF(A484="","",IFERROR(xlookup(A484,'MONTHLY ANALYSIS'!$A:$A,'MONTHLY ANALYSIS'!$L:$L),0))</f>
        <v/>
      </c>
      <c r="D484" s="205">
        <f>IF(A484="","",IFERROR(xlookup(A484,'MONTHLY ANALYSIS'!$A:$A,'MONTHLY ANALYSIS'!$M:$M),0))</f>
        <v/>
      </c>
      <c r="E484" s="190">
        <f>IF(A484="","",IF(D484&gt;0,"⚑ PAST MIDNIGHT","⚠ PAST 10PM ONLY"))</f>
        <v/>
      </c>
      <c r="F484" s="170">
        <f>IF(A484="","",IFERROR(xlookup(A484,'FLEET REGISTER'!$B:$B,'FLEET REGISTER'!$F:$F),"Unknown"))</f>
        <v/>
      </c>
      <c r="G484" s="200" t="n"/>
      <c r="H484" s="200" t="n"/>
      <c r="I484" s="200" t="n"/>
      <c r="J484" s="200" t="n"/>
      <c r="K484" s="200" t="n"/>
      <c r="L484" s="200" t="n"/>
    </row>
    <row r="485" ht="15" customHeight="1" s="122">
      <c r="A485" s="197">
        <f>IF(A484="","","")</f>
        <v/>
      </c>
      <c r="B485" s="197">
        <f>IF(A485="","",IFERROR(xlookup(A485,'MONTHLY ANALYSIS'!$A:$A,'MONTHLY ANALYSIS'!$L:$L),0))</f>
        <v/>
      </c>
      <c r="C485" s="204">
        <f>IF(A485="","",IFERROR(xlookup(A485,'MONTHLY ANALYSIS'!$A:$A,'MONTHLY ANALYSIS'!$L:$L),0))</f>
        <v/>
      </c>
      <c r="D485" s="205">
        <f>IF(A485="","",IFERROR(xlookup(A485,'MONTHLY ANALYSIS'!$A:$A,'MONTHLY ANALYSIS'!$M:$M),0))</f>
        <v/>
      </c>
      <c r="E485" s="190">
        <f>IF(A485="","",IF(D485&gt;0,"⚑ PAST MIDNIGHT","⚠ PAST 10PM ONLY"))</f>
        <v/>
      </c>
      <c r="F485" s="170">
        <f>IF(A485="","",IFERROR(xlookup(A485,'FLEET REGISTER'!$B:$B,'FLEET REGISTER'!$F:$F),"Unknown"))</f>
        <v/>
      </c>
      <c r="G485" s="200" t="n"/>
      <c r="H485" s="200" t="n"/>
      <c r="I485" s="200" t="n"/>
      <c r="J485" s="200" t="n"/>
      <c r="K485" s="200" t="n"/>
      <c r="L485" s="200" t="n"/>
    </row>
    <row r="486" ht="15" customHeight="1" s="122">
      <c r="A486" s="197">
        <f>IF(A485="","","")</f>
        <v/>
      </c>
      <c r="B486" s="197">
        <f>IF(A486="","",IFERROR(xlookup(A486,'MONTHLY ANALYSIS'!$A:$A,'MONTHLY ANALYSIS'!$L:$L),0))</f>
        <v/>
      </c>
      <c r="C486" s="204">
        <f>IF(A486="","",IFERROR(xlookup(A486,'MONTHLY ANALYSIS'!$A:$A,'MONTHLY ANALYSIS'!$L:$L),0))</f>
        <v/>
      </c>
      <c r="D486" s="205">
        <f>IF(A486="","",IFERROR(xlookup(A486,'MONTHLY ANALYSIS'!$A:$A,'MONTHLY ANALYSIS'!$M:$M),0))</f>
        <v/>
      </c>
      <c r="E486" s="190">
        <f>IF(A486="","",IF(D486&gt;0,"⚑ PAST MIDNIGHT","⚠ PAST 10PM ONLY"))</f>
        <v/>
      </c>
      <c r="F486" s="170">
        <f>IF(A486="","",IFERROR(xlookup(A486,'FLEET REGISTER'!$B:$B,'FLEET REGISTER'!$F:$F),"Unknown"))</f>
        <v/>
      </c>
      <c r="G486" s="200" t="n"/>
      <c r="H486" s="200" t="n"/>
      <c r="I486" s="200" t="n"/>
      <c r="J486" s="200" t="n"/>
      <c r="K486" s="200" t="n"/>
      <c r="L486" s="200" t="n"/>
    </row>
    <row r="487" ht="15" customHeight="1" s="122">
      <c r="A487" s="197">
        <f>IF(A486="","","")</f>
        <v/>
      </c>
      <c r="B487" s="197">
        <f>IF(A487="","",IFERROR(xlookup(A487,'MONTHLY ANALYSIS'!$A:$A,'MONTHLY ANALYSIS'!$L:$L),0))</f>
        <v/>
      </c>
      <c r="C487" s="204">
        <f>IF(A487="","",IFERROR(xlookup(A487,'MONTHLY ANALYSIS'!$A:$A,'MONTHLY ANALYSIS'!$L:$L),0))</f>
        <v/>
      </c>
      <c r="D487" s="205">
        <f>IF(A487="","",IFERROR(xlookup(A487,'MONTHLY ANALYSIS'!$A:$A,'MONTHLY ANALYSIS'!$M:$M),0))</f>
        <v/>
      </c>
      <c r="E487" s="190">
        <f>IF(A487="","",IF(D487&gt;0,"⚑ PAST MIDNIGHT","⚠ PAST 10PM ONLY"))</f>
        <v/>
      </c>
      <c r="F487" s="170">
        <f>IF(A487="","",IFERROR(xlookup(A487,'FLEET REGISTER'!$B:$B,'FLEET REGISTER'!$F:$F),"Unknown"))</f>
        <v/>
      </c>
      <c r="G487" s="200" t="n"/>
      <c r="H487" s="200" t="n"/>
      <c r="I487" s="200" t="n"/>
      <c r="J487" s="200" t="n"/>
      <c r="K487" s="200" t="n"/>
      <c r="L487" s="200" t="n"/>
    </row>
    <row r="488" ht="15" customHeight="1" s="122">
      <c r="A488" s="197">
        <f>IF(A487="","","")</f>
        <v/>
      </c>
      <c r="B488" s="197">
        <f>IF(A488="","",IFERROR(xlookup(A488,'MONTHLY ANALYSIS'!$A:$A,'MONTHLY ANALYSIS'!$L:$L),0))</f>
        <v/>
      </c>
      <c r="C488" s="204">
        <f>IF(A488="","",IFERROR(xlookup(A488,'MONTHLY ANALYSIS'!$A:$A,'MONTHLY ANALYSIS'!$L:$L),0))</f>
        <v/>
      </c>
      <c r="D488" s="205">
        <f>IF(A488="","",IFERROR(xlookup(A488,'MONTHLY ANALYSIS'!$A:$A,'MONTHLY ANALYSIS'!$M:$M),0))</f>
        <v/>
      </c>
      <c r="E488" s="190">
        <f>IF(A488="","",IF(D488&gt;0,"⚑ PAST MIDNIGHT","⚠ PAST 10PM ONLY"))</f>
        <v/>
      </c>
      <c r="F488" s="170">
        <f>IF(A488="","",IFERROR(xlookup(A488,'FLEET REGISTER'!$B:$B,'FLEET REGISTER'!$F:$F),"Unknown"))</f>
        <v/>
      </c>
      <c r="G488" s="200" t="n"/>
      <c r="H488" s="200" t="n"/>
      <c r="I488" s="200" t="n"/>
      <c r="J488" s="200" t="n"/>
      <c r="K488" s="200" t="n"/>
      <c r="L488" s="200" t="n"/>
    </row>
    <row r="489" ht="15" customHeight="1" s="122">
      <c r="A489" s="197">
        <f>IF(A488="","","")</f>
        <v/>
      </c>
      <c r="B489" s="197">
        <f>IF(A489="","",IFERROR(xlookup(A489,'MONTHLY ANALYSIS'!$A:$A,'MONTHLY ANALYSIS'!$L:$L),0))</f>
        <v/>
      </c>
      <c r="C489" s="204">
        <f>IF(A489="","",IFERROR(xlookup(A489,'MONTHLY ANALYSIS'!$A:$A,'MONTHLY ANALYSIS'!$L:$L),0))</f>
        <v/>
      </c>
      <c r="D489" s="205">
        <f>IF(A489="","",IFERROR(xlookup(A489,'MONTHLY ANALYSIS'!$A:$A,'MONTHLY ANALYSIS'!$M:$M),0))</f>
        <v/>
      </c>
      <c r="E489" s="190">
        <f>IF(A489="","",IF(D489&gt;0,"⚑ PAST MIDNIGHT","⚠ PAST 10PM ONLY"))</f>
        <v/>
      </c>
      <c r="F489" s="170">
        <f>IF(A489="","",IFERROR(xlookup(A489,'FLEET REGISTER'!$B:$B,'FLEET REGISTER'!$F:$F),"Unknown"))</f>
        <v/>
      </c>
      <c r="G489" s="200" t="n"/>
      <c r="H489" s="200" t="n"/>
      <c r="I489" s="200" t="n"/>
      <c r="J489" s="200" t="n"/>
      <c r="K489" s="200" t="n"/>
      <c r="L489" s="200" t="n"/>
    </row>
    <row r="490" ht="15" customHeight="1" s="122">
      <c r="A490" s="197">
        <f>IF(A489="","","")</f>
        <v/>
      </c>
      <c r="B490" s="197">
        <f>IF(A490="","",IFERROR(xlookup(A490,'MONTHLY ANALYSIS'!$A:$A,'MONTHLY ANALYSIS'!$L:$L),0))</f>
        <v/>
      </c>
      <c r="C490" s="204">
        <f>IF(A490="","",IFERROR(xlookup(A490,'MONTHLY ANALYSIS'!$A:$A,'MONTHLY ANALYSIS'!$L:$L),0))</f>
        <v/>
      </c>
      <c r="D490" s="205">
        <f>IF(A490="","",IFERROR(xlookup(A490,'MONTHLY ANALYSIS'!$A:$A,'MONTHLY ANALYSIS'!$M:$M),0))</f>
        <v/>
      </c>
      <c r="E490" s="190">
        <f>IF(A490="","",IF(D490&gt;0,"⚑ PAST MIDNIGHT","⚠ PAST 10PM ONLY"))</f>
        <v/>
      </c>
      <c r="F490" s="170">
        <f>IF(A490="","",IFERROR(xlookup(A490,'FLEET REGISTER'!$B:$B,'FLEET REGISTER'!$F:$F),"Unknown"))</f>
        <v/>
      </c>
      <c r="G490" s="200" t="n"/>
      <c r="H490" s="200" t="n"/>
      <c r="I490" s="200" t="n"/>
      <c r="J490" s="200" t="n"/>
      <c r="K490" s="200" t="n"/>
      <c r="L490" s="200" t="n"/>
    </row>
    <row r="491" ht="15" customHeight="1" s="122">
      <c r="A491" s="197">
        <f>IF(A490="","","")</f>
        <v/>
      </c>
      <c r="B491" s="197">
        <f>IF(A491="","",IFERROR(xlookup(A491,'MONTHLY ANALYSIS'!$A:$A,'MONTHLY ANALYSIS'!$L:$L),0))</f>
        <v/>
      </c>
      <c r="C491" s="204">
        <f>IF(A491="","",IFERROR(xlookup(A491,'MONTHLY ANALYSIS'!$A:$A,'MONTHLY ANALYSIS'!$L:$L),0))</f>
        <v/>
      </c>
      <c r="D491" s="205">
        <f>IF(A491="","",IFERROR(xlookup(A491,'MONTHLY ANALYSIS'!$A:$A,'MONTHLY ANALYSIS'!$M:$M),0))</f>
        <v/>
      </c>
      <c r="E491" s="190">
        <f>IF(A491="","",IF(D491&gt;0,"⚑ PAST MIDNIGHT","⚠ PAST 10PM ONLY"))</f>
        <v/>
      </c>
      <c r="F491" s="170">
        <f>IF(A491="","",IFERROR(xlookup(A491,'FLEET REGISTER'!$B:$B,'FLEET REGISTER'!$F:$F),"Unknown"))</f>
        <v/>
      </c>
      <c r="G491" s="200" t="n"/>
      <c r="H491" s="200" t="n"/>
      <c r="I491" s="200" t="n"/>
      <c r="J491" s="200" t="n"/>
      <c r="K491" s="200" t="n"/>
      <c r="L491" s="200" t="n"/>
    </row>
    <row r="492" ht="15" customHeight="1" s="122">
      <c r="A492" s="197">
        <f>IF(A491="","","")</f>
        <v/>
      </c>
      <c r="B492" s="197">
        <f>IF(A492="","",IFERROR(xlookup(A492,'MONTHLY ANALYSIS'!$A:$A,'MONTHLY ANALYSIS'!$L:$L),0))</f>
        <v/>
      </c>
      <c r="C492" s="204">
        <f>IF(A492="","",IFERROR(xlookup(A492,'MONTHLY ANALYSIS'!$A:$A,'MONTHLY ANALYSIS'!$L:$L),0))</f>
        <v/>
      </c>
      <c r="D492" s="205">
        <f>IF(A492="","",IFERROR(xlookup(A492,'MONTHLY ANALYSIS'!$A:$A,'MONTHLY ANALYSIS'!$M:$M),0))</f>
        <v/>
      </c>
      <c r="E492" s="190">
        <f>IF(A492="","",IF(D492&gt;0,"⚑ PAST MIDNIGHT","⚠ PAST 10PM ONLY"))</f>
        <v/>
      </c>
      <c r="F492" s="170">
        <f>IF(A492="","",IFERROR(xlookup(A492,'FLEET REGISTER'!$B:$B,'FLEET REGISTER'!$F:$F),"Unknown"))</f>
        <v/>
      </c>
      <c r="G492" s="200" t="n"/>
      <c r="H492" s="200" t="n"/>
      <c r="I492" s="200" t="n"/>
      <c r="J492" s="200" t="n"/>
      <c r="K492" s="200" t="n"/>
      <c r="L492" s="200" t="n"/>
    </row>
    <row r="493" ht="15" customHeight="1" s="122">
      <c r="A493" s="197">
        <f>IF(A492="","","")</f>
        <v/>
      </c>
      <c r="B493" s="197">
        <f>IF(A493="","",IFERROR(xlookup(A493,'MONTHLY ANALYSIS'!$A:$A,'MONTHLY ANALYSIS'!$L:$L),0))</f>
        <v/>
      </c>
      <c r="C493" s="204">
        <f>IF(A493="","",IFERROR(xlookup(A493,'MONTHLY ANALYSIS'!$A:$A,'MONTHLY ANALYSIS'!$L:$L),0))</f>
        <v/>
      </c>
      <c r="D493" s="205">
        <f>IF(A493="","",IFERROR(xlookup(A493,'MONTHLY ANALYSIS'!$A:$A,'MONTHLY ANALYSIS'!$M:$M),0))</f>
        <v/>
      </c>
      <c r="E493" s="190">
        <f>IF(A493="","",IF(D493&gt;0,"⚑ PAST MIDNIGHT","⚠ PAST 10PM ONLY"))</f>
        <v/>
      </c>
      <c r="F493" s="170">
        <f>IF(A493="","",IFERROR(xlookup(A493,'FLEET REGISTER'!$B:$B,'FLEET REGISTER'!$F:$F),"Unknown"))</f>
        <v/>
      </c>
      <c r="G493" s="200" t="n"/>
      <c r="H493" s="200" t="n"/>
      <c r="I493" s="200" t="n"/>
      <c r="J493" s="200" t="n"/>
      <c r="K493" s="200" t="n"/>
      <c r="L493" s="200" t="n"/>
    </row>
    <row r="494" ht="15" customHeight="1" s="122">
      <c r="A494" s="197">
        <f>IF(A493="","","")</f>
        <v/>
      </c>
      <c r="B494" s="197">
        <f>IF(A494="","",IFERROR(xlookup(A494,'MONTHLY ANALYSIS'!$A:$A,'MONTHLY ANALYSIS'!$L:$L),0))</f>
        <v/>
      </c>
      <c r="C494" s="204">
        <f>IF(A494="","",IFERROR(xlookup(A494,'MONTHLY ANALYSIS'!$A:$A,'MONTHLY ANALYSIS'!$L:$L),0))</f>
        <v/>
      </c>
      <c r="D494" s="205">
        <f>IF(A494="","",IFERROR(xlookup(A494,'MONTHLY ANALYSIS'!$A:$A,'MONTHLY ANALYSIS'!$M:$M),0))</f>
        <v/>
      </c>
      <c r="E494" s="190">
        <f>IF(A494="","",IF(D494&gt;0,"⚑ PAST MIDNIGHT","⚠ PAST 10PM ONLY"))</f>
        <v/>
      </c>
      <c r="F494" s="170">
        <f>IF(A494="","",IFERROR(xlookup(A494,'FLEET REGISTER'!$B:$B,'FLEET REGISTER'!$F:$F),"Unknown"))</f>
        <v/>
      </c>
      <c r="G494" s="200" t="n"/>
      <c r="H494" s="200" t="n"/>
      <c r="I494" s="200" t="n"/>
      <c r="J494" s="200" t="n"/>
      <c r="K494" s="200" t="n"/>
      <c r="L494" s="200" t="n"/>
    </row>
    <row r="495" ht="15" customHeight="1" s="122">
      <c r="A495" s="197">
        <f>IF(A494="","","")</f>
        <v/>
      </c>
      <c r="B495" s="197">
        <f>IF(A495="","",IFERROR(xlookup(A495,'MONTHLY ANALYSIS'!$A:$A,'MONTHLY ANALYSIS'!$L:$L),0))</f>
        <v/>
      </c>
      <c r="C495" s="204">
        <f>IF(A495="","",IFERROR(xlookup(A495,'MONTHLY ANALYSIS'!$A:$A,'MONTHLY ANALYSIS'!$L:$L),0))</f>
        <v/>
      </c>
      <c r="D495" s="205">
        <f>IF(A495="","",IFERROR(xlookup(A495,'MONTHLY ANALYSIS'!$A:$A,'MONTHLY ANALYSIS'!$M:$M),0))</f>
        <v/>
      </c>
      <c r="E495" s="190">
        <f>IF(A495="","",IF(D495&gt;0,"⚑ PAST MIDNIGHT","⚠ PAST 10PM ONLY"))</f>
        <v/>
      </c>
      <c r="F495" s="170">
        <f>IF(A495="","",IFERROR(xlookup(A495,'FLEET REGISTER'!$B:$B,'FLEET REGISTER'!$F:$F),"Unknown"))</f>
        <v/>
      </c>
      <c r="G495" s="200" t="n"/>
      <c r="H495" s="200" t="n"/>
      <c r="I495" s="200" t="n"/>
      <c r="J495" s="200" t="n"/>
      <c r="K495" s="200" t="n"/>
      <c r="L495" s="200" t="n"/>
    </row>
    <row r="496" ht="15" customHeight="1" s="122">
      <c r="A496" s="197">
        <f>IF(A495="","","")</f>
        <v/>
      </c>
      <c r="B496" s="197">
        <f>IF(A496="","",IFERROR(xlookup(A496,'MONTHLY ANALYSIS'!$A:$A,'MONTHLY ANALYSIS'!$L:$L),0))</f>
        <v/>
      </c>
      <c r="C496" s="204">
        <f>IF(A496="","",IFERROR(xlookup(A496,'MONTHLY ANALYSIS'!$A:$A,'MONTHLY ANALYSIS'!$L:$L),0))</f>
        <v/>
      </c>
      <c r="D496" s="205">
        <f>IF(A496="","",IFERROR(xlookup(A496,'MONTHLY ANALYSIS'!$A:$A,'MONTHLY ANALYSIS'!$M:$M),0))</f>
        <v/>
      </c>
      <c r="E496" s="190">
        <f>IF(A496="","",IF(D496&gt;0,"⚑ PAST MIDNIGHT","⚠ PAST 10PM ONLY"))</f>
        <v/>
      </c>
      <c r="F496" s="170">
        <f>IF(A496="","",IFERROR(xlookup(A496,'FLEET REGISTER'!$B:$B,'FLEET REGISTER'!$F:$F),"Unknown"))</f>
        <v/>
      </c>
      <c r="G496" s="200" t="n"/>
      <c r="H496" s="200" t="n"/>
      <c r="I496" s="200" t="n"/>
      <c r="J496" s="200" t="n"/>
      <c r="K496" s="200" t="n"/>
      <c r="L496" s="200" t="n"/>
    </row>
    <row r="497" ht="15" customHeight="1" s="122">
      <c r="A497" s="197">
        <f>IF(A496="","","")</f>
        <v/>
      </c>
      <c r="B497" s="197">
        <f>IF(A497="","",IFERROR(xlookup(A497,'MONTHLY ANALYSIS'!$A:$A,'MONTHLY ANALYSIS'!$L:$L),0))</f>
        <v/>
      </c>
      <c r="C497" s="204">
        <f>IF(A497="","",IFERROR(xlookup(A497,'MONTHLY ANALYSIS'!$A:$A,'MONTHLY ANALYSIS'!$L:$L),0))</f>
        <v/>
      </c>
      <c r="D497" s="205">
        <f>IF(A497="","",IFERROR(xlookup(A497,'MONTHLY ANALYSIS'!$A:$A,'MONTHLY ANALYSIS'!$M:$M),0))</f>
        <v/>
      </c>
      <c r="E497" s="190">
        <f>IF(A497="","",IF(D497&gt;0,"⚑ PAST MIDNIGHT","⚠ PAST 10PM ONLY"))</f>
        <v/>
      </c>
      <c r="F497" s="170">
        <f>IF(A497="","",IFERROR(xlookup(A497,'FLEET REGISTER'!$B:$B,'FLEET REGISTER'!$F:$F),"Unknown"))</f>
        <v/>
      </c>
      <c r="G497" s="200" t="n"/>
      <c r="H497" s="200" t="n"/>
      <c r="I497" s="200" t="n"/>
      <c r="J497" s="200" t="n"/>
      <c r="K497" s="200" t="n"/>
      <c r="L497" s="200" t="n"/>
    </row>
    <row r="498" ht="15" customHeight="1" s="122">
      <c r="A498" s="197">
        <f>IF(A497="","","")</f>
        <v/>
      </c>
      <c r="B498" s="197">
        <f>IF(A498="","",IFERROR(xlookup(A498,'MONTHLY ANALYSIS'!$A:$A,'MONTHLY ANALYSIS'!$L:$L),0))</f>
        <v/>
      </c>
      <c r="C498" s="204">
        <f>IF(A498="","",IFERROR(xlookup(A498,'MONTHLY ANALYSIS'!$A:$A,'MONTHLY ANALYSIS'!$L:$L),0))</f>
        <v/>
      </c>
      <c r="D498" s="205">
        <f>IF(A498="","",IFERROR(xlookup(A498,'MONTHLY ANALYSIS'!$A:$A,'MONTHLY ANALYSIS'!$M:$M),0))</f>
        <v/>
      </c>
      <c r="E498" s="190">
        <f>IF(A498="","",IF(D498&gt;0,"⚑ PAST MIDNIGHT","⚠ PAST 10PM ONLY"))</f>
        <v/>
      </c>
      <c r="F498" s="170">
        <f>IF(A498="","",IFERROR(xlookup(A498,'FLEET REGISTER'!$B:$B,'FLEET REGISTER'!$F:$F),"Unknown"))</f>
        <v/>
      </c>
      <c r="G498" s="200" t="n"/>
      <c r="H498" s="200" t="n"/>
      <c r="I498" s="200" t="n"/>
      <c r="J498" s="200" t="n"/>
      <c r="K498" s="200" t="n"/>
      <c r="L498" s="200" t="n"/>
    </row>
    <row r="499" ht="15" customHeight="1" s="122">
      <c r="A499" s="197">
        <f>IF(A498="","","")</f>
        <v/>
      </c>
      <c r="B499" s="197">
        <f>IF(A499="","",IFERROR(xlookup(A499,'MONTHLY ANALYSIS'!$A:$A,'MONTHLY ANALYSIS'!$L:$L),0))</f>
        <v/>
      </c>
      <c r="C499" s="204">
        <f>IF(A499="","",IFERROR(xlookup(A499,'MONTHLY ANALYSIS'!$A:$A,'MONTHLY ANALYSIS'!$L:$L),0))</f>
        <v/>
      </c>
      <c r="D499" s="205">
        <f>IF(A499="","",IFERROR(xlookup(A499,'MONTHLY ANALYSIS'!$A:$A,'MONTHLY ANALYSIS'!$M:$M),0))</f>
        <v/>
      </c>
      <c r="E499" s="190">
        <f>IF(A499="","",IF(D499&gt;0,"⚑ PAST MIDNIGHT","⚠ PAST 10PM ONLY"))</f>
        <v/>
      </c>
      <c r="F499" s="170">
        <f>IF(A499="","",IFERROR(xlookup(A499,'FLEET REGISTER'!$B:$B,'FLEET REGISTER'!$F:$F),"Unknown"))</f>
        <v/>
      </c>
      <c r="G499" s="200" t="n"/>
      <c r="H499" s="200" t="n"/>
      <c r="I499" s="200" t="n"/>
      <c r="J499" s="200" t="n"/>
      <c r="K499" s="200" t="n"/>
      <c r="L499" s="200" t="n"/>
    </row>
  </sheetData>
  <autoFilter ref="A3:L3"/>
  <mergeCells count="2">
    <mergeCell ref="A2:L2"/>
    <mergeCell ref="A1:L1"/>
  </mergeCells>
  <conditionalFormatting sqref="A4:L500">
    <cfRule type="expression" rank="0" priority="2" equalAverage="0" aboveAverage="0" dxfId="13" text="" percent="0" bottom="0">
      <formula>AND($D4&gt;0,$G4&lt;&gt;"Permission Granted",$A4&lt;&gt;"")</formula>
    </cfRule>
    <cfRule type="expression" rank="0" priority="3" equalAverage="0" aboveAverage="0" dxfId="14" text="" percent="0" bottom="0">
      <formula>AND($C4&gt;0,$D4=0,$G4&lt;&gt;"Permission Granted",$A4&lt;&gt;"")</formula>
    </cfRule>
    <cfRule type="expression" rank="0" priority="4" equalAverage="0" aboveAverage="0" dxfId="18" text="" percent="0" bottom="0">
      <formula>$G4="Permission Granted"</formula>
    </cfRule>
  </conditionalFormatting>
  <dataValidations count="2">
    <dataValidation sqref="G4:G500" showDropDown="0" showInputMessage="0" showErrorMessage="0" allowBlank="1" type="list" errorStyle="stop" operator="between">
      <formula1>"Not Granted,Permission Granted,Under Investigation,Escalated to HR"</formula1>
      <formula2>0</formula2>
    </dataValidation>
    <dataValidation sqref="I4:I500" showDropDown="0" showInputMessage="0" showErrorMessage="0" allowBlank="1" type="list" errorStyle="stop" operator="between">
      <formula1>"None,Verbal Warning,Official Warning,Show Cause Letter,Disciplinary Hearing,Suspended,Dismissed,Cleared"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4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21" min="1" max="1"/>
    <col width="12" customWidth="1" style="121" min="2" max="2"/>
    <col width="22" customWidth="1" style="121" min="3" max="3"/>
    <col width="14" customWidth="1" style="121" min="4" max="4"/>
    <col width="13" customWidth="1" style="121" min="5" max="5"/>
    <col width="22" customWidth="1" style="121" min="6" max="6"/>
    <col width="40" customWidth="1" style="121" min="7" max="7"/>
    <col width="20" customWidth="1" style="121" min="8" max="8"/>
    <col width="13" customWidth="1" style="121" min="9" max="9"/>
    <col width="20" customWidth="1" style="121" min="10" max="10"/>
    <col width="13" customWidth="1" style="121" min="11" max="11"/>
    <col width="30" customWidth="1" style="121" min="12" max="12"/>
    <col width="16" customWidth="1" style="121" min="13" max="13"/>
  </cols>
  <sheetData>
    <row r="1" ht="27.75" customHeight="1" s="122">
      <c r="A1" s="193" t="inlineStr">
        <is>
          <t>📝  DISCIPLINE TRACKER — CUMULATIVE RECORD OF ALL WARNINGS &amp; ACTIONS</t>
        </is>
      </c>
    </row>
    <row r="2" ht="15.75" customHeight="1" s="122">
      <c r="A2" s="194" t="inlineStr">
        <is>
          <t>This tab is NEVER cleared.  Add new entries each month.  The Offence Count column auto-calculates all-time violations per driver.  Progression: Verbal → Official Warning → Show Cause → Disciplinary Hearing.</t>
        </is>
      </c>
    </row>
    <row r="3" ht="21.75" customHeight="1" s="122">
      <c r="A3" s="195" t="inlineStr">
        <is>
          <t>Month</t>
        </is>
      </c>
      <c r="B3" s="195" t="inlineStr">
        <is>
          <t>Reg No</t>
        </is>
      </c>
      <c r="C3" s="195" t="inlineStr">
        <is>
          <t>Driver Name</t>
        </is>
      </c>
      <c r="D3" s="195" t="inlineStr">
        <is>
          <t>Designation</t>
        </is>
      </c>
      <c r="E3" s="195" t="inlineStr">
        <is>
          <t>Region</t>
        </is>
      </c>
      <c r="F3" s="195" t="inlineStr">
        <is>
          <t>Violation Type</t>
        </is>
      </c>
      <c r="G3" s="195" t="inlineStr">
        <is>
          <t>Violation Details</t>
        </is>
      </c>
      <c r="H3" s="162" t="inlineStr">
        <is>
          <t>Action Taken</t>
        </is>
      </c>
      <c r="I3" s="162" t="inlineStr">
        <is>
          <t>Action Date</t>
        </is>
      </c>
      <c r="J3" s="162" t="inlineStr">
        <is>
          <t>Issued By</t>
        </is>
      </c>
      <c r="K3" s="162" t="inlineStr">
        <is>
          <t>Acknowledged?</t>
        </is>
      </c>
      <c r="L3" s="185" t="inlineStr">
        <is>
          <t>Notes</t>
        </is>
      </c>
      <c r="M3" s="185" t="inlineStr">
        <is>
          <t>All-time Offence Count</t>
        </is>
      </c>
    </row>
    <row r="4" ht="15" customHeight="1" s="122">
      <c r="A4" s="165" t="inlineStr">
        <is>
          <t>February 2026</t>
        </is>
      </c>
      <c r="B4" s="164" t="inlineStr">
        <is>
          <t>KAAC 309C</t>
        </is>
      </c>
      <c r="C4" s="165" t="inlineStr">
        <is>
          <t>Driver_47</t>
        </is>
      </c>
      <c r="D4" s="163" t="inlineStr">
        <is>
          <t>TBE</t>
        </is>
      </c>
      <c r="E4" s="163" t="inlineStr">
        <is>
          <t>Nyanza</t>
        </is>
      </c>
      <c r="F4" s="165" t="inlineStr">
        <is>
          <t>Overspeeding (&gt;90 km/h)</t>
        </is>
      </c>
      <c r="G4" s="165" t="inlineStr">
        <is>
          <t>Max speed: 118 km/h on 2026-12-02 15:04:22</t>
        </is>
      </c>
      <c r="H4" s="163" t="inlineStr">
        <is>
          <t>None</t>
        </is>
      </c>
      <c r="I4" s="163" t="n"/>
      <c r="J4" s="165" t="n"/>
      <c r="K4" s="163" t="inlineStr">
        <is>
          <t>Pending</t>
        </is>
      </c>
      <c r="L4" s="165" t="n"/>
      <c r="M4" s="206">
        <f>IF(B4="","",COUNTIF($B$4:$B$500,B4))</f>
        <v/>
      </c>
    </row>
    <row r="5" ht="15" customHeight="1" s="122">
      <c r="A5" s="168" t="inlineStr">
        <is>
          <t>February 2026</t>
        </is>
      </c>
      <c r="B5" s="167" t="inlineStr">
        <is>
          <t>KBB 111Q</t>
        </is>
      </c>
      <c r="C5" s="168" t="inlineStr">
        <is>
          <t>Driver_12</t>
        </is>
      </c>
      <c r="D5" s="166" t="inlineStr">
        <is>
          <t>ABM</t>
        </is>
      </c>
      <c r="E5" s="166" t="inlineStr">
        <is>
          <t>North Rift</t>
        </is>
      </c>
      <c r="F5" s="168" t="inlineStr">
        <is>
          <t>Overspeeding (&gt;90 km/h)</t>
        </is>
      </c>
      <c r="G5" s="168" t="inlineStr">
        <is>
          <t>Max speed: 101 km/h on 2026-03-02 15:07:22</t>
        </is>
      </c>
      <c r="H5" s="166" t="inlineStr">
        <is>
          <t>None</t>
        </is>
      </c>
      <c r="I5" s="166" t="n"/>
      <c r="J5" s="168" t="n"/>
      <c r="K5" s="166" t="inlineStr">
        <is>
          <t>Pending</t>
        </is>
      </c>
      <c r="L5" s="168" t="n"/>
      <c r="M5" s="206">
        <f>IF(B5="","",COUNTIF($B$4:$B$500,B5))</f>
        <v/>
      </c>
    </row>
    <row r="6" ht="15" customHeight="1" s="122">
      <c r="A6" s="165" t="inlineStr">
        <is>
          <t>February 2026</t>
        </is>
      </c>
      <c r="B6" s="164" t="inlineStr">
        <is>
          <t>KBB 127Q</t>
        </is>
      </c>
      <c r="C6" s="165" t="inlineStr">
        <is>
          <t>Driver_28</t>
        </is>
      </c>
      <c r="D6" s="163" t="inlineStr">
        <is>
          <t>ABM</t>
        </is>
      </c>
      <c r="E6" s="163" t="inlineStr">
        <is>
          <t>Territory_03</t>
        </is>
      </c>
      <c r="F6" s="165" t="inlineStr">
        <is>
          <t>Overspeeding (&gt;90 km/h)</t>
        </is>
      </c>
      <c r="G6" s="165" t="inlineStr">
        <is>
          <t>Max speed: 103 km/h on 2026-05-02 10:37:14</t>
        </is>
      </c>
      <c r="H6" s="163" t="inlineStr">
        <is>
          <t>None</t>
        </is>
      </c>
      <c r="I6" s="163" t="n"/>
      <c r="J6" s="165" t="n"/>
      <c r="K6" s="163" t="inlineStr">
        <is>
          <t>Pending</t>
        </is>
      </c>
      <c r="L6" s="165" t="n"/>
      <c r="M6" s="206">
        <f>IF(B6="","",COUNTIF($B$4:$B$500,B6))</f>
        <v/>
      </c>
    </row>
    <row r="7" ht="15" customHeight="1" s="122">
      <c r="A7" s="168" t="inlineStr">
        <is>
          <t>February 2026</t>
        </is>
      </c>
      <c r="B7" s="167" t="inlineStr">
        <is>
          <t>KBB 113Q</t>
        </is>
      </c>
      <c r="C7" s="168" t="inlineStr">
        <is>
          <t>Driver_14</t>
        </is>
      </c>
      <c r="D7" s="166" t="inlineStr">
        <is>
          <t>Trainer</t>
        </is>
      </c>
      <c r="E7" s="166" t="inlineStr">
        <is>
          <t>Nyanza</t>
        </is>
      </c>
      <c r="F7" s="168" t="inlineStr">
        <is>
          <t>Overspeeding (&gt;90 km/h)</t>
        </is>
      </c>
      <c r="G7" s="168" t="inlineStr">
        <is>
          <t>Max speed: 102 km/h on 19-02-2026 12:55:29</t>
        </is>
      </c>
      <c r="H7" s="166" t="inlineStr">
        <is>
          <t>None</t>
        </is>
      </c>
      <c r="I7" s="166" t="n"/>
      <c r="J7" s="168" t="n"/>
      <c r="K7" s="166" t="inlineStr">
        <is>
          <t>Pending</t>
        </is>
      </c>
      <c r="L7" s="168" t="n"/>
      <c r="M7" s="206">
        <f>IF(B7="","",COUNTIF($B$4:$B$500,B7))</f>
        <v/>
      </c>
    </row>
    <row r="8" ht="15" customHeight="1" s="122">
      <c r="A8" s="165" t="inlineStr">
        <is>
          <t>February 2026</t>
        </is>
      </c>
      <c r="B8" s="164" t="inlineStr">
        <is>
          <t>KAAB 201Z</t>
        </is>
      </c>
      <c r="C8" s="165" t="inlineStr">
        <is>
          <t>Driver_33</t>
        </is>
      </c>
      <c r="D8" s="163" t="inlineStr">
        <is>
          <t>TBE</t>
        </is>
      </c>
      <c r="E8" s="163" t="inlineStr">
        <is>
          <t>Territory_03</t>
        </is>
      </c>
      <c r="F8" s="165" t="inlineStr">
        <is>
          <t>Late Night - Past 10pm</t>
        </is>
      </c>
      <c r="G8" s="165" t="inlineStr">
        <is>
          <t>Drove past 10pm for 4 day(s). Permission not granted.</t>
        </is>
      </c>
      <c r="H8" s="163" t="inlineStr">
        <is>
          <t>None</t>
        </is>
      </c>
      <c r="I8" s="163" t="n"/>
      <c r="J8" s="165" t="n"/>
      <c r="K8" s="163" t="inlineStr">
        <is>
          <t>Pending</t>
        </is>
      </c>
      <c r="L8" s="165" t="n"/>
      <c r="M8" s="206">
        <f>IF(B8="","",COUNTIF($B$4:$B$500,B8))</f>
        <v/>
      </c>
    </row>
    <row r="9" ht="15" customHeight="1" s="122">
      <c r="A9" s="168" t="inlineStr">
        <is>
          <t>February 2026</t>
        </is>
      </c>
      <c r="B9" s="167" t="inlineStr">
        <is>
          <t>KAAC 309C</t>
        </is>
      </c>
      <c r="C9" s="168" t="inlineStr">
        <is>
          <t>Driver_47</t>
        </is>
      </c>
      <c r="D9" s="166" t="inlineStr">
        <is>
          <t>TBE</t>
        </is>
      </c>
      <c r="E9" s="166" t="inlineStr">
        <is>
          <t>Nyanza</t>
        </is>
      </c>
      <c r="F9" s="168" t="inlineStr">
        <is>
          <t>Late Night - Past 10pm</t>
        </is>
      </c>
      <c r="G9" s="168" t="inlineStr">
        <is>
          <t>Drove past 10pm for 2 day(s). Permission not granted.</t>
        </is>
      </c>
      <c r="H9" s="166" t="inlineStr">
        <is>
          <t>None</t>
        </is>
      </c>
      <c r="I9" s="166" t="n"/>
      <c r="J9" s="168" t="n"/>
      <c r="K9" s="166" t="inlineStr">
        <is>
          <t>Pending</t>
        </is>
      </c>
      <c r="L9" s="168" t="n"/>
      <c r="M9" s="206">
        <f>IF(B9="","",COUNTIF($B$4:$B$500,B9))</f>
        <v/>
      </c>
    </row>
    <row r="10" ht="15" customHeight="1" s="122">
      <c r="A10" s="165" t="inlineStr">
        <is>
          <t>February 2026</t>
        </is>
      </c>
      <c r="B10" s="164" t="inlineStr">
        <is>
          <t>KAAB 203Z</t>
        </is>
      </c>
      <c r="C10" s="165" t="inlineStr">
        <is>
          <t>Driver_37</t>
        </is>
      </c>
      <c r="D10" s="163" t="inlineStr">
        <is>
          <t>TBE</t>
        </is>
      </c>
      <c r="E10" s="163" t="inlineStr">
        <is>
          <t>Territory_25</t>
        </is>
      </c>
      <c r="F10" s="165" t="inlineStr">
        <is>
          <t>Late Night - Past 10pm</t>
        </is>
      </c>
      <c r="G10" s="165" t="inlineStr">
        <is>
          <t>Drove past 10pm for 2 day(s). Permission not granted.</t>
        </is>
      </c>
      <c r="H10" s="163" t="inlineStr">
        <is>
          <t>None</t>
        </is>
      </c>
      <c r="I10" s="163" t="n"/>
      <c r="J10" s="165" t="n"/>
      <c r="K10" s="163" t="inlineStr">
        <is>
          <t>Pending</t>
        </is>
      </c>
      <c r="L10" s="165" t="n"/>
      <c r="M10" s="206">
        <f>IF(B10="","",COUNTIF($B$4:$B$500,B10))</f>
        <v/>
      </c>
    </row>
    <row r="11" ht="15" customHeight="1" s="122">
      <c r="A11" s="168" t="inlineStr">
        <is>
          <t>February 2026</t>
        </is>
      </c>
      <c r="B11" s="167" t="inlineStr">
        <is>
          <t>KAAC 308C</t>
        </is>
      </c>
      <c r="C11" s="168" t="inlineStr">
        <is>
          <t>Driver_45</t>
        </is>
      </c>
      <c r="D11" s="166" t="inlineStr">
        <is>
          <t>TBE</t>
        </is>
      </c>
      <c r="E11" s="166" t="inlineStr">
        <is>
          <t>North Rift</t>
        </is>
      </c>
      <c r="F11" s="168" t="inlineStr">
        <is>
          <t>Late Night - Past 10pm</t>
        </is>
      </c>
      <c r="G11" s="168" t="inlineStr">
        <is>
          <t>Drove past 10pm for 6 day(s). Permission not granted.</t>
        </is>
      </c>
      <c r="H11" s="166" t="inlineStr">
        <is>
          <t>None</t>
        </is>
      </c>
      <c r="I11" s="166" t="n"/>
      <c r="J11" s="168" t="n"/>
      <c r="K11" s="166" t="inlineStr">
        <is>
          <t>Pending</t>
        </is>
      </c>
      <c r="L11" s="168" t="n"/>
      <c r="M11" s="206">
        <f>IF(B11="","",COUNTIF($B$4:$B$500,B11))</f>
        <v/>
      </c>
    </row>
    <row r="12" ht="15" customHeight="1" s="122">
      <c r="A12" s="165" t="inlineStr">
        <is>
          <t>February 2026</t>
        </is>
      </c>
      <c r="B12" s="164" t="inlineStr">
        <is>
          <t>KAAC 305C</t>
        </is>
      </c>
      <c r="C12" s="165" t="inlineStr">
        <is>
          <t>Driver_41</t>
        </is>
      </c>
      <c r="D12" s="163" t="inlineStr">
        <is>
          <t>TBE</t>
        </is>
      </c>
      <c r="E12" s="163" t="inlineStr">
        <is>
          <t>North Rift</t>
        </is>
      </c>
      <c r="F12" s="165" t="inlineStr">
        <is>
          <t>Late Night - Past 10pm</t>
        </is>
      </c>
      <c r="G12" s="165" t="inlineStr">
        <is>
          <t>Drove past 10pm for 3 day(s). Permission not granted.</t>
        </is>
      </c>
      <c r="H12" s="163" t="inlineStr">
        <is>
          <t>None</t>
        </is>
      </c>
      <c r="I12" s="163" t="n"/>
      <c r="J12" s="165" t="n"/>
      <c r="K12" s="163" t="inlineStr">
        <is>
          <t>Pending</t>
        </is>
      </c>
      <c r="L12" s="165" t="n"/>
      <c r="M12" s="206">
        <f>IF(B12="","",COUNTIF($B$4:$B$500,B12))</f>
        <v/>
      </c>
    </row>
    <row r="13" ht="15" customHeight="1" s="122">
      <c r="A13" s="168" t="inlineStr">
        <is>
          <t>February 2026</t>
        </is>
      </c>
      <c r="B13" s="167" t="inlineStr">
        <is>
          <t>KAAB 207Z</t>
        </is>
      </c>
      <c r="C13" s="168" t="inlineStr">
        <is>
          <t>Driver_46</t>
        </is>
      </c>
      <c r="D13" s="166" t="inlineStr">
        <is>
          <t>TBE</t>
        </is>
      </c>
      <c r="E13" s="166" t="inlineStr">
        <is>
          <t>North Rift</t>
        </is>
      </c>
      <c r="F13" s="168" t="inlineStr">
        <is>
          <t>Late Night - Past 10pm</t>
        </is>
      </c>
      <c r="G13" s="168" t="inlineStr">
        <is>
          <t>Drove past 10pm for 18 day(s). Permission not granted.</t>
        </is>
      </c>
      <c r="H13" s="166" t="inlineStr">
        <is>
          <t>None</t>
        </is>
      </c>
      <c r="I13" s="166" t="n"/>
      <c r="J13" s="168" t="n"/>
      <c r="K13" s="166" t="inlineStr">
        <is>
          <t>Pending</t>
        </is>
      </c>
      <c r="L13" s="168" t="n"/>
      <c r="M13" s="206">
        <f>IF(B13="","",COUNTIF($B$4:$B$500,B13))</f>
        <v/>
      </c>
    </row>
    <row r="14" ht="15" customHeight="1" s="122">
      <c r="A14" s="165" t="inlineStr">
        <is>
          <t>February 2026</t>
        </is>
      </c>
      <c r="B14" s="164" t="inlineStr">
        <is>
          <t>KAAB 209Z</t>
        </is>
      </c>
      <c r="C14" s="165" t="inlineStr">
        <is>
          <t>Driver_53</t>
        </is>
      </c>
      <c r="D14" s="163" t="inlineStr">
        <is>
          <t>TBE</t>
        </is>
      </c>
      <c r="E14" s="163" t="inlineStr">
        <is>
          <t>South Rift</t>
        </is>
      </c>
      <c r="F14" s="165" t="inlineStr">
        <is>
          <t>Late Night - Past 10pm</t>
        </is>
      </c>
      <c r="G14" s="165" t="inlineStr">
        <is>
          <t>Drove past 10pm for 5 day(s). Permission not granted.</t>
        </is>
      </c>
      <c r="H14" s="163" t="inlineStr">
        <is>
          <t>None</t>
        </is>
      </c>
      <c r="I14" s="163" t="n"/>
      <c r="J14" s="165" t="n"/>
      <c r="K14" s="163" t="inlineStr">
        <is>
          <t>Pending</t>
        </is>
      </c>
      <c r="L14" s="165" t="n"/>
      <c r="M14" s="206">
        <f>IF(B14="","",COUNTIF($B$4:$B$500,B14))</f>
        <v/>
      </c>
    </row>
    <row r="15" ht="15" customHeight="1" s="122">
      <c r="A15" s="168" t="inlineStr">
        <is>
          <t>February 2026</t>
        </is>
      </c>
      <c r="B15" s="167" t="inlineStr">
        <is>
          <t>KAAC 307C</t>
        </is>
      </c>
      <c r="C15" s="168" t="inlineStr">
        <is>
          <t>Driver_44</t>
        </is>
      </c>
      <c r="D15" s="166" t="inlineStr">
        <is>
          <t>TBE</t>
        </is>
      </c>
      <c r="E15" s="166" t="inlineStr">
        <is>
          <t>North Rift</t>
        </is>
      </c>
      <c r="F15" s="168" t="inlineStr">
        <is>
          <t>Late Night - Past 10pm</t>
        </is>
      </c>
      <c r="G15" s="168" t="inlineStr">
        <is>
          <t>Drove past 10pm for 3 day(s). Permission not granted.</t>
        </is>
      </c>
      <c r="H15" s="166" t="inlineStr">
        <is>
          <t>None</t>
        </is>
      </c>
      <c r="I15" s="166" t="n"/>
      <c r="J15" s="168" t="n"/>
      <c r="K15" s="166" t="inlineStr">
        <is>
          <t>Pending</t>
        </is>
      </c>
      <c r="L15" s="168" t="n"/>
      <c r="M15" s="206">
        <f>IF(B15="","",COUNTIF($B$4:$B$500,B15))</f>
        <v/>
      </c>
    </row>
    <row r="16" ht="15" customHeight="1" s="122">
      <c r="A16" s="165" t="inlineStr">
        <is>
          <t>February 2026</t>
        </is>
      </c>
      <c r="B16" s="164" t="inlineStr">
        <is>
          <t>KAAC 312C</t>
        </is>
      </c>
      <c r="C16" s="165" t="inlineStr">
        <is>
          <t>Driver_50</t>
        </is>
      </c>
      <c r="D16" s="163" t="inlineStr">
        <is>
          <t>TBE</t>
        </is>
      </c>
      <c r="E16" s="163" t="inlineStr">
        <is>
          <t>South Rift</t>
        </is>
      </c>
      <c r="F16" s="165" t="inlineStr">
        <is>
          <t>Late Night - Past 10pm</t>
        </is>
      </c>
      <c r="G16" s="165" t="inlineStr">
        <is>
          <t>Drove past 10pm for 2 day(s). Permission not granted.</t>
        </is>
      </c>
      <c r="H16" s="163" t="inlineStr">
        <is>
          <t>None</t>
        </is>
      </c>
      <c r="I16" s="163" t="n"/>
      <c r="J16" s="165" t="n"/>
      <c r="K16" s="163" t="inlineStr">
        <is>
          <t>Pending</t>
        </is>
      </c>
      <c r="L16" s="165" t="n"/>
      <c r="M16" s="206">
        <f>IF(B16="","",COUNTIF($B$4:$B$500,B16))</f>
        <v/>
      </c>
    </row>
    <row r="17" ht="15" customHeight="1" s="122">
      <c r="A17" s="168" t="inlineStr">
        <is>
          <t>February 2026</t>
        </is>
      </c>
      <c r="B17" s="167" t="inlineStr">
        <is>
          <t>KAAB 202Z</t>
        </is>
      </c>
      <c r="C17" s="168" t="inlineStr">
        <is>
          <t>Driver_34</t>
        </is>
      </c>
      <c r="D17" s="166" t="inlineStr">
        <is>
          <t>TBE</t>
        </is>
      </c>
      <c r="E17" s="166" t="inlineStr">
        <is>
          <t>Territory_03</t>
        </is>
      </c>
      <c r="F17" s="168" t="inlineStr">
        <is>
          <t>Late Night - Past 10pm</t>
        </is>
      </c>
      <c r="G17" s="168" t="inlineStr">
        <is>
          <t>Drove past 10pm for 1 day(s). Permission not granted.</t>
        </is>
      </c>
      <c r="H17" s="166" t="inlineStr">
        <is>
          <t>None</t>
        </is>
      </c>
      <c r="I17" s="166" t="n"/>
      <c r="J17" s="168" t="n"/>
      <c r="K17" s="166" t="inlineStr">
        <is>
          <t>Pending</t>
        </is>
      </c>
      <c r="L17" s="168" t="n"/>
      <c r="M17" s="206">
        <f>IF(B17="","",COUNTIF($B$4:$B$500,B17))</f>
        <v/>
      </c>
    </row>
    <row r="18" ht="15" customHeight="1" s="122">
      <c r="A18" s="165" t="inlineStr">
        <is>
          <t>February 2026</t>
        </is>
      </c>
      <c r="B18" s="164" t="inlineStr">
        <is>
          <t>KAAC 300C</t>
        </is>
      </c>
      <c r="C18" s="165" t="inlineStr">
        <is>
          <t>Driver_31</t>
        </is>
      </c>
      <c r="D18" s="163" t="inlineStr">
        <is>
          <t>TBE</t>
        </is>
      </c>
      <c r="E18" s="163" t="inlineStr">
        <is>
          <t>Territory_03</t>
        </is>
      </c>
      <c r="F18" s="165" t="inlineStr">
        <is>
          <t>Late Night - Past 10pm</t>
        </is>
      </c>
      <c r="G18" s="165" t="inlineStr">
        <is>
          <t>Drove past 10pm for 4 day(s). Permission not granted.</t>
        </is>
      </c>
      <c r="H18" s="163" t="inlineStr">
        <is>
          <t>None</t>
        </is>
      </c>
      <c r="I18" s="163" t="n"/>
      <c r="J18" s="165" t="n"/>
      <c r="K18" s="163" t="inlineStr">
        <is>
          <t>Pending</t>
        </is>
      </c>
      <c r="L18" s="165" t="n"/>
      <c r="M18" s="206">
        <f>IF(B18="","",COUNTIF($B$4:$B$500,B18))</f>
        <v/>
      </c>
    </row>
    <row r="19" ht="15" customHeight="1" s="122">
      <c r="A19" s="168" t="inlineStr">
        <is>
          <t>February 2026</t>
        </is>
      </c>
      <c r="B19" s="167" t="inlineStr">
        <is>
          <t>KAAC 303C</t>
        </is>
      </c>
      <c r="C19" s="168" t="inlineStr">
        <is>
          <t>Driver_36</t>
        </is>
      </c>
      <c r="D19" s="166" t="inlineStr">
        <is>
          <t>TBE</t>
        </is>
      </c>
      <c r="E19" s="166" t="inlineStr">
        <is>
          <t>Territory_25</t>
        </is>
      </c>
      <c r="F19" s="168" t="inlineStr">
        <is>
          <t>Late Night - Past 10pm</t>
        </is>
      </c>
      <c r="G19" s="168" t="inlineStr">
        <is>
          <t>Drove past 10pm for 5 day(s). Permission not granted.</t>
        </is>
      </c>
      <c r="H19" s="166" t="inlineStr">
        <is>
          <t>None</t>
        </is>
      </c>
      <c r="I19" s="166" t="n"/>
      <c r="J19" s="168" t="n"/>
      <c r="K19" s="166" t="inlineStr">
        <is>
          <t>Pending</t>
        </is>
      </c>
      <c r="L19" s="168" t="n"/>
      <c r="M19" s="206">
        <f>IF(B19="","",COUNTIF($B$4:$B$500,B19))</f>
        <v/>
      </c>
    </row>
    <row r="20" ht="15" customHeight="1" s="122">
      <c r="A20" s="165" t="inlineStr">
        <is>
          <t>February 2026</t>
        </is>
      </c>
      <c r="B20" s="164" t="inlineStr">
        <is>
          <t>KAAB 208Z</t>
        </is>
      </c>
      <c r="C20" s="165" t="inlineStr">
        <is>
          <t>Driver_51</t>
        </is>
      </c>
      <c r="D20" s="163" t="inlineStr">
        <is>
          <t>TBE</t>
        </is>
      </c>
      <c r="E20" s="163" t="inlineStr">
        <is>
          <t>South Rift</t>
        </is>
      </c>
      <c r="F20" s="165" t="inlineStr">
        <is>
          <t>Late Night - Past 10pm</t>
        </is>
      </c>
      <c r="G20" s="165" t="inlineStr">
        <is>
          <t>Drove past 10pm for 4 day(s). Permission not granted.</t>
        </is>
      </c>
      <c r="H20" s="163" t="inlineStr">
        <is>
          <t>None</t>
        </is>
      </c>
      <c r="I20" s="163" t="n"/>
      <c r="J20" s="165" t="n"/>
      <c r="K20" s="163" t="inlineStr">
        <is>
          <t>Pending</t>
        </is>
      </c>
      <c r="L20" s="165" t="n"/>
      <c r="M20" s="206">
        <f>IF(B20="","",COUNTIF($B$4:$B$500,B20))</f>
        <v/>
      </c>
    </row>
    <row r="21" ht="15" customHeight="1" s="122">
      <c r="A21" s="168" t="inlineStr">
        <is>
          <t>February 2026</t>
        </is>
      </c>
      <c r="B21" s="167" t="inlineStr">
        <is>
          <t>KBB 111Q</t>
        </is>
      </c>
      <c r="C21" s="168" t="inlineStr">
        <is>
          <t>Driver_12</t>
        </is>
      </c>
      <c r="D21" s="166" t="inlineStr">
        <is>
          <t>ABM</t>
        </is>
      </c>
      <c r="E21" s="166" t="inlineStr">
        <is>
          <t>North Rift</t>
        </is>
      </c>
      <c r="F21" s="168" t="inlineStr">
        <is>
          <t>Late Night - Past 10pm</t>
        </is>
      </c>
      <c r="G21" s="168" t="inlineStr">
        <is>
          <t>Drove past 10pm for 2 day(s). Permission not granted.</t>
        </is>
      </c>
      <c r="H21" s="166" t="inlineStr">
        <is>
          <t>None</t>
        </is>
      </c>
      <c r="I21" s="166" t="n"/>
      <c r="J21" s="168" t="n"/>
      <c r="K21" s="166" t="inlineStr">
        <is>
          <t>Pending</t>
        </is>
      </c>
      <c r="L21" s="168" t="n"/>
      <c r="M21" s="206">
        <f>IF(B21="","",COUNTIF($B$4:$B$500,B21))</f>
        <v/>
      </c>
    </row>
    <row r="22" ht="15" customHeight="1" s="122">
      <c r="A22" s="165" t="inlineStr">
        <is>
          <t>February 2026</t>
        </is>
      </c>
      <c r="B22" s="164" t="inlineStr">
        <is>
          <t>KBB 127Q</t>
        </is>
      </c>
      <c r="C22" s="165" t="inlineStr">
        <is>
          <t>Driver_28</t>
        </is>
      </c>
      <c r="D22" s="163" t="inlineStr">
        <is>
          <t>ABM</t>
        </is>
      </c>
      <c r="E22" s="163" t="inlineStr">
        <is>
          <t>Territory_03</t>
        </is>
      </c>
      <c r="F22" s="165" t="inlineStr">
        <is>
          <t>Late Night - Past 10pm</t>
        </is>
      </c>
      <c r="G22" s="165" t="inlineStr">
        <is>
          <t>Drove past 10pm for 1 day(s). Permission not granted.</t>
        </is>
      </c>
      <c r="H22" s="163" t="inlineStr">
        <is>
          <t>None</t>
        </is>
      </c>
      <c r="I22" s="163" t="n"/>
      <c r="J22" s="165" t="n"/>
      <c r="K22" s="163" t="inlineStr">
        <is>
          <t>Pending</t>
        </is>
      </c>
      <c r="L22" s="165" t="n"/>
      <c r="M22" s="206">
        <f>IF(B22="","",COUNTIF($B$4:$B$500,B22))</f>
        <v/>
      </c>
    </row>
    <row r="23" ht="15" customHeight="1" s="122">
      <c r="A23" s="168" t="inlineStr">
        <is>
          <t>February 2026</t>
        </is>
      </c>
      <c r="B23" s="167" t="inlineStr">
        <is>
          <t>KBB 112Q</t>
        </is>
      </c>
      <c r="C23" s="168" t="inlineStr">
        <is>
          <t>Driver_13</t>
        </is>
      </c>
      <c r="D23" s="166" t="inlineStr">
        <is>
          <t>Trainer</t>
        </is>
      </c>
      <c r="E23" s="166" t="inlineStr">
        <is>
          <t>Nyanza</t>
        </is>
      </c>
      <c r="F23" s="168" t="inlineStr">
        <is>
          <t>Late Night - Past 10pm</t>
        </is>
      </c>
      <c r="G23" s="168" t="inlineStr">
        <is>
          <t>Drove past 10pm for 1 day(s). Permission not granted.</t>
        </is>
      </c>
      <c r="H23" s="166" t="inlineStr">
        <is>
          <t>None</t>
        </is>
      </c>
      <c r="I23" s="166" t="n"/>
      <c r="J23" s="168" t="n"/>
      <c r="K23" s="166" t="inlineStr">
        <is>
          <t>Pending</t>
        </is>
      </c>
      <c r="L23" s="168" t="n"/>
      <c r="M23" s="206">
        <f>IF(B23="","",COUNTIF($B$4:$B$500,B23))</f>
        <v/>
      </c>
    </row>
    <row r="24" ht="15" customHeight="1" s="122">
      <c r="A24" s="165" t="inlineStr">
        <is>
          <t>February 2026</t>
        </is>
      </c>
      <c r="B24" s="164" t="inlineStr">
        <is>
          <t>KBB 103Q</t>
        </is>
      </c>
      <c r="C24" s="165" t="inlineStr">
        <is>
          <t>Driver_04</t>
        </is>
      </c>
      <c r="D24" s="163" t="inlineStr">
        <is>
          <t>Stock Controller</t>
        </is>
      </c>
      <c r="E24" s="163" t="inlineStr">
        <is>
          <t>Territory_03</t>
        </is>
      </c>
      <c r="F24" s="165" t="inlineStr">
        <is>
          <t>Late Night - Past 10pm</t>
        </is>
      </c>
      <c r="G24" s="165" t="inlineStr">
        <is>
          <t>Drove past 10pm for 7 day(s). Permission not granted.</t>
        </is>
      </c>
      <c r="H24" s="163" t="inlineStr">
        <is>
          <t>None</t>
        </is>
      </c>
      <c r="I24" s="163" t="n"/>
      <c r="J24" s="165" t="n"/>
      <c r="K24" s="163" t="inlineStr">
        <is>
          <t>Pending</t>
        </is>
      </c>
      <c r="L24" s="165" t="n"/>
      <c r="M24" s="206">
        <f>IF(B24="","",COUNTIF($B$4:$B$500,B24))</f>
        <v/>
      </c>
    </row>
    <row r="25" ht="15" customHeight="1" s="122">
      <c r="A25" s="168" t="inlineStr">
        <is>
          <t>February 2026</t>
        </is>
      </c>
      <c r="B25" s="167" t="inlineStr">
        <is>
          <t>KBB 122Q</t>
        </is>
      </c>
      <c r="C25" s="168" t="inlineStr">
        <is>
          <t>Driver_23</t>
        </is>
      </c>
      <c r="D25" s="166" t="inlineStr">
        <is>
          <t>ABM</t>
        </is>
      </c>
      <c r="E25" s="166" t="inlineStr">
        <is>
          <t>Territory_42</t>
        </is>
      </c>
      <c r="F25" s="168" t="inlineStr">
        <is>
          <t>Late Night - Past 10pm</t>
        </is>
      </c>
      <c r="G25" s="168" t="inlineStr">
        <is>
          <t>Drove past 10pm for 3 day(s). Permission not granted.</t>
        </is>
      </c>
      <c r="H25" s="166" t="inlineStr">
        <is>
          <t>None</t>
        </is>
      </c>
      <c r="I25" s="166" t="n"/>
      <c r="J25" s="168" t="n"/>
      <c r="K25" s="166" t="inlineStr">
        <is>
          <t>Pending</t>
        </is>
      </c>
      <c r="L25" s="168" t="n"/>
      <c r="M25" s="206">
        <f>IF(B25="","",COUNTIF($B$4:$B$500,B25))</f>
        <v/>
      </c>
    </row>
    <row r="26" ht="15" customHeight="1" s="122">
      <c r="A26" s="165" t="inlineStr">
        <is>
          <t>February 2026</t>
        </is>
      </c>
      <c r="B26" s="164" t="inlineStr">
        <is>
          <t>KBB 117Q</t>
        </is>
      </c>
      <c r="C26" s="165" t="inlineStr">
        <is>
          <t>Driver_18</t>
        </is>
      </c>
      <c r="D26" s="163" t="inlineStr">
        <is>
          <t>ABM</t>
        </is>
      </c>
      <c r="E26" s="163" t="inlineStr">
        <is>
          <t>Territory_42</t>
        </is>
      </c>
      <c r="F26" s="165" t="inlineStr">
        <is>
          <t>Late Night - Past 10pm</t>
        </is>
      </c>
      <c r="G26" s="165" t="inlineStr">
        <is>
          <t>Drove past 10pm for 1 day(s). Permission not granted.</t>
        </is>
      </c>
      <c r="H26" s="163" t="inlineStr">
        <is>
          <t>None</t>
        </is>
      </c>
      <c r="I26" s="163" t="n"/>
      <c r="J26" s="165" t="n"/>
      <c r="K26" s="163" t="inlineStr">
        <is>
          <t>Pending</t>
        </is>
      </c>
      <c r="L26" s="165" t="n"/>
      <c r="M26" s="206">
        <f>IF(B26="","",COUNTIF($B$4:$B$500,B26))</f>
        <v/>
      </c>
    </row>
    <row r="27" ht="15" customHeight="1" s="122">
      <c r="A27" s="168" t="inlineStr">
        <is>
          <t>February 2026</t>
        </is>
      </c>
      <c r="B27" s="167" t="inlineStr">
        <is>
          <t>KBB 116Q</t>
        </is>
      </c>
      <c r="C27" s="168" t="inlineStr">
        <is>
          <t>Driver_17</t>
        </is>
      </c>
      <c r="D27" s="166" t="inlineStr">
        <is>
          <t>ABM</t>
        </is>
      </c>
      <c r="E27" s="166" t="inlineStr">
        <is>
          <t>South Rift</t>
        </is>
      </c>
      <c r="F27" s="168" t="inlineStr">
        <is>
          <t>Late Night - Past 10pm</t>
        </is>
      </c>
      <c r="G27" s="168" t="inlineStr">
        <is>
          <t>Drove past 10pm for 1 day(s). Permission not granted.</t>
        </is>
      </c>
      <c r="H27" s="166" t="inlineStr">
        <is>
          <t>None</t>
        </is>
      </c>
      <c r="I27" s="166" t="n"/>
      <c r="J27" s="168" t="n"/>
      <c r="K27" s="166" t="inlineStr">
        <is>
          <t>Pending</t>
        </is>
      </c>
      <c r="L27" s="168" t="n"/>
      <c r="M27" s="206">
        <f>IF(B27="","",COUNTIF($B$4:$B$500,B27))</f>
        <v/>
      </c>
    </row>
    <row r="28" ht="15" customHeight="1" s="122">
      <c r="A28" s="165" t="inlineStr">
        <is>
          <t>February 2026</t>
        </is>
      </c>
      <c r="B28" s="164" t="inlineStr">
        <is>
          <t>KBB 113Q</t>
        </is>
      </c>
      <c r="C28" s="165" t="inlineStr">
        <is>
          <t>Driver_14</t>
        </is>
      </c>
      <c r="D28" s="163" t="inlineStr">
        <is>
          <t>Trainer</t>
        </is>
      </c>
      <c r="E28" s="163" t="inlineStr">
        <is>
          <t>Nyanza</t>
        </is>
      </c>
      <c r="F28" s="165" t="inlineStr">
        <is>
          <t>Late Night - Past 10pm</t>
        </is>
      </c>
      <c r="G28" s="165" t="inlineStr">
        <is>
          <t>Drove past 10pm for 9 day(s). Permission not granted.</t>
        </is>
      </c>
      <c r="H28" s="163" t="inlineStr">
        <is>
          <t>None</t>
        </is>
      </c>
      <c r="I28" s="163" t="n"/>
      <c r="J28" s="165" t="n"/>
      <c r="K28" s="163" t="inlineStr">
        <is>
          <t>Pending</t>
        </is>
      </c>
      <c r="L28" s="165" t="n"/>
      <c r="M28" s="206">
        <f>IF(B28="","",COUNTIF($B$4:$B$500,B28))</f>
        <v/>
      </c>
    </row>
    <row r="29" ht="15" customHeight="1" s="122">
      <c r="A29" s="168" t="inlineStr">
        <is>
          <t>February 2026</t>
        </is>
      </c>
      <c r="B29" s="167" t="inlineStr">
        <is>
          <t>KBB 115Q</t>
        </is>
      </c>
      <c r="C29" s="168" t="inlineStr">
        <is>
          <t>Driver_16</t>
        </is>
      </c>
      <c r="D29" s="166" t="inlineStr">
        <is>
          <t>Trainer</t>
        </is>
      </c>
      <c r="E29" s="166" t="inlineStr">
        <is>
          <t>South Rift</t>
        </is>
      </c>
      <c r="F29" s="168" t="inlineStr">
        <is>
          <t>Late Night - Past 10pm</t>
        </is>
      </c>
      <c r="G29" s="168" t="inlineStr">
        <is>
          <t>Drove past 10pm for 1 day(s). Permission not granted.</t>
        </is>
      </c>
      <c r="H29" s="166" t="inlineStr">
        <is>
          <t>None</t>
        </is>
      </c>
      <c r="I29" s="166" t="n"/>
      <c r="J29" s="168" t="n"/>
      <c r="K29" s="166" t="inlineStr">
        <is>
          <t>Pending</t>
        </is>
      </c>
      <c r="L29" s="168" t="n"/>
      <c r="M29" s="206">
        <f>IF(B29="","",COUNTIF($B$4:$B$500,B29))</f>
        <v/>
      </c>
    </row>
    <row r="30" ht="15" customHeight="1" s="122">
      <c r="A30" s="165" t="inlineStr">
        <is>
          <t>February 2026</t>
        </is>
      </c>
      <c r="B30" s="164" t="inlineStr">
        <is>
          <t>KBB 107Q</t>
        </is>
      </c>
      <c r="C30" s="165" t="inlineStr">
        <is>
          <t>Driver_08</t>
        </is>
      </c>
      <c r="D30" s="163" t="inlineStr">
        <is>
          <t>Trainer</t>
        </is>
      </c>
      <c r="E30" s="163" t="inlineStr">
        <is>
          <t>Mountain</t>
        </is>
      </c>
      <c r="F30" s="165" t="inlineStr">
        <is>
          <t>Late Night - Past 10pm</t>
        </is>
      </c>
      <c r="G30" s="165" t="inlineStr">
        <is>
          <t>Drove past 10pm for 2 day(s). Permission not granted.</t>
        </is>
      </c>
      <c r="H30" s="163" t="inlineStr">
        <is>
          <t>None</t>
        </is>
      </c>
      <c r="I30" s="163" t="n"/>
      <c r="J30" s="165" t="n"/>
      <c r="K30" s="163" t="inlineStr">
        <is>
          <t>Pending</t>
        </is>
      </c>
      <c r="L30" s="165" t="n"/>
      <c r="M30" s="206">
        <f>IF(B30="","",COUNTIF($B$4:$B$500,B30))</f>
        <v/>
      </c>
    </row>
    <row r="31" ht="15" customHeight="1" s="122">
      <c r="M31" s="207">
        <f>IF(B31="","",COUNTIF($B$4:$B$500,B31))</f>
        <v/>
      </c>
    </row>
    <row r="32" ht="15" customHeight="1" s="122">
      <c r="M32" s="207">
        <f>IF(B32="","",COUNTIF($B$4:$B$500,B32))</f>
        <v/>
      </c>
    </row>
    <row r="33" ht="15" customHeight="1" s="122">
      <c r="M33" s="207">
        <f>IF(B33="","",COUNTIF($B$4:$B$500,B33))</f>
        <v/>
      </c>
    </row>
    <row r="34" ht="15" customHeight="1" s="122">
      <c r="M34" s="207">
        <f>IF(B34="","",COUNTIF($B$4:$B$500,B34))</f>
        <v/>
      </c>
    </row>
    <row r="35" ht="15" customHeight="1" s="122">
      <c r="M35" s="207">
        <f>IF(B35="","",COUNTIF($B$4:$B$500,B35))</f>
        <v/>
      </c>
    </row>
    <row r="36" ht="15" customHeight="1" s="122">
      <c r="M36" s="207">
        <f>IF(B36="","",COUNTIF($B$4:$B$500,B36))</f>
        <v/>
      </c>
    </row>
    <row r="37" ht="15" customHeight="1" s="122">
      <c r="M37" s="207">
        <f>IF(B37="","",COUNTIF($B$4:$B$500,B37))</f>
        <v/>
      </c>
    </row>
    <row r="38" ht="15" customHeight="1" s="122">
      <c r="M38" s="207">
        <f>IF(B38="","",COUNTIF($B$4:$B$500,B38))</f>
        <v/>
      </c>
    </row>
    <row r="39" ht="15" customHeight="1" s="122">
      <c r="M39" s="207">
        <f>IF(B39="","",COUNTIF($B$4:$B$500,B39))</f>
        <v/>
      </c>
    </row>
    <row r="40" ht="15" customHeight="1" s="122">
      <c r="M40" s="207">
        <f>IF(B40="","",COUNTIF($B$4:$B$500,B40))</f>
        <v/>
      </c>
    </row>
    <row r="41" ht="15" customHeight="1" s="122">
      <c r="M41" s="207">
        <f>IF(B41="","",COUNTIF($B$4:$B$500,B41))</f>
        <v/>
      </c>
    </row>
    <row r="42" ht="15" customHeight="1" s="122">
      <c r="M42" s="207">
        <f>IF(B42="","",COUNTIF($B$4:$B$500,B42))</f>
        <v/>
      </c>
    </row>
    <row r="43" ht="15" customHeight="1" s="122">
      <c r="M43" s="207">
        <f>IF(B43="","",COUNTIF($B$4:$B$500,B43))</f>
        <v/>
      </c>
    </row>
    <row r="44" ht="15" customHeight="1" s="122">
      <c r="M44" s="207">
        <f>IF(B44="","",COUNTIF($B$4:$B$500,B44))</f>
        <v/>
      </c>
    </row>
    <row r="45" ht="15" customHeight="1" s="122">
      <c r="M45" s="207">
        <f>IF(B45="","",COUNTIF($B$4:$B$500,B45))</f>
        <v/>
      </c>
    </row>
    <row r="46" ht="15" customHeight="1" s="122">
      <c r="M46" s="207">
        <f>IF(B46="","",COUNTIF($B$4:$B$500,B46))</f>
        <v/>
      </c>
    </row>
    <row r="47" ht="15" customHeight="1" s="122">
      <c r="M47" s="207">
        <f>IF(B47="","",COUNTIF($B$4:$B$500,B47))</f>
        <v/>
      </c>
    </row>
    <row r="48" ht="15" customHeight="1" s="122">
      <c r="M48" s="207">
        <f>IF(B48="","",COUNTIF($B$4:$B$500,B48))</f>
        <v/>
      </c>
    </row>
    <row r="49" ht="15" customHeight="1" s="122">
      <c r="M49" s="207">
        <f>IF(B49="","",COUNTIF($B$4:$B$500,B49))</f>
        <v/>
      </c>
    </row>
    <row r="50" ht="15" customHeight="1" s="122">
      <c r="M50" s="207">
        <f>IF(B50="","",COUNTIF($B$4:$B$500,B50))</f>
        <v/>
      </c>
    </row>
    <row r="51" ht="15" customHeight="1" s="122">
      <c r="M51" s="207">
        <f>IF(B51="","",COUNTIF($B$4:$B$500,B51))</f>
        <v/>
      </c>
    </row>
    <row r="52" ht="15" customHeight="1" s="122">
      <c r="M52" s="207">
        <f>IF(B52="","",COUNTIF($B$4:$B$500,B52))</f>
        <v/>
      </c>
    </row>
    <row r="53" ht="15" customHeight="1" s="122">
      <c r="M53" s="207">
        <f>IF(B53="","",COUNTIF($B$4:$B$500,B53))</f>
        <v/>
      </c>
    </row>
    <row r="54" ht="15" customHeight="1" s="122">
      <c r="M54" s="207">
        <f>IF(B54="","",COUNTIF($B$4:$B$500,B54))</f>
        <v/>
      </c>
    </row>
    <row r="55" ht="15" customHeight="1" s="122">
      <c r="M55" s="207">
        <f>IF(B55="","",COUNTIF($B$4:$B$500,B55))</f>
        <v/>
      </c>
    </row>
    <row r="56" ht="15" customHeight="1" s="122">
      <c r="M56" s="207">
        <f>IF(B56="","",COUNTIF($B$4:$B$500,B56))</f>
        <v/>
      </c>
    </row>
    <row r="57" ht="15" customHeight="1" s="122">
      <c r="M57" s="207">
        <f>IF(B57="","",COUNTIF($B$4:$B$500,B57))</f>
        <v/>
      </c>
    </row>
    <row r="58" ht="15" customHeight="1" s="122">
      <c r="M58" s="207">
        <f>IF(B58="","",COUNTIF($B$4:$B$500,B58))</f>
        <v/>
      </c>
    </row>
    <row r="59" ht="15" customHeight="1" s="122">
      <c r="M59" s="207">
        <f>IF(B59="","",COUNTIF($B$4:$B$500,B59))</f>
        <v/>
      </c>
    </row>
    <row r="60" ht="15" customHeight="1" s="122">
      <c r="M60" s="207">
        <f>IF(B60="","",COUNTIF($B$4:$B$500,B60))</f>
        <v/>
      </c>
    </row>
    <row r="61" ht="15" customHeight="1" s="122">
      <c r="M61" s="207">
        <f>IF(B61="","",COUNTIF($B$4:$B$500,B61))</f>
        <v/>
      </c>
    </row>
    <row r="62" ht="15" customHeight="1" s="122">
      <c r="M62" s="207">
        <f>IF(B62="","",COUNTIF($B$4:$B$500,B62))</f>
        <v/>
      </c>
    </row>
    <row r="63" ht="15" customHeight="1" s="122">
      <c r="M63" s="207">
        <f>IF(B63="","",COUNTIF($B$4:$B$500,B63))</f>
        <v/>
      </c>
    </row>
    <row r="64" ht="15" customHeight="1" s="122">
      <c r="M64" s="207">
        <f>IF(B64="","",COUNTIF($B$4:$B$500,B64))</f>
        <v/>
      </c>
    </row>
    <row r="65" ht="15" customHeight="1" s="122">
      <c r="M65" s="207">
        <f>IF(B65="","",COUNTIF($B$4:$B$500,B65))</f>
        <v/>
      </c>
    </row>
    <row r="66" ht="15" customHeight="1" s="122">
      <c r="M66" s="207">
        <f>IF(B66="","",COUNTIF($B$4:$B$500,B66))</f>
        <v/>
      </c>
    </row>
    <row r="67" ht="15" customHeight="1" s="122">
      <c r="M67" s="207">
        <f>IF(B67="","",COUNTIF($B$4:$B$500,B67))</f>
        <v/>
      </c>
    </row>
    <row r="68" ht="15" customHeight="1" s="122">
      <c r="M68" s="207">
        <f>IF(B68="","",COUNTIF($B$4:$B$500,B68))</f>
        <v/>
      </c>
    </row>
    <row r="69" ht="15" customHeight="1" s="122">
      <c r="M69" s="207">
        <f>IF(B69="","",COUNTIF($B$4:$B$500,B69))</f>
        <v/>
      </c>
    </row>
    <row r="70" ht="15" customHeight="1" s="122">
      <c r="M70" s="207">
        <f>IF(B70="","",COUNTIF($B$4:$B$500,B70))</f>
        <v/>
      </c>
    </row>
    <row r="71" ht="15" customHeight="1" s="122">
      <c r="M71" s="207">
        <f>IF(B71="","",COUNTIF($B$4:$B$500,B71))</f>
        <v/>
      </c>
    </row>
    <row r="72" ht="15" customHeight="1" s="122">
      <c r="M72" s="207">
        <f>IF(B72="","",COUNTIF($B$4:$B$500,B72))</f>
        <v/>
      </c>
    </row>
    <row r="73" ht="15" customHeight="1" s="122">
      <c r="M73" s="207">
        <f>IF(B73="","",COUNTIF($B$4:$B$500,B73))</f>
        <v/>
      </c>
    </row>
    <row r="74" ht="15" customHeight="1" s="122">
      <c r="M74" s="207">
        <f>IF(B74="","",COUNTIF($B$4:$B$500,B74))</f>
        <v/>
      </c>
    </row>
    <row r="75" ht="15" customHeight="1" s="122">
      <c r="M75" s="207">
        <f>IF(B75="","",COUNTIF($B$4:$B$500,B75))</f>
        <v/>
      </c>
    </row>
    <row r="76" ht="15" customHeight="1" s="122">
      <c r="M76" s="207">
        <f>IF(B76="","",COUNTIF($B$4:$B$500,B76))</f>
        <v/>
      </c>
    </row>
    <row r="77" ht="15" customHeight="1" s="122">
      <c r="M77" s="207">
        <f>IF(B77="","",COUNTIF($B$4:$B$500,B77))</f>
        <v/>
      </c>
    </row>
    <row r="78" ht="15" customHeight="1" s="122">
      <c r="M78" s="207">
        <f>IF(B78="","",COUNTIF($B$4:$B$500,B78))</f>
        <v/>
      </c>
    </row>
    <row r="79" ht="15" customHeight="1" s="122">
      <c r="M79" s="207">
        <f>IF(B79="","",COUNTIF($B$4:$B$500,B79))</f>
        <v/>
      </c>
    </row>
    <row r="80" ht="15" customHeight="1" s="122">
      <c r="M80" s="207">
        <f>IF(B80="","",COUNTIF($B$4:$B$500,B80))</f>
        <v/>
      </c>
    </row>
    <row r="81" ht="15" customHeight="1" s="122">
      <c r="M81" s="207">
        <f>IF(B81="","",COUNTIF($B$4:$B$500,B81))</f>
        <v/>
      </c>
    </row>
    <row r="82" ht="15" customHeight="1" s="122">
      <c r="M82" s="207">
        <f>IF(B82="","",COUNTIF($B$4:$B$500,B82))</f>
        <v/>
      </c>
    </row>
    <row r="83" ht="15" customHeight="1" s="122">
      <c r="M83" s="207">
        <f>IF(B83="","",COUNTIF($B$4:$B$500,B83))</f>
        <v/>
      </c>
    </row>
    <row r="84" ht="15" customHeight="1" s="122">
      <c r="M84" s="207">
        <f>IF(B84="","",COUNTIF($B$4:$B$500,B84))</f>
        <v/>
      </c>
    </row>
    <row r="85" ht="15" customHeight="1" s="122">
      <c r="M85" s="207">
        <f>IF(B85="","",COUNTIF($B$4:$B$500,B85))</f>
        <v/>
      </c>
    </row>
    <row r="86" ht="15" customHeight="1" s="122">
      <c r="M86" s="207">
        <f>IF(B86="","",COUNTIF($B$4:$B$500,B86))</f>
        <v/>
      </c>
    </row>
    <row r="87" ht="15" customHeight="1" s="122">
      <c r="M87" s="207">
        <f>IF(B87="","",COUNTIF($B$4:$B$500,B87))</f>
        <v/>
      </c>
    </row>
    <row r="88" ht="15" customHeight="1" s="122">
      <c r="M88" s="207">
        <f>IF(B88="","",COUNTIF($B$4:$B$500,B88))</f>
        <v/>
      </c>
    </row>
    <row r="89" ht="15" customHeight="1" s="122">
      <c r="M89" s="207">
        <f>IF(B89="","",COUNTIF($B$4:$B$500,B89))</f>
        <v/>
      </c>
    </row>
    <row r="90" ht="15" customHeight="1" s="122">
      <c r="M90" s="207">
        <f>IF(B90="","",COUNTIF($B$4:$B$500,B90))</f>
        <v/>
      </c>
    </row>
    <row r="91" ht="15" customHeight="1" s="122">
      <c r="M91" s="207">
        <f>IF(B91="","",COUNTIF($B$4:$B$500,B91))</f>
        <v/>
      </c>
    </row>
    <row r="92" ht="15" customHeight="1" s="122">
      <c r="M92" s="207">
        <f>IF(B92="","",COUNTIF($B$4:$B$500,B92))</f>
        <v/>
      </c>
    </row>
    <row r="93" ht="15" customHeight="1" s="122">
      <c r="M93" s="207">
        <f>IF(B93="","",COUNTIF($B$4:$B$500,B93))</f>
        <v/>
      </c>
    </row>
    <row r="94" ht="15" customHeight="1" s="122">
      <c r="M94" s="207">
        <f>IF(B94="","",COUNTIF($B$4:$B$500,B94))</f>
        <v/>
      </c>
    </row>
    <row r="95" ht="15" customHeight="1" s="122">
      <c r="M95" s="207">
        <f>IF(B95="","",COUNTIF($B$4:$B$500,B95))</f>
        <v/>
      </c>
    </row>
    <row r="96" ht="15" customHeight="1" s="122">
      <c r="M96" s="207">
        <f>IF(B96="","",COUNTIF($B$4:$B$500,B96))</f>
        <v/>
      </c>
    </row>
    <row r="97" ht="15" customHeight="1" s="122">
      <c r="M97" s="207">
        <f>IF(B97="","",COUNTIF($B$4:$B$500,B97))</f>
        <v/>
      </c>
    </row>
    <row r="98" ht="15" customHeight="1" s="122">
      <c r="M98" s="207">
        <f>IF(B98="","",COUNTIF($B$4:$B$500,B98))</f>
        <v/>
      </c>
    </row>
    <row r="99" ht="15" customHeight="1" s="122">
      <c r="M99" s="207">
        <f>IF(B99="","",COUNTIF($B$4:$B$500,B99))</f>
        <v/>
      </c>
    </row>
    <row r="100" ht="15" customHeight="1" s="122">
      <c r="M100" s="207">
        <f>IF(B100="","",COUNTIF($B$4:$B$500,B100))</f>
        <v/>
      </c>
    </row>
    <row r="101" ht="15" customHeight="1" s="122">
      <c r="M101" s="207">
        <f>IF(B101="","",COUNTIF($B$4:$B$500,B101))</f>
        <v/>
      </c>
    </row>
    <row r="102" ht="15" customHeight="1" s="122">
      <c r="M102" s="207">
        <f>IF(B102="","",COUNTIF($B$4:$B$500,B102))</f>
        <v/>
      </c>
    </row>
    <row r="103" ht="15" customHeight="1" s="122">
      <c r="M103" s="207">
        <f>IF(B103="","",COUNTIF($B$4:$B$500,B103))</f>
        <v/>
      </c>
    </row>
    <row r="104" ht="15" customHeight="1" s="122">
      <c r="M104" s="207">
        <f>IF(B104="","",COUNTIF($B$4:$B$500,B104))</f>
        <v/>
      </c>
    </row>
    <row r="105" ht="15" customHeight="1" s="122">
      <c r="M105" s="207">
        <f>IF(B105="","",COUNTIF($B$4:$B$500,B105))</f>
        <v/>
      </c>
    </row>
    <row r="106" ht="15" customHeight="1" s="122">
      <c r="M106" s="207">
        <f>IF(B106="","",COUNTIF($B$4:$B$500,B106))</f>
        <v/>
      </c>
    </row>
    <row r="107" ht="15" customHeight="1" s="122">
      <c r="M107" s="207">
        <f>IF(B107="","",COUNTIF($B$4:$B$500,B107))</f>
        <v/>
      </c>
    </row>
    <row r="108" ht="15" customHeight="1" s="122">
      <c r="M108" s="207">
        <f>IF(B108="","",COUNTIF($B$4:$B$500,B108))</f>
        <v/>
      </c>
    </row>
    <row r="109" ht="15" customHeight="1" s="122">
      <c r="M109" s="207">
        <f>IF(B109="","",COUNTIF($B$4:$B$500,B109))</f>
        <v/>
      </c>
    </row>
    <row r="110" ht="15" customHeight="1" s="122">
      <c r="M110" s="207">
        <f>IF(B110="","",COUNTIF($B$4:$B$500,B110))</f>
        <v/>
      </c>
    </row>
    <row r="111" ht="15" customHeight="1" s="122">
      <c r="M111" s="207">
        <f>IF(B111="","",COUNTIF($B$4:$B$500,B111))</f>
        <v/>
      </c>
    </row>
    <row r="112" ht="15" customHeight="1" s="122">
      <c r="M112" s="207">
        <f>IF(B112="","",COUNTIF($B$4:$B$500,B112))</f>
        <v/>
      </c>
    </row>
    <row r="113" ht="15" customHeight="1" s="122">
      <c r="M113" s="207">
        <f>IF(B113="","",COUNTIF($B$4:$B$500,B113))</f>
        <v/>
      </c>
    </row>
    <row r="114" ht="15" customHeight="1" s="122">
      <c r="M114" s="207">
        <f>IF(B114="","",COUNTIF($B$4:$B$500,B114))</f>
        <v/>
      </c>
    </row>
    <row r="115" ht="15" customHeight="1" s="122">
      <c r="M115" s="207">
        <f>IF(B115="","",COUNTIF($B$4:$B$500,B115))</f>
        <v/>
      </c>
    </row>
    <row r="116" ht="15" customHeight="1" s="122">
      <c r="M116" s="207">
        <f>IF(B116="","",COUNTIF($B$4:$B$500,B116))</f>
        <v/>
      </c>
    </row>
    <row r="117" ht="15" customHeight="1" s="122">
      <c r="M117" s="207">
        <f>IF(B117="","",COUNTIF($B$4:$B$500,B117))</f>
        <v/>
      </c>
    </row>
    <row r="118" ht="15" customHeight="1" s="122">
      <c r="M118" s="207">
        <f>IF(B118="","",COUNTIF($B$4:$B$500,B118))</f>
        <v/>
      </c>
    </row>
    <row r="119" ht="15" customHeight="1" s="122">
      <c r="M119" s="207">
        <f>IF(B119="","",COUNTIF($B$4:$B$500,B119))</f>
        <v/>
      </c>
    </row>
    <row r="120" ht="15" customHeight="1" s="122">
      <c r="M120" s="207">
        <f>IF(B120="","",COUNTIF($B$4:$B$500,B120))</f>
        <v/>
      </c>
    </row>
    <row r="121" ht="15" customHeight="1" s="122">
      <c r="M121" s="207">
        <f>IF(B121="","",COUNTIF($B$4:$B$500,B121))</f>
        <v/>
      </c>
    </row>
    <row r="122" ht="15" customHeight="1" s="122">
      <c r="M122" s="207">
        <f>IF(B122="","",COUNTIF($B$4:$B$500,B122))</f>
        <v/>
      </c>
    </row>
    <row r="123" ht="15" customHeight="1" s="122">
      <c r="M123" s="207">
        <f>IF(B123="","",COUNTIF($B$4:$B$500,B123))</f>
        <v/>
      </c>
    </row>
    <row r="124" ht="15" customHeight="1" s="122">
      <c r="M124" s="207">
        <f>IF(B124="","",COUNTIF($B$4:$B$500,B124))</f>
        <v/>
      </c>
    </row>
    <row r="125" ht="15" customHeight="1" s="122">
      <c r="M125" s="207">
        <f>IF(B125="","",COUNTIF($B$4:$B$500,B125))</f>
        <v/>
      </c>
    </row>
    <row r="126" ht="15" customHeight="1" s="122">
      <c r="M126" s="207">
        <f>IF(B126="","",COUNTIF($B$4:$B$500,B126))</f>
        <v/>
      </c>
    </row>
    <row r="127" ht="15" customHeight="1" s="122">
      <c r="M127" s="207">
        <f>IF(B127="","",COUNTIF($B$4:$B$500,B127))</f>
        <v/>
      </c>
    </row>
    <row r="128" ht="15" customHeight="1" s="122">
      <c r="M128" s="207">
        <f>IF(B128="","",COUNTIF($B$4:$B$500,B128))</f>
        <v/>
      </c>
    </row>
    <row r="129" ht="15" customHeight="1" s="122">
      <c r="M129" s="207">
        <f>IF(B129="","",COUNTIF($B$4:$B$500,B129))</f>
        <v/>
      </c>
    </row>
    <row r="130" ht="15" customHeight="1" s="122">
      <c r="M130" s="207">
        <f>IF(B130="","",COUNTIF($B$4:$B$500,B130))</f>
        <v/>
      </c>
    </row>
    <row r="131" ht="15" customHeight="1" s="122">
      <c r="M131" s="207">
        <f>IF(B131="","",COUNTIF($B$4:$B$500,B131))</f>
        <v/>
      </c>
    </row>
    <row r="132" ht="15" customHeight="1" s="122">
      <c r="M132" s="207">
        <f>IF(B132="","",COUNTIF($B$4:$B$500,B132))</f>
        <v/>
      </c>
    </row>
    <row r="133" ht="15" customHeight="1" s="122">
      <c r="M133" s="207">
        <f>IF(B133="","",COUNTIF($B$4:$B$500,B133))</f>
        <v/>
      </c>
    </row>
    <row r="134" ht="15" customHeight="1" s="122">
      <c r="M134" s="207">
        <f>IF(B134="","",COUNTIF($B$4:$B$500,B134))</f>
        <v/>
      </c>
    </row>
    <row r="135" ht="15" customHeight="1" s="122">
      <c r="M135" s="207">
        <f>IF(B135="","",COUNTIF($B$4:$B$500,B135))</f>
        <v/>
      </c>
    </row>
    <row r="136" ht="15" customHeight="1" s="122">
      <c r="M136" s="207">
        <f>IF(B136="","",COUNTIF($B$4:$B$500,B136))</f>
        <v/>
      </c>
    </row>
    <row r="137" ht="15" customHeight="1" s="122">
      <c r="M137" s="207">
        <f>IF(B137="","",COUNTIF($B$4:$B$500,B137))</f>
        <v/>
      </c>
    </row>
    <row r="138" ht="15" customHeight="1" s="122">
      <c r="M138" s="207">
        <f>IF(B138="","",COUNTIF($B$4:$B$500,B138))</f>
        <v/>
      </c>
    </row>
    <row r="139" ht="15" customHeight="1" s="122">
      <c r="M139" s="207">
        <f>IF(B139="","",COUNTIF($B$4:$B$500,B139))</f>
        <v/>
      </c>
    </row>
    <row r="140" ht="15" customHeight="1" s="122">
      <c r="M140" s="207">
        <f>IF(B140="","",COUNTIF($B$4:$B$500,B140))</f>
        <v/>
      </c>
    </row>
    <row r="141" ht="15" customHeight="1" s="122">
      <c r="M141" s="207">
        <f>IF(B141="","",COUNTIF($B$4:$B$500,B141))</f>
        <v/>
      </c>
    </row>
    <row r="142" ht="15" customHeight="1" s="122">
      <c r="M142" s="207">
        <f>IF(B142="","",COUNTIF($B$4:$B$500,B142))</f>
        <v/>
      </c>
    </row>
    <row r="143" ht="15" customHeight="1" s="122">
      <c r="M143" s="207">
        <f>IF(B143="","",COUNTIF($B$4:$B$500,B143))</f>
        <v/>
      </c>
    </row>
    <row r="144" ht="15" customHeight="1" s="122">
      <c r="M144" s="207">
        <f>IF(B144="","",COUNTIF($B$4:$B$500,B144))</f>
        <v/>
      </c>
    </row>
    <row r="145" ht="15" customHeight="1" s="122">
      <c r="M145" s="207">
        <f>IF(B145="","",COUNTIF($B$4:$B$500,B145))</f>
        <v/>
      </c>
    </row>
    <row r="146" ht="15" customHeight="1" s="122">
      <c r="M146" s="207">
        <f>IF(B146="","",COUNTIF($B$4:$B$500,B146))</f>
        <v/>
      </c>
    </row>
    <row r="147" ht="15" customHeight="1" s="122">
      <c r="M147" s="207">
        <f>IF(B147="","",COUNTIF($B$4:$B$500,B147))</f>
        <v/>
      </c>
    </row>
    <row r="148" ht="15" customHeight="1" s="122">
      <c r="M148" s="207">
        <f>IF(B148="","",COUNTIF($B$4:$B$500,B148))</f>
        <v/>
      </c>
    </row>
    <row r="149" ht="15" customHeight="1" s="122">
      <c r="M149" s="207">
        <f>IF(B149="","",COUNTIF($B$4:$B$500,B149))</f>
        <v/>
      </c>
    </row>
    <row r="150" ht="15" customHeight="1" s="122">
      <c r="M150" s="207">
        <f>IF(B150="","",COUNTIF($B$4:$B$500,B150))</f>
        <v/>
      </c>
    </row>
    <row r="151" ht="15" customHeight="1" s="122">
      <c r="M151" s="207">
        <f>IF(B151="","",COUNTIF($B$4:$B$500,B151))</f>
        <v/>
      </c>
    </row>
    <row r="152" ht="15" customHeight="1" s="122">
      <c r="M152" s="207">
        <f>IF(B152="","",COUNTIF($B$4:$B$500,B152))</f>
        <v/>
      </c>
    </row>
    <row r="153" ht="15" customHeight="1" s="122">
      <c r="M153" s="207">
        <f>IF(B153="","",COUNTIF($B$4:$B$500,B153))</f>
        <v/>
      </c>
    </row>
    <row r="154" ht="15" customHeight="1" s="122">
      <c r="M154" s="207">
        <f>IF(B154="","",COUNTIF($B$4:$B$500,B154))</f>
        <v/>
      </c>
    </row>
    <row r="155" ht="15" customHeight="1" s="122">
      <c r="M155" s="207">
        <f>IF(B155="","",COUNTIF($B$4:$B$500,B155))</f>
        <v/>
      </c>
    </row>
    <row r="156" ht="15" customHeight="1" s="122">
      <c r="M156" s="207">
        <f>IF(B156="","",COUNTIF($B$4:$B$500,B156))</f>
        <v/>
      </c>
    </row>
    <row r="157" ht="15" customHeight="1" s="122">
      <c r="M157" s="207">
        <f>IF(B157="","",COUNTIF($B$4:$B$500,B157))</f>
        <v/>
      </c>
    </row>
    <row r="158" ht="15" customHeight="1" s="122">
      <c r="M158" s="207">
        <f>IF(B158="","",COUNTIF($B$4:$B$500,B158))</f>
        <v/>
      </c>
    </row>
    <row r="159" ht="15" customHeight="1" s="122">
      <c r="M159" s="207">
        <f>IF(B159="","",COUNTIF($B$4:$B$500,B159))</f>
        <v/>
      </c>
    </row>
    <row r="160" ht="15" customHeight="1" s="122">
      <c r="M160" s="207">
        <f>IF(B160="","",COUNTIF($B$4:$B$500,B160))</f>
        <v/>
      </c>
    </row>
    <row r="161" ht="15" customHeight="1" s="122">
      <c r="M161" s="207">
        <f>IF(B161="","",COUNTIF($B$4:$B$500,B161))</f>
        <v/>
      </c>
    </row>
    <row r="162" ht="15" customHeight="1" s="122">
      <c r="M162" s="207">
        <f>IF(B162="","",COUNTIF($B$4:$B$500,B162))</f>
        <v/>
      </c>
    </row>
    <row r="163" ht="15" customHeight="1" s="122">
      <c r="M163" s="207">
        <f>IF(B163="","",COUNTIF($B$4:$B$500,B163))</f>
        <v/>
      </c>
    </row>
    <row r="164" ht="15" customHeight="1" s="122">
      <c r="M164" s="207">
        <f>IF(B164="","",COUNTIF($B$4:$B$500,B164))</f>
        <v/>
      </c>
    </row>
    <row r="165" ht="15" customHeight="1" s="122">
      <c r="M165" s="207">
        <f>IF(B165="","",COUNTIF($B$4:$B$500,B165))</f>
        <v/>
      </c>
    </row>
    <row r="166" ht="15" customHeight="1" s="122">
      <c r="M166" s="207">
        <f>IF(B166="","",COUNTIF($B$4:$B$500,B166))</f>
        <v/>
      </c>
    </row>
    <row r="167" ht="15" customHeight="1" s="122">
      <c r="M167" s="207">
        <f>IF(B167="","",COUNTIF($B$4:$B$500,B167))</f>
        <v/>
      </c>
    </row>
    <row r="168" ht="15" customHeight="1" s="122">
      <c r="M168" s="207">
        <f>IF(B168="","",COUNTIF($B$4:$B$500,B168))</f>
        <v/>
      </c>
    </row>
    <row r="169" ht="15" customHeight="1" s="122">
      <c r="M169" s="207">
        <f>IF(B169="","",COUNTIF($B$4:$B$500,B169))</f>
        <v/>
      </c>
    </row>
    <row r="170" ht="15" customHeight="1" s="122">
      <c r="M170" s="207">
        <f>IF(B170="","",COUNTIF($B$4:$B$500,B170))</f>
        <v/>
      </c>
    </row>
    <row r="171" ht="15" customHeight="1" s="122">
      <c r="M171" s="207">
        <f>IF(B171="","",COUNTIF($B$4:$B$500,B171))</f>
        <v/>
      </c>
    </row>
    <row r="172" ht="15" customHeight="1" s="122">
      <c r="M172" s="207">
        <f>IF(B172="","",COUNTIF($B$4:$B$500,B172))</f>
        <v/>
      </c>
    </row>
    <row r="173" ht="15" customHeight="1" s="122">
      <c r="M173" s="207">
        <f>IF(B173="","",COUNTIF($B$4:$B$500,B173))</f>
        <v/>
      </c>
    </row>
    <row r="174" ht="15" customHeight="1" s="122">
      <c r="M174" s="207">
        <f>IF(B174="","",COUNTIF($B$4:$B$500,B174))</f>
        <v/>
      </c>
    </row>
    <row r="175" ht="15" customHeight="1" s="122">
      <c r="M175" s="207">
        <f>IF(B175="","",COUNTIF($B$4:$B$500,B175))</f>
        <v/>
      </c>
    </row>
    <row r="176" ht="15" customHeight="1" s="122">
      <c r="M176" s="207">
        <f>IF(B176="","",COUNTIF($B$4:$B$500,B176))</f>
        <v/>
      </c>
    </row>
    <row r="177" ht="15" customHeight="1" s="122">
      <c r="M177" s="207">
        <f>IF(B177="","",COUNTIF($B$4:$B$500,B177))</f>
        <v/>
      </c>
    </row>
    <row r="178" ht="15" customHeight="1" s="122">
      <c r="M178" s="207">
        <f>IF(B178="","",COUNTIF($B$4:$B$500,B178))</f>
        <v/>
      </c>
    </row>
    <row r="179" ht="15" customHeight="1" s="122">
      <c r="M179" s="207">
        <f>IF(B179="","",COUNTIF($B$4:$B$500,B179))</f>
        <v/>
      </c>
    </row>
    <row r="180" ht="15" customHeight="1" s="122">
      <c r="M180" s="207">
        <f>IF(B180="","",COUNTIF($B$4:$B$500,B180))</f>
        <v/>
      </c>
    </row>
    <row r="181" ht="15" customHeight="1" s="122">
      <c r="M181" s="207">
        <f>IF(B181="","",COUNTIF($B$4:$B$500,B181))</f>
        <v/>
      </c>
    </row>
    <row r="182" ht="15" customHeight="1" s="122">
      <c r="M182" s="207">
        <f>IF(B182="","",COUNTIF($B$4:$B$500,B182))</f>
        <v/>
      </c>
    </row>
    <row r="183" ht="15" customHeight="1" s="122">
      <c r="M183" s="207">
        <f>IF(B183="","",COUNTIF($B$4:$B$500,B183))</f>
        <v/>
      </c>
    </row>
    <row r="184" ht="15" customHeight="1" s="122">
      <c r="M184" s="207">
        <f>IF(B184="","",COUNTIF($B$4:$B$500,B184))</f>
        <v/>
      </c>
    </row>
    <row r="185" ht="15" customHeight="1" s="122">
      <c r="M185" s="207">
        <f>IF(B185="","",COUNTIF($B$4:$B$500,B185))</f>
        <v/>
      </c>
    </row>
    <row r="186" ht="15" customHeight="1" s="122">
      <c r="M186" s="207">
        <f>IF(B186="","",COUNTIF($B$4:$B$500,B186))</f>
        <v/>
      </c>
    </row>
    <row r="187" ht="15" customHeight="1" s="122">
      <c r="M187" s="207">
        <f>IF(B187="","",COUNTIF($B$4:$B$500,B187))</f>
        <v/>
      </c>
    </row>
    <row r="188" ht="15" customHeight="1" s="122">
      <c r="M188" s="207">
        <f>IF(B188="","",COUNTIF($B$4:$B$500,B188))</f>
        <v/>
      </c>
    </row>
    <row r="189" ht="15" customHeight="1" s="122">
      <c r="M189" s="207">
        <f>IF(B189="","",COUNTIF($B$4:$B$500,B189))</f>
        <v/>
      </c>
    </row>
    <row r="190" ht="15" customHeight="1" s="122">
      <c r="M190" s="207">
        <f>IF(B190="","",COUNTIF($B$4:$B$500,B190))</f>
        <v/>
      </c>
    </row>
    <row r="191" ht="15" customHeight="1" s="122">
      <c r="M191" s="207">
        <f>IF(B191="","",COUNTIF($B$4:$B$500,B191))</f>
        <v/>
      </c>
    </row>
    <row r="192" ht="15" customHeight="1" s="122">
      <c r="M192" s="207">
        <f>IF(B192="","",COUNTIF($B$4:$B$500,B192))</f>
        <v/>
      </c>
    </row>
    <row r="193" ht="15" customHeight="1" s="122">
      <c r="M193" s="207">
        <f>IF(B193="","",COUNTIF($B$4:$B$500,B193))</f>
        <v/>
      </c>
    </row>
    <row r="194" ht="15" customHeight="1" s="122">
      <c r="M194" s="207">
        <f>IF(B194="","",COUNTIF($B$4:$B$500,B194))</f>
        <v/>
      </c>
    </row>
    <row r="195" ht="15" customHeight="1" s="122">
      <c r="M195" s="207">
        <f>IF(B195="","",COUNTIF($B$4:$B$500,B195))</f>
        <v/>
      </c>
    </row>
    <row r="196" ht="15" customHeight="1" s="122">
      <c r="M196" s="207">
        <f>IF(B196="","",COUNTIF($B$4:$B$500,B196))</f>
        <v/>
      </c>
    </row>
    <row r="197" ht="15" customHeight="1" s="122">
      <c r="M197" s="207">
        <f>IF(B197="","",COUNTIF($B$4:$B$500,B197))</f>
        <v/>
      </c>
    </row>
    <row r="198" ht="15" customHeight="1" s="122">
      <c r="M198" s="207">
        <f>IF(B198="","",COUNTIF($B$4:$B$500,B198))</f>
        <v/>
      </c>
    </row>
    <row r="199" ht="15" customHeight="1" s="122">
      <c r="M199" s="207">
        <f>IF(B199="","",COUNTIF($B$4:$B$500,B199))</f>
        <v/>
      </c>
    </row>
    <row r="200" ht="15" customHeight="1" s="122">
      <c r="M200" s="207">
        <f>IF(B200="","",COUNTIF($B$4:$B$500,B200))</f>
        <v/>
      </c>
    </row>
    <row r="201" ht="15" customHeight="1" s="122">
      <c r="M201" s="207">
        <f>IF(B201="","",COUNTIF($B$4:$B$500,B201))</f>
        <v/>
      </c>
    </row>
    <row r="202" ht="15" customHeight="1" s="122">
      <c r="M202" s="207">
        <f>IF(B202="","",COUNTIF($B$4:$B$500,B202))</f>
        <v/>
      </c>
    </row>
    <row r="203" ht="15" customHeight="1" s="122">
      <c r="M203" s="207">
        <f>IF(B203="","",COUNTIF($B$4:$B$500,B203))</f>
        <v/>
      </c>
    </row>
    <row r="204" ht="15" customHeight="1" s="122">
      <c r="M204" s="207">
        <f>IF(B204="","",COUNTIF($B$4:$B$500,B204))</f>
        <v/>
      </c>
    </row>
    <row r="205" ht="15" customHeight="1" s="122">
      <c r="M205" s="207">
        <f>IF(B205="","",COUNTIF($B$4:$B$500,B205))</f>
        <v/>
      </c>
    </row>
    <row r="206" ht="15" customHeight="1" s="122">
      <c r="M206" s="207">
        <f>IF(B206="","",COUNTIF($B$4:$B$500,B206))</f>
        <v/>
      </c>
    </row>
    <row r="207" ht="15" customHeight="1" s="122">
      <c r="M207" s="207">
        <f>IF(B207="","",COUNTIF($B$4:$B$500,B207))</f>
        <v/>
      </c>
    </row>
    <row r="208" ht="15" customHeight="1" s="122">
      <c r="M208" s="207">
        <f>IF(B208="","",COUNTIF($B$4:$B$500,B208))</f>
        <v/>
      </c>
    </row>
    <row r="209" ht="15" customHeight="1" s="122">
      <c r="M209" s="207">
        <f>IF(B209="","",COUNTIF($B$4:$B$500,B209))</f>
        <v/>
      </c>
    </row>
    <row r="210" ht="15" customHeight="1" s="122">
      <c r="M210" s="207">
        <f>IF(B210="","",COUNTIF($B$4:$B$500,B210))</f>
        <v/>
      </c>
    </row>
    <row r="211" ht="15" customHeight="1" s="122">
      <c r="M211" s="207">
        <f>IF(B211="","",COUNTIF($B$4:$B$500,B211))</f>
        <v/>
      </c>
    </row>
    <row r="212" ht="15" customHeight="1" s="122">
      <c r="M212" s="207">
        <f>IF(B212="","",COUNTIF($B$4:$B$500,B212))</f>
        <v/>
      </c>
    </row>
    <row r="213" ht="15" customHeight="1" s="122">
      <c r="M213" s="207">
        <f>IF(B213="","",COUNTIF($B$4:$B$500,B213))</f>
        <v/>
      </c>
    </row>
    <row r="214" ht="15" customHeight="1" s="122">
      <c r="M214" s="207">
        <f>IF(B214="","",COUNTIF($B$4:$B$500,B214))</f>
        <v/>
      </c>
    </row>
    <row r="215" ht="15" customHeight="1" s="122">
      <c r="M215" s="207">
        <f>IF(B215="","",COUNTIF($B$4:$B$500,B215))</f>
        <v/>
      </c>
    </row>
    <row r="216" ht="15" customHeight="1" s="122">
      <c r="M216" s="207">
        <f>IF(B216="","",COUNTIF($B$4:$B$500,B216))</f>
        <v/>
      </c>
    </row>
    <row r="217" ht="15" customHeight="1" s="122">
      <c r="M217" s="207">
        <f>IF(B217="","",COUNTIF($B$4:$B$500,B217))</f>
        <v/>
      </c>
    </row>
    <row r="218" ht="15" customHeight="1" s="122">
      <c r="M218" s="207">
        <f>IF(B218="","",COUNTIF($B$4:$B$500,B218))</f>
        <v/>
      </c>
    </row>
    <row r="219" ht="15" customHeight="1" s="122">
      <c r="M219" s="207">
        <f>IF(B219="","",COUNTIF($B$4:$B$500,B219))</f>
        <v/>
      </c>
    </row>
    <row r="220" ht="15" customHeight="1" s="122">
      <c r="M220" s="207">
        <f>IF(B220="","",COUNTIF($B$4:$B$500,B220))</f>
        <v/>
      </c>
    </row>
    <row r="221" ht="15" customHeight="1" s="122">
      <c r="M221" s="207">
        <f>IF(B221="","",COUNTIF($B$4:$B$500,B221))</f>
        <v/>
      </c>
    </row>
    <row r="222" ht="15" customHeight="1" s="122">
      <c r="M222" s="207">
        <f>IF(B222="","",COUNTIF($B$4:$B$500,B222))</f>
        <v/>
      </c>
    </row>
    <row r="223" ht="15" customHeight="1" s="122">
      <c r="M223" s="207">
        <f>IF(B223="","",COUNTIF($B$4:$B$500,B223))</f>
        <v/>
      </c>
    </row>
    <row r="224" ht="15" customHeight="1" s="122">
      <c r="M224" s="207">
        <f>IF(B224="","",COUNTIF($B$4:$B$500,B224))</f>
        <v/>
      </c>
    </row>
    <row r="225" ht="15" customHeight="1" s="122">
      <c r="M225" s="207">
        <f>IF(B225="","",COUNTIF($B$4:$B$500,B225))</f>
        <v/>
      </c>
    </row>
    <row r="226" ht="15" customHeight="1" s="122">
      <c r="M226" s="207">
        <f>IF(B226="","",COUNTIF($B$4:$B$500,B226))</f>
        <v/>
      </c>
    </row>
    <row r="227" ht="15" customHeight="1" s="122">
      <c r="M227" s="207">
        <f>IF(B227="","",COUNTIF($B$4:$B$500,B227))</f>
        <v/>
      </c>
    </row>
    <row r="228" ht="15" customHeight="1" s="122">
      <c r="M228" s="207">
        <f>IF(B228="","",COUNTIF($B$4:$B$500,B228))</f>
        <v/>
      </c>
    </row>
    <row r="229" ht="15" customHeight="1" s="122">
      <c r="M229" s="207">
        <f>IF(B229="","",COUNTIF($B$4:$B$500,B229))</f>
        <v/>
      </c>
    </row>
    <row r="230" ht="15" customHeight="1" s="122">
      <c r="M230" s="207">
        <f>IF(B230="","",COUNTIF($B$4:$B$500,B230))</f>
        <v/>
      </c>
    </row>
    <row r="231" ht="15" customHeight="1" s="122">
      <c r="M231" s="207">
        <f>IF(B231="","",COUNTIF($B$4:$B$500,B231))</f>
        <v/>
      </c>
    </row>
    <row r="232" ht="15" customHeight="1" s="122">
      <c r="M232" s="207">
        <f>IF(B232="","",COUNTIF($B$4:$B$500,B232))</f>
        <v/>
      </c>
    </row>
    <row r="233" ht="15" customHeight="1" s="122">
      <c r="M233" s="207">
        <f>IF(B233="","",COUNTIF($B$4:$B$500,B233))</f>
        <v/>
      </c>
    </row>
    <row r="234" ht="15" customHeight="1" s="122">
      <c r="M234" s="207">
        <f>IF(B234="","",COUNTIF($B$4:$B$500,B234))</f>
        <v/>
      </c>
    </row>
    <row r="235" ht="15" customHeight="1" s="122">
      <c r="M235" s="207">
        <f>IF(B235="","",COUNTIF($B$4:$B$500,B235))</f>
        <v/>
      </c>
    </row>
    <row r="236" ht="15" customHeight="1" s="122">
      <c r="M236" s="207">
        <f>IF(B236="","",COUNTIF($B$4:$B$500,B236))</f>
        <v/>
      </c>
    </row>
    <row r="237" ht="15" customHeight="1" s="122">
      <c r="M237" s="207">
        <f>IF(B237="","",COUNTIF($B$4:$B$500,B237))</f>
        <v/>
      </c>
    </row>
    <row r="238" ht="15" customHeight="1" s="122">
      <c r="M238" s="207">
        <f>IF(B238="","",COUNTIF($B$4:$B$500,B238))</f>
        <v/>
      </c>
    </row>
    <row r="239" ht="15" customHeight="1" s="122">
      <c r="M239" s="207">
        <f>IF(B239="","",COUNTIF($B$4:$B$500,B239))</f>
        <v/>
      </c>
    </row>
    <row r="240" ht="15" customHeight="1" s="122">
      <c r="M240" s="207">
        <f>IF(B240="","",COUNTIF($B$4:$B$500,B240))</f>
        <v/>
      </c>
    </row>
    <row r="241" ht="15" customHeight="1" s="122">
      <c r="M241" s="207">
        <f>IF(B241="","",COUNTIF($B$4:$B$500,B241))</f>
        <v/>
      </c>
    </row>
    <row r="242" ht="15" customHeight="1" s="122">
      <c r="M242" s="207">
        <f>IF(B242="","",COUNTIF($B$4:$B$500,B242))</f>
        <v/>
      </c>
    </row>
    <row r="243" ht="15" customHeight="1" s="122">
      <c r="M243" s="207">
        <f>IF(B243="","",COUNTIF($B$4:$B$500,B243))</f>
        <v/>
      </c>
    </row>
    <row r="244" ht="15" customHeight="1" s="122">
      <c r="M244" s="207">
        <f>IF(B244="","",COUNTIF($B$4:$B$500,B244))</f>
        <v/>
      </c>
    </row>
    <row r="245" ht="15" customHeight="1" s="122">
      <c r="M245" s="207">
        <f>IF(B245="","",COUNTIF($B$4:$B$500,B245))</f>
        <v/>
      </c>
    </row>
    <row r="246" ht="15" customHeight="1" s="122">
      <c r="M246" s="207">
        <f>IF(B246="","",COUNTIF($B$4:$B$500,B246))</f>
        <v/>
      </c>
    </row>
    <row r="247" ht="15" customHeight="1" s="122">
      <c r="M247" s="207">
        <f>IF(B247="","",COUNTIF($B$4:$B$500,B247))</f>
        <v/>
      </c>
    </row>
    <row r="248" ht="15" customHeight="1" s="122">
      <c r="M248" s="207">
        <f>IF(B248="","",COUNTIF($B$4:$B$500,B248))</f>
        <v/>
      </c>
    </row>
    <row r="249" ht="15" customHeight="1" s="122">
      <c r="M249" s="207">
        <f>IF(B249="","",COUNTIF($B$4:$B$500,B249))</f>
        <v/>
      </c>
    </row>
    <row r="250" ht="15" customHeight="1" s="122">
      <c r="M250" s="207">
        <f>IF(B250="","",COUNTIF($B$4:$B$500,B250))</f>
        <v/>
      </c>
    </row>
    <row r="251" ht="15" customHeight="1" s="122">
      <c r="M251" s="207">
        <f>IF(B251="","",COUNTIF($B$4:$B$500,B251))</f>
        <v/>
      </c>
    </row>
    <row r="252" ht="15" customHeight="1" s="122">
      <c r="M252" s="207">
        <f>IF(B252="","",COUNTIF($B$4:$B$500,B252))</f>
        <v/>
      </c>
    </row>
    <row r="253" ht="15" customHeight="1" s="122">
      <c r="M253" s="207">
        <f>IF(B253="","",COUNTIF($B$4:$B$500,B253))</f>
        <v/>
      </c>
    </row>
    <row r="254" ht="15" customHeight="1" s="122">
      <c r="M254" s="207">
        <f>IF(B254="","",COUNTIF($B$4:$B$500,B254))</f>
        <v/>
      </c>
    </row>
    <row r="255" ht="15" customHeight="1" s="122">
      <c r="M255" s="207">
        <f>IF(B255="","",COUNTIF($B$4:$B$500,B255))</f>
        <v/>
      </c>
    </row>
    <row r="256" ht="15" customHeight="1" s="122">
      <c r="M256" s="207">
        <f>IF(B256="","",COUNTIF($B$4:$B$500,B256))</f>
        <v/>
      </c>
    </row>
    <row r="257" ht="15" customHeight="1" s="122">
      <c r="M257" s="207">
        <f>IF(B257="","",COUNTIF($B$4:$B$500,B257))</f>
        <v/>
      </c>
    </row>
    <row r="258" ht="15" customHeight="1" s="122">
      <c r="M258" s="207">
        <f>IF(B258="","",COUNTIF($B$4:$B$500,B258))</f>
        <v/>
      </c>
    </row>
    <row r="259" ht="15" customHeight="1" s="122">
      <c r="M259" s="207">
        <f>IF(B259="","",COUNTIF($B$4:$B$500,B259))</f>
        <v/>
      </c>
    </row>
    <row r="260" ht="15" customHeight="1" s="122">
      <c r="M260" s="207">
        <f>IF(B260="","",COUNTIF($B$4:$B$500,B260))</f>
        <v/>
      </c>
    </row>
    <row r="261" ht="15" customHeight="1" s="122">
      <c r="M261" s="207">
        <f>IF(B261="","",COUNTIF($B$4:$B$500,B261))</f>
        <v/>
      </c>
    </row>
    <row r="262" ht="15" customHeight="1" s="122">
      <c r="M262" s="207">
        <f>IF(B262="","",COUNTIF($B$4:$B$500,B262))</f>
        <v/>
      </c>
    </row>
    <row r="263" ht="15" customHeight="1" s="122">
      <c r="M263" s="207">
        <f>IF(B263="","",COUNTIF($B$4:$B$500,B263))</f>
        <v/>
      </c>
    </row>
    <row r="264" ht="15" customHeight="1" s="122">
      <c r="M264" s="207">
        <f>IF(B264="","",COUNTIF($B$4:$B$500,B264))</f>
        <v/>
      </c>
    </row>
    <row r="265" ht="15" customHeight="1" s="122">
      <c r="M265" s="207">
        <f>IF(B265="","",COUNTIF($B$4:$B$500,B265))</f>
        <v/>
      </c>
    </row>
    <row r="266" ht="15" customHeight="1" s="122">
      <c r="M266" s="207">
        <f>IF(B266="","",COUNTIF($B$4:$B$500,B266))</f>
        <v/>
      </c>
    </row>
    <row r="267" ht="15" customHeight="1" s="122">
      <c r="M267" s="207">
        <f>IF(B267="","",COUNTIF($B$4:$B$500,B267))</f>
        <v/>
      </c>
    </row>
    <row r="268" ht="15" customHeight="1" s="122">
      <c r="M268" s="207">
        <f>IF(B268="","",COUNTIF($B$4:$B$500,B268))</f>
        <v/>
      </c>
    </row>
    <row r="269" ht="15" customHeight="1" s="122">
      <c r="M269" s="207">
        <f>IF(B269="","",COUNTIF($B$4:$B$500,B269))</f>
        <v/>
      </c>
    </row>
    <row r="270" ht="15" customHeight="1" s="122">
      <c r="M270" s="207">
        <f>IF(B270="","",COUNTIF($B$4:$B$500,B270))</f>
        <v/>
      </c>
    </row>
    <row r="271" ht="15" customHeight="1" s="122">
      <c r="M271" s="207">
        <f>IF(B271="","",COUNTIF($B$4:$B$500,B271))</f>
        <v/>
      </c>
    </row>
    <row r="272" ht="15" customHeight="1" s="122">
      <c r="M272" s="207">
        <f>IF(B272="","",COUNTIF($B$4:$B$500,B272))</f>
        <v/>
      </c>
    </row>
    <row r="273" ht="15" customHeight="1" s="122">
      <c r="M273" s="207">
        <f>IF(B273="","",COUNTIF($B$4:$B$500,B273))</f>
        <v/>
      </c>
    </row>
    <row r="274" ht="15" customHeight="1" s="122">
      <c r="M274" s="207">
        <f>IF(B274="","",COUNTIF($B$4:$B$500,B274))</f>
        <v/>
      </c>
    </row>
    <row r="275" ht="15" customHeight="1" s="122">
      <c r="M275" s="207">
        <f>IF(B275="","",COUNTIF($B$4:$B$500,B275))</f>
        <v/>
      </c>
    </row>
    <row r="276" ht="15" customHeight="1" s="122">
      <c r="M276" s="207">
        <f>IF(B276="","",COUNTIF($B$4:$B$500,B276))</f>
        <v/>
      </c>
    </row>
    <row r="277" ht="15" customHeight="1" s="122">
      <c r="M277" s="207">
        <f>IF(B277="","",COUNTIF($B$4:$B$500,B277))</f>
        <v/>
      </c>
    </row>
    <row r="278" ht="15" customHeight="1" s="122">
      <c r="M278" s="207">
        <f>IF(B278="","",COUNTIF($B$4:$B$500,B278))</f>
        <v/>
      </c>
    </row>
    <row r="279" ht="15" customHeight="1" s="122">
      <c r="M279" s="207">
        <f>IF(B279="","",COUNTIF($B$4:$B$500,B279))</f>
        <v/>
      </c>
    </row>
    <row r="280" ht="15" customHeight="1" s="122">
      <c r="M280" s="207">
        <f>IF(B280="","",COUNTIF($B$4:$B$500,B280))</f>
        <v/>
      </c>
    </row>
    <row r="281" ht="15" customHeight="1" s="122">
      <c r="M281" s="207">
        <f>IF(B281="","",COUNTIF($B$4:$B$500,B281))</f>
        <v/>
      </c>
    </row>
    <row r="282" ht="15" customHeight="1" s="122">
      <c r="M282" s="207">
        <f>IF(B282="","",COUNTIF($B$4:$B$500,B282))</f>
        <v/>
      </c>
    </row>
    <row r="283" ht="15" customHeight="1" s="122">
      <c r="M283" s="207">
        <f>IF(B283="","",COUNTIF($B$4:$B$500,B283))</f>
        <v/>
      </c>
    </row>
    <row r="284" ht="15" customHeight="1" s="122">
      <c r="M284" s="207">
        <f>IF(B284="","",COUNTIF($B$4:$B$500,B284))</f>
        <v/>
      </c>
    </row>
    <row r="285" ht="15" customHeight="1" s="122">
      <c r="M285" s="207">
        <f>IF(B285="","",COUNTIF($B$4:$B$500,B285))</f>
        <v/>
      </c>
    </row>
    <row r="286" ht="15" customHeight="1" s="122">
      <c r="M286" s="207">
        <f>IF(B286="","",COUNTIF($B$4:$B$500,B286))</f>
        <v/>
      </c>
    </row>
    <row r="287" ht="15" customHeight="1" s="122">
      <c r="M287" s="207">
        <f>IF(B287="","",COUNTIF($B$4:$B$500,B287))</f>
        <v/>
      </c>
    </row>
    <row r="288" ht="15" customHeight="1" s="122">
      <c r="M288" s="207">
        <f>IF(B288="","",COUNTIF($B$4:$B$500,B288))</f>
        <v/>
      </c>
    </row>
    <row r="289" ht="15" customHeight="1" s="122">
      <c r="M289" s="207">
        <f>IF(B289="","",COUNTIF($B$4:$B$500,B289))</f>
        <v/>
      </c>
    </row>
    <row r="290" ht="15" customHeight="1" s="122">
      <c r="M290" s="207">
        <f>IF(B290="","",COUNTIF($B$4:$B$500,B290))</f>
        <v/>
      </c>
    </row>
    <row r="291" ht="15" customHeight="1" s="122">
      <c r="M291" s="207">
        <f>IF(B291="","",COUNTIF($B$4:$B$500,B291))</f>
        <v/>
      </c>
    </row>
    <row r="292" ht="15" customHeight="1" s="122">
      <c r="M292" s="207">
        <f>IF(B292="","",COUNTIF($B$4:$B$500,B292))</f>
        <v/>
      </c>
    </row>
    <row r="293" ht="15" customHeight="1" s="122">
      <c r="M293" s="207">
        <f>IF(B293="","",COUNTIF($B$4:$B$500,B293))</f>
        <v/>
      </c>
    </row>
    <row r="294" ht="15" customHeight="1" s="122">
      <c r="M294" s="207">
        <f>IF(B294="","",COUNTIF($B$4:$B$500,B294))</f>
        <v/>
      </c>
    </row>
    <row r="295" ht="15" customHeight="1" s="122">
      <c r="M295" s="207">
        <f>IF(B295="","",COUNTIF($B$4:$B$500,B295))</f>
        <v/>
      </c>
    </row>
    <row r="296" ht="15" customHeight="1" s="122">
      <c r="M296" s="207">
        <f>IF(B296="","",COUNTIF($B$4:$B$500,B296))</f>
        <v/>
      </c>
    </row>
    <row r="297" ht="15" customHeight="1" s="122">
      <c r="M297" s="207">
        <f>IF(B297="","",COUNTIF($B$4:$B$500,B297))</f>
        <v/>
      </c>
    </row>
    <row r="298" ht="15" customHeight="1" s="122">
      <c r="M298" s="207">
        <f>IF(B298="","",COUNTIF($B$4:$B$500,B298))</f>
        <v/>
      </c>
    </row>
    <row r="299" ht="15" customHeight="1" s="122">
      <c r="M299" s="207">
        <f>IF(B299="","",COUNTIF($B$4:$B$500,B299))</f>
        <v/>
      </c>
    </row>
    <row r="300" ht="15" customHeight="1" s="122">
      <c r="M300" s="207">
        <f>IF(B300="","",COUNTIF($B$4:$B$500,B300))</f>
        <v/>
      </c>
    </row>
    <row r="301" ht="15" customHeight="1" s="122">
      <c r="M301" s="207">
        <f>IF(B301="","",COUNTIF($B$4:$B$500,B301))</f>
        <v/>
      </c>
    </row>
    <row r="302" ht="15" customHeight="1" s="122">
      <c r="M302" s="207">
        <f>IF(B302="","",COUNTIF($B$4:$B$500,B302))</f>
        <v/>
      </c>
    </row>
    <row r="303" ht="15" customHeight="1" s="122">
      <c r="M303" s="207">
        <f>IF(B303="","",COUNTIF($B$4:$B$500,B303))</f>
        <v/>
      </c>
    </row>
    <row r="304" ht="15" customHeight="1" s="122">
      <c r="M304" s="207">
        <f>IF(B304="","",COUNTIF($B$4:$B$500,B304))</f>
        <v/>
      </c>
    </row>
    <row r="305" ht="15" customHeight="1" s="122">
      <c r="M305" s="207">
        <f>IF(B305="","",COUNTIF($B$4:$B$500,B305))</f>
        <v/>
      </c>
    </row>
    <row r="306" ht="15" customHeight="1" s="122">
      <c r="M306" s="207">
        <f>IF(B306="","",COUNTIF($B$4:$B$500,B306))</f>
        <v/>
      </c>
    </row>
    <row r="307" ht="15" customHeight="1" s="122">
      <c r="M307" s="207">
        <f>IF(B307="","",COUNTIF($B$4:$B$500,B307))</f>
        <v/>
      </c>
    </row>
    <row r="308" ht="15" customHeight="1" s="122">
      <c r="M308" s="207">
        <f>IF(B308="","",COUNTIF($B$4:$B$500,B308))</f>
        <v/>
      </c>
    </row>
    <row r="309" ht="15" customHeight="1" s="122">
      <c r="M309" s="207">
        <f>IF(B309="","",COUNTIF($B$4:$B$500,B309))</f>
        <v/>
      </c>
    </row>
    <row r="310" ht="15" customHeight="1" s="122">
      <c r="M310" s="207">
        <f>IF(B310="","",COUNTIF($B$4:$B$500,B310))</f>
        <v/>
      </c>
    </row>
    <row r="311" ht="15" customHeight="1" s="122">
      <c r="M311" s="207">
        <f>IF(B311="","",COUNTIF($B$4:$B$500,B311))</f>
        <v/>
      </c>
    </row>
    <row r="312" ht="15" customHeight="1" s="122">
      <c r="M312" s="207">
        <f>IF(B312="","",COUNTIF($B$4:$B$500,B312))</f>
        <v/>
      </c>
    </row>
    <row r="313" ht="15" customHeight="1" s="122">
      <c r="M313" s="207">
        <f>IF(B313="","",COUNTIF($B$4:$B$500,B313))</f>
        <v/>
      </c>
    </row>
    <row r="314" ht="15" customHeight="1" s="122">
      <c r="M314" s="207">
        <f>IF(B314="","",COUNTIF($B$4:$B$500,B314))</f>
        <v/>
      </c>
    </row>
    <row r="315" ht="15" customHeight="1" s="122">
      <c r="M315" s="207">
        <f>IF(B315="","",COUNTIF($B$4:$B$500,B315))</f>
        <v/>
      </c>
    </row>
    <row r="316" ht="15" customHeight="1" s="122">
      <c r="M316" s="207">
        <f>IF(B316="","",COUNTIF($B$4:$B$500,B316))</f>
        <v/>
      </c>
    </row>
    <row r="317" ht="15" customHeight="1" s="122">
      <c r="M317" s="207">
        <f>IF(B317="","",COUNTIF($B$4:$B$500,B317))</f>
        <v/>
      </c>
    </row>
    <row r="318" ht="15" customHeight="1" s="122">
      <c r="M318" s="207">
        <f>IF(B318="","",COUNTIF($B$4:$B$500,B318))</f>
        <v/>
      </c>
    </row>
    <row r="319" ht="15" customHeight="1" s="122">
      <c r="M319" s="207">
        <f>IF(B319="","",COUNTIF($B$4:$B$500,B319))</f>
        <v/>
      </c>
    </row>
    <row r="320" ht="15" customHeight="1" s="122">
      <c r="M320" s="207">
        <f>IF(B320="","",COUNTIF($B$4:$B$500,B320))</f>
        <v/>
      </c>
    </row>
    <row r="321" ht="15" customHeight="1" s="122">
      <c r="M321" s="207">
        <f>IF(B321="","",COUNTIF($B$4:$B$500,B321))</f>
        <v/>
      </c>
    </row>
    <row r="322" ht="15" customHeight="1" s="122">
      <c r="M322" s="207">
        <f>IF(B322="","",COUNTIF($B$4:$B$500,B322))</f>
        <v/>
      </c>
    </row>
    <row r="323" ht="15" customHeight="1" s="122">
      <c r="M323" s="207">
        <f>IF(B323="","",COUNTIF($B$4:$B$500,B323))</f>
        <v/>
      </c>
    </row>
    <row r="324" ht="15" customHeight="1" s="122">
      <c r="M324" s="207">
        <f>IF(B324="","",COUNTIF($B$4:$B$500,B324))</f>
        <v/>
      </c>
    </row>
    <row r="325" ht="15" customHeight="1" s="122">
      <c r="M325" s="207">
        <f>IF(B325="","",COUNTIF($B$4:$B$500,B325))</f>
        <v/>
      </c>
    </row>
    <row r="326" ht="15" customHeight="1" s="122">
      <c r="M326" s="207">
        <f>IF(B326="","",COUNTIF($B$4:$B$500,B326))</f>
        <v/>
      </c>
    </row>
    <row r="327" ht="15" customHeight="1" s="122">
      <c r="M327" s="207">
        <f>IF(B327="","",COUNTIF($B$4:$B$500,B327))</f>
        <v/>
      </c>
    </row>
    <row r="328" ht="15" customHeight="1" s="122">
      <c r="M328" s="207">
        <f>IF(B328="","",COUNTIF($B$4:$B$500,B328))</f>
        <v/>
      </c>
    </row>
    <row r="329" ht="15" customHeight="1" s="122">
      <c r="M329" s="207">
        <f>IF(B329="","",COUNTIF($B$4:$B$500,B329))</f>
        <v/>
      </c>
    </row>
    <row r="330" ht="15" customHeight="1" s="122">
      <c r="M330" s="207">
        <f>IF(B330="","",COUNTIF($B$4:$B$500,B330))</f>
        <v/>
      </c>
    </row>
    <row r="331" ht="15" customHeight="1" s="122">
      <c r="M331" s="207">
        <f>IF(B331="","",COUNTIF($B$4:$B$500,B331))</f>
        <v/>
      </c>
    </row>
    <row r="332" ht="15" customHeight="1" s="122">
      <c r="M332" s="207">
        <f>IF(B332="","",COUNTIF($B$4:$B$500,B332))</f>
        <v/>
      </c>
    </row>
    <row r="333" ht="15" customHeight="1" s="122">
      <c r="M333" s="207">
        <f>IF(B333="","",COUNTIF($B$4:$B$500,B333))</f>
        <v/>
      </c>
    </row>
    <row r="334" ht="15" customHeight="1" s="122">
      <c r="M334" s="207">
        <f>IF(B334="","",COUNTIF($B$4:$B$500,B334))</f>
        <v/>
      </c>
    </row>
    <row r="335" ht="15" customHeight="1" s="122">
      <c r="M335" s="207">
        <f>IF(B335="","",COUNTIF($B$4:$B$500,B335))</f>
        <v/>
      </c>
    </row>
    <row r="336" ht="15" customHeight="1" s="122">
      <c r="M336" s="207">
        <f>IF(B336="","",COUNTIF($B$4:$B$500,B336))</f>
        <v/>
      </c>
    </row>
    <row r="337" ht="15" customHeight="1" s="122">
      <c r="M337" s="207">
        <f>IF(B337="","",COUNTIF($B$4:$B$500,B337))</f>
        <v/>
      </c>
    </row>
    <row r="338" ht="15" customHeight="1" s="122">
      <c r="M338" s="207">
        <f>IF(B338="","",COUNTIF($B$4:$B$500,B338))</f>
        <v/>
      </c>
    </row>
    <row r="339" ht="15" customHeight="1" s="122">
      <c r="M339" s="207">
        <f>IF(B339="","",COUNTIF($B$4:$B$500,B339))</f>
        <v/>
      </c>
    </row>
    <row r="340" ht="15" customHeight="1" s="122">
      <c r="M340" s="207">
        <f>IF(B340="","",COUNTIF($B$4:$B$500,B340))</f>
        <v/>
      </c>
    </row>
    <row r="341" ht="15" customHeight="1" s="122">
      <c r="M341" s="207">
        <f>IF(B341="","",COUNTIF($B$4:$B$500,B341))</f>
        <v/>
      </c>
    </row>
    <row r="342" ht="15" customHeight="1" s="122">
      <c r="M342" s="207">
        <f>IF(B342="","",COUNTIF($B$4:$B$500,B342))</f>
        <v/>
      </c>
    </row>
    <row r="343" ht="15" customHeight="1" s="122">
      <c r="M343" s="207">
        <f>IF(B343="","",COUNTIF($B$4:$B$500,B343))</f>
        <v/>
      </c>
    </row>
    <row r="344" ht="15" customHeight="1" s="122">
      <c r="M344" s="207">
        <f>IF(B344="","",COUNTIF($B$4:$B$500,B344))</f>
        <v/>
      </c>
    </row>
    <row r="345" ht="15" customHeight="1" s="122">
      <c r="M345" s="207">
        <f>IF(B345="","",COUNTIF($B$4:$B$500,B345))</f>
        <v/>
      </c>
    </row>
    <row r="346" ht="15" customHeight="1" s="122">
      <c r="M346" s="207">
        <f>IF(B346="","",COUNTIF($B$4:$B$500,B346))</f>
        <v/>
      </c>
    </row>
    <row r="347" ht="15" customHeight="1" s="122">
      <c r="M347" s="207">
        <f>IF(B347="","",COUNTIF($B$4:$B$500,B347))</f>
        <v/>
      </c>
    </row>
    <row r="348" ht="15" customHeight="1" s="122">
      <c r="M348" s="207">
        <f>IF(B348="","",COUNTIF($B$4:$B$500,B348))</f>
        <v/>
      </c>
    </row>
    <row r="349" ht="15" customHeight="1" s="122">
      <c r="M349" s="207">
        <f>IF(B349="","",COUNTIF($B$4:$B$500,B349))</f>
        <v/>
      </c>
    </row>
    <row r="350" ht="15" customHeight="1" s="122">
      <c r="M350" s="207">
        <f>IF(B350="","",COUNTIF($B$4:$B$500,B350))</f>
        <v/>
      </c>
    </row>
    <row r="351" ht="15" customHeight="1" s="122">
      <c r="M351" s="207">
        <f>IF(B351="","",COUNTIF($B$4:$B$500,B351))</f>
        <v/>
      </c>
    </row>
    <row r="352" ht="15" customHeight="1" s="122">
      <c r="M352" s="207">
        <f>IF(B352="","",COUNTIF($B$4:$B$500,B352))</f>
        <v/>
      </c>
    </row>
    <row r="353" ht="15" customHeight="1" s="122">
      <c r="M353" s="207">
        <f>IF(B353="","",COUNTIF($B$4:$B$500,B353))</f>
        <v/>
      </c>
    </row>
    <row r="354" ht="15" customHeight="1" s="122">
      <c r="M354" s="207">
        <f>IF(B354="","",COUNTIF($B$4:$B$500,B354))</f>
        <v/>
      </c>
    </row>
    <row r="355" ht="15" customHeight="1" s="122">
      <c r="M355" s="207">
        <f>IF(B355="","",COUNTIF($B$4:$B$500,B355))</f>
        <v/>
      </c>
    </row>
    <row r="356" ht="15" customHeight="1" s="122">
      <c r="M356" s="207">
        <f>IF(B356="","",COUNTIF($B$4:$B$500,B356))</f>
        <v/>
      </c>
    </row>
    <row r="357" ht="15" customHeight="1" s="122">
      <c r="M357" s="207">
        <f>IF(B357="","",COUNTIF($B$4:$B$500,B357))</f>
        <v/>
      </c>
    </row>
    <row r="358" ht="15" customHeight="1" s="122">
      <c r="M358" s="207">
        <f>IF(B358="","",COUNTIF($B$4:$B$500,B358))</f>
        <v/>
      </c>
    </row>
    <row r="359" ht="15" customHeight="1" s="122">
      <c r="M359" s="207">
        <f>IF(B359="","",COUNTIF($B$4:$B$500,B359))</f>
        <v/>
      </c>
    </row>
    <row r="360" ht="15" customHeight="1" s="122">
      <c r="M360" s="207">
        <f>IF(B360="","",COUNTIF($B$4:$B$500,B360))</f>
        <v/>
      </c>
    </row>
    <row r="361" ht="15" customHeight="1" s="122">
      <c r="M361" s="207">
        <f>IF(B361="","",COUNTIF($B$4:$B$500,B361))</f>
        <v/>
      </c>
    </row>
    <row r="362" ht="15" customHeight="1" s="122">
      <c r="M362" s="207">
        <f>IF(B362="","",COUNTIF($B$4:$B$500,B362))</f>
        <v/>
      </c>
    </row>
    <row r="363" ht="15" customHeight="1" s="122">
      <c r="M363" s="207">
        <f>IF(B363="","",COUNTIF($B$4:$B$500,B363))</f>
        <v/>
      </c>
    </row>
    <row r="364" ht="15" customHeight="1" s="122">
      <c r="M364" s="207">
        <f>IF(B364="","",COUNTIF($B$4:$B$500,B364))</f>
        <v/>
      </c>
    </row>
    <row r="365" ht="15" customHeight="1" s="122">
      <c r="M365" s="207">
        <f>IF(B365="","",COUNTIF($B$4:$B$500,B365))</f>
        <v/>
      </c>
    </row>
    <row r="366" ht="15" customHeight="1" s="122">
      <c r="M366" s="207">
        <f>IF(B366="","",COUNTIF($B$4:$B$500,B366))</f>
        <v/>
      </c>
    </row>
    <row r="367" ht="15" customHeight="1" s="122">
      <c r="M367" s="207">
        <f>IF(B367="","",COUNTIF($B$4:$B$500,B367))</f>
        <v/>
      </c>
    </row>
    <row r="368" ht="15" customHeight="1" s="122">
      <c r="M368" s="207">
        <f>IF(B368="","",COUNTIF($B$4:$B$500,B368))</f>
        <v/>
      </c>
    </row>
    <row r="369" ht="15" customHeight="1" s="122">
      <c r="M369" s="207">
        <f>IF(B369="","",COUNTIF($B$4:$B$500,B369))</f>
        <v/>
      </c>
    </row>
    <row r="370" ht="15" customHeight="1" s="122">
      <c r="M370" s="207">
        <f>IF(B370="","",COUNTIF($B$4:$B$500,B370))</f>
        <v/>
      </c>
    </row>
    <row r="371" ht="15" customHeight="1" s="122">
      <c r="M371" s="207">
        <f>IF(B371="","",COUNTIF($B$4:$B$500,B371))</f>
        <v/>
      </c>
    </row>
    <row r="372" ht="15" customHeight="1" s="122">
      <c r="M372" s="207">
        <f>IF(B372="","",COUNTIF($B$4:$B$500,B372))</f>
        <v/>
      </c>
    </row>
    <row r="373" ht="15" customHeight="1" s="122">
      <c r="M373" s="207">
        <f>IF(B373="","",COUNTIF($B$4:$B$500,B373))</f>
        <v/>
      </c>
    </row>
    <row r="374" ht="15" customHeight="1" s="122">
      <c r="M374" s="207">
        <f>IF(B374="","",COUNTIF($B$4:$B$500,B374))</f>
        <v/>
      </c>
    </row>
    <row r="375" ht="15" customHeight="1" s="122">
      <c r="M375" s="207">
        <f>IF(B375="","",COUNTIF($B$4:$B$500,B375))</f>
        <v/>
      </c>
    </row>
    <row r="376" ht="15" customHeight="1" s="122">
      <c r="M376" s="207">
        <f>IF(B376="","",COUNTIF($B$4:$B$500,B376))</f>
        <v/>
      </c>
    </row>
    <row r="377" ht="15" customHeight="1" s="122">
      <c r="M377" s="207">
        <f>IF(B377="","",COUNTIF($B$4:$B$500,B377))</f>
        <v/>
      </c>
    </row>
    <row r="378" ht="15" customHeight="1" s="122">
      <c r="M378" s="207">
        <f>IF(B378="","",COUNTIF($B$4:$B$500,B378))</f>
        <v/>
      </c>
    </row>
    <row r="379" ht="15" customHeight="1" s="122">
      <c r="M379" s="207">
        <f>IF(B379="","",COUNTIF($B$4:$B$500,B379))</f>
        <v/>
      </c>
    </row>
    <row r="380" ht="15" customHeight="1" s="122">
      <c r="M380" s="207">
        <f>IF(B380="","",COUNTIF($B$4:$B$500,B380))</f>
        <v/>
      </c>
    </row>
    <row r="381" ht="15" customHeight="1" s="122">
      <c r="M381" s="207">
        <f>IF(B381="","",COUNTIF($B$4:$B$500,B381))</f>
        <v/>
      </c>
    </row>
    <row r="382" ht="15" customHeight="1" s="122">
      <c r="M382" s="207">
        <f>IF(B382="","",COUNTIF($B$4:$B$500,B382))</f>
        <v/>
      </c>
    </row>
    <row r="383" ht="15" customHeight="1" s="122">
      <c r="M383" s="207">
        <f>IF(B383="","",COUNTIF($B$4:$B$500,B383))</f>
        <v/>
      </c>
    </row>
    <row r="384" ht="15" customHeight="1" s="122">
      <c r="M384" s="207">
        <f>IF(B384="","",COUNTIF($B$4:$B$500,B384))</f>
        <v/>
      </c>
    </row>
    <row r="385" ht="15" customHeight="1" s="122">
      <c r="M385" s="207">
        <f>IF(B385="","",COUNTIF($B$4:$B$500,B385))</f>
        <v/>
      </c>
    </row>
    <row r="386" ht="15" customHeight="1" s="122">
      <c r="M386" s="207">
        <f>IF(B386="","",COUNTIF($B$4:$B$500,B386))</f>
        <v/>
      </c>
    </row>
    <row r="387" ht="15" customHeight="1" s="122">
      <c r="M387" s="207">
        <f>IF(B387="","",COUNTIF($B$4:$B$500,B387))</f>
        <v/>
      </c>
    </row>
    <row r="388" ht="15" customHeight="1" s="122">
      <c r="M388" s="207">
        <f>IF(B388="","",COUNTIF($B$4:$B$500,B388))</f>
        <v/>
      </c>
    </row>
    <row r="389" ht="15" customHeight="1" s="122">
      <c r="M389" s="207">
        <f>IF(B389="","",COUNTIF($B$4:$B$500,B389))</f>
        <v/>
      </c>
    </row>
    <row r="390" ht="15" customHeight="1" s="122">
      <c r="M390" s="207">
        <f>IF(B390="","",COUNTIF($B$4:$B$500,B390))</f>
        <v/>
      </c>
    </row>
    <row r="391" ht="15" customHeight="1" s="122">
      <c r="M391" s="207">
        <f>IF(B391="","",COUNTIF($B$4:$B$500,B391))</f>
        <v/>
      </c>
    </row>
    <row r="392" ht="15" customHeight="1" s="122">
      <c r="M392" s="207">
        <f>IF(B392="","",COUNTIF($B$4:$B$500,B392))</f>
        <v/>
      </c>
    </row>
    <row r="393" ht="15" customHeight="1" s="122">
      <c r="M393" s="207">
        <f>IF(B393="","",COUNTIF($B$4:$B$500,B393))</f>
        <v/>
      </c>
    </row>
    <row r="394" ht="15" customHeight="1" s="122">
      <c r="M394" s="207">
        <f>IF(B394="","",COUNTIF($B$4:$B$500,B394))</f>
        <v/>
      </c>
    </row>
    <row r="395" ht="15" customHeight="1" s="122">
      <c r="M395" s="207">
        <f>IF(B395="","",COUNTIF($B$4:$B$500,B395))</f>
        <v/>
      </c>
    </row>
    <row r="396" ht="15" customHeight="1" s="122">
      <c r="M396" s="207">
        <f>IF(B396="","",COUNTIF($B$4:$B$500,B396))</f>
        <v/>
      </c>
    </row>
    <row r="397" ht="15" customHeight="1" s="122">
      <c r="M397" s="207">
        <f>IF(B397="","",COUNTIF($B$4:$B$500,B397))</f>
        <v/>
      </c>
    </row>
    <row r="398" ht="15" customHeight="1" s="122">
      <c r="M398" s="207">
        <f>IF(B398="","",COUNTIF($B$4:$B$500,B398))</f>
        <v/>
      </c>
    </row>
    <row r="399" ht="15" customHeight="1" s="122">
      <c r="M399" s="207">
        <f>IF(B399="","",COUNTIF($B$4:$B$500,B399))</f>
        <v/>
      </c>
    </row>
    <row r="400" ht="15" customHeight="1" s="122">
      <c r="M400" s="207">
        <f>IF(B400="","",COUNTIF($B$4:$B$500,B400))</f>
        <v/>
      </c>
    </row>
    <row r="401" ht="15" customHeight="1" s="122">
      <c r="M401" s="207">
        <f>IF(B401="","",COUNTIF($B$4:$B$500,B401))</f>
        <v/>
      </c>
    </row>
    <row r="402" ht="15" customHeight="1" s="122">
      <c r="M402" s="207">
        <f>IF(B402="","",COUNTIF($B$4:$B$500,B402))</f>
        <v/>
      </c>
    </row>
    <row r="403" ht="15" customHeight="1" s="122">
      <c r="M403" s="207">
        <f>IF(B403="","",COUNTIF($B$4:$B$500,B403))</f>
        <v/>
      </c>
    </row>
    <row r="404" ht="15" customHeight="1" s="122">
      <c r="M404" s="207">
        <f>IF(B404="","",COUNTIF($B$4:$B$500,B404))</f>
        <v/>
      </c>
    </row>
    <row r="405" ht="15" customHeight="1" s="122">
      <c r="M405" s="207">
        <f>IF(B405="","",COUNTIF($B$4:$B$500,B405))</f>
        <v/>
      </c>
    </row>
    <row r="406" ht="15" customHeight="1" s="122">
      <c r="M406" s="207">
        <f>IF(B406="","",COUNTIF($B$4:$B$500,B406))</f>
        <v/>
      </c>
    </row>
    <row r="407" ht="15" customHeight="1" s="122">
      <c r="M407" s="207">
        <f>IF(B407="","",COUNTIF($B$4:$B$500,B407))</f>
        <v/>
      </c>
    </row>
    <row r="408" ht="15" customHeight="1" s="122">
      <c r="M408" s="207">
        <f>IF(B408="","",COUNTIF($B$4:$B$500,B408))</f>
        <v/>
      </c>
    </row>
    <row r="409" ht="15" customHeight="1" s="122">
      <c r="M409" s="207">
        <f>IF(B409="","",COUNTIF($B$4:$B$500,B409))</f>
        <v/>
      </c>
    </row>
    <row r="410" ht="15" customHeight="1" s="122">
      <c r="M410" s="207">
        <f>IF(B410="","",COUNTIF($B$4:$B$500,B410))</f>
        <v/>
      </c>
    </row>
    <row r="411" ht="15" customHeight="1" s="122">
      <c r="M411" s="207">
        <f>IF(B411="","",COUNTIF($B$4:$B$500,B411))</f>
        <v/>
      </c>
    </row>
    <row r="412" ht="15" customHeight="1" s="122">
      <c r="M412" s="207">
        <f>IF(B412="","",COUNTIF($B$4:$B$500,B412))</f>
        <v/>
      </c>
    </row>
    <row r="413" ht="15" customHeight="1" s="122">
      <c r="M413" s="207">
        <f>IF(B413="","",COUNTIF($B$4:$B$500,B413))</f>
        <v/>
      </c>
    </row>
    <row r="414" ht="15" customHeight="1" s="122">
      <c r="M414" s="207">
        <f>IF(B414="","",COUNTIF($B$4:$B$500,B414))</f>
        <v/>
      </c>
    </row>
    <row r="415" ht="15" customHeight="1" s="122">
      <c r="M415" s="207">
        <f>IF(B415="","",COUNTIF($B$4:$B$500,B415))</f>
        <v/>
      </c>
    </row>
    <row r="416" ht="15" customHeight="1" s="122">
      <c r="M416" s="207">
        <f>IF(B416="","",COUNTIF($B$4:$B$500,B416))</f>
        <v/>
      </c>
    </row>
    <row r="417" ht="15" customHeight="1" s="122">
      <c r="M417" s="207">
        <f>IF(B417="","",COUNTIF($B$4:$B$500,B417))</f>
        <v/>
      </c>
    </row>
    <row r="418" ht="15" customHeight="1" s="122">
      <c r="M418" s="207">
        <f>IF(B418="","",COUNTIF($B$4:$B$500,B418))</f>
        <v/>
      </c>
    </row>
    <row r="419" ht="15" customHeight="1" s="122">
      <c r="M419" s="207">
        <f>IF(B419="","",COUNTIF($B$4:$B$500,B419))</f>
        <v/>
      </c>
    </row>
    <row r="420" ht="15" customHeight="1" s="122">
      <c r="M420" s="207">
        <f>IF(B420="","",COUNTIF($B$4:$B$500,B420))</f>
        <v/>
      </c>
    </row>
    <row r="421" ht="15" customHeight="1" s="122">
      <c r="M421" s="207">
        <f>IF(B421="","",COUNTIF($B$4:$B$500,B421))</f>
        <v/>
      </c>
    </row>
    <row r="422" ht="15" customHeight="1" s="122">
      <c r="M422" s="207">
        <f>IF(B422="","",COUNTIF($B$4:$B$500,B422))</f>
        <v/>
      </c>
    </row>
    <row r="423" ht="15" customHeight="1" s="122">
      <c r="M423" s="207">
        <f>IF(B423="","",COUNTIF($B$4:$B$500,B423))</f>
        <v/>
      </c>
    </row>
    <row r="424" ht="15" customHeight="1" s="122">
      <c r="M424" s="207">
        <f>IF(B424="","",COUNTIF($B$4:$B$500,B424))</f>
        <v/>
      </c>
    </row>
    <row r="425" ht="15" customHeight="1" s="122">
      <c r="M425" s="207">
        <f>IF(B425="","",COUNTIF($B$4:$B$500,B425))</f>
        <v/>
      </c>
    </row>
    <row r="426" ht="15" customHeight="1" s="122">
      <c r="M426" s="207">
        <f>IF(B426="","",COUNTIF($B$4:$B$500,B426))</f>
        <v/>
      </c>
    </row>
    <row r="427" ht="15" customHeight="1" s="122">
      <c r="M427" s="207">
        <f>IF(B427="","",COUNTIF($B$4:$B$500,B427))</f>
        <v/>
      </c>
    </row>
    <row r="428" ht="15" customHeight="1" s="122">
      <c r="M428" s="207">
        <f>IF(B428="","",COUNTIF($B$4:$B$500,B428))</f>
        <v/>
      </c>
    </row>
    <row r="429" ht="15" customHeight="1" s="122">
      <c r="M429" s="207">
        <f>IF(B429="","",COUNTIF($B$4:$B$500,B429))</f>
        <v/>
      </c>
    </row>
    <row r="430" ht="15" customHeight="1" s="122">
      <c r="M430" s="207">
        <f>IF(B430="","",COUNTIF($B$4:$B$500,B430))</f>
        <v/>
      </c>
    </row>
    <row r="431" ht="15" customHeight="1" s="122">
      <c r="M431" s="207">
        <f>IF(B431="","",COUNTIF($B$4:$B$500,B431))</f>
        <v/>
      </c>
    </row>
    <row r="432" ht="15" customHeight="1" s="122">
      <c r="M432" s="207">
        <f>IF(B432="","",COUNTIF($B$4:$B$500,B432))</f>
        <v/>
      </c>
    </row>
    <row r="433" ht="15" customHeight="1" s="122">
      <c r="M433" s="207">
        <f>IF(B433="","",COUNTIF($B$4:$B$500,B433))</f>
        <v/>
      </c>
    </row>
    <row r="434" ht="15" customHeight="1" s="122">
      <c r="M434" s="207">
        <f>IF(B434="","",COUNTIF($B$4:$B$500,B434))</f>
        <v/>
      </c>
    </row>
    <row r="435" ht="15" customHeight="1" s="122">
      <c r="M435" s="207">
        <f>IF(B435="","",COUNTIF($B$4:$B$500,B435))</f>
        <v/>
      </c>
    </row>
    <row r="436" ht="15" customHeight="1" s="122">
      <c r="M436" s="207">
        <f>IF(B436="","",COUNTIF($B$4:$B$500,B436))</f>
        <v/>
      </c>
    </row>
    <row r="437" ht="15" customHeight="1" s="122">
      <c r="M437" s="207">
        <f>IF(B437="","",COUNTIF($B$4:$B$500,B437))</f>
        <v/>
      </c>
    </row>
    <row r="438" ht="15" customHeight="1" s="122">
      <c r="M438" s="207">
        <f>IF(B438="","",COUNTIF($B$4:$B$500,B438))</f>
        <v/>
      </c>
    </row>
    <row r="439" ht="15" customHeight="1" s="122">
      <c r="M439" s="207">
        <f>IF(B439="","",COUNTIF($B$4:$B$500,B439))</f>
        <v/>
      </c>
    </row>
    <row r="440" ht="15" customHeight="1" s="122">
      <c r="M440" s="207">
        <f>IF(B440="","",COUNTIF($B$4:$B$500,B440))</f>
        <v/>
      </c>
    </row>
    <row r="441" ht="15" customHeight="1" s="122">
      <c r="M441" s="207">
        <f>IF(B441="","",COUNTIF($B$4:$B$500,B441))</f>
        <v/>
      </c>
    </row>
    <row r="442" ht="15" customHeight="1" s="122">
      <c r="M442" s="207">
        <f>IF(B442="","",COUNTIF($B$4:$B$500,B442))</f>
        <v/>
      </c>
    </row>
    <row r="443" ht="15" customHeight="1" s="122">
      <c r="M443" s="207">
        <f>IF(B443="","",COUNTIF($B$4:$B$500,B443))</f>
        <v/>
      </c>
    </row>
    <row r="444" ht="15" customHeight="1" s="122">
      <c r="M444" s="207">
        <f>IF(B444="","",COUNTIF($B$4:$B$500,B444))</f>
        <v/>
      </c>
    </row>
    <row r="445" ht="15" customHeight="1" s="122">
      <c r="M445" s="207">
        <f>IF(B445="","",COUNTIF($B$4:$B$500,B445))</f>
        <v/>
      </c>
    </row>
    <row r="446" ht="15" customHeight="1" s="122">
      <c r="M446" s="207">
        <f>IF(B446="","",COUNTIF($B$4:$B$500,B446))</f>
        <v/>
      </c>
    </row>
    <row r="447" ht="15" customHeight="1" s="122">
      <c r="M447" s="207">
        <f>IF(B447="","",COUNTIF($B$4:$B$500,B447))</f>
        <v/>
      </c>
    </row>
    <row r="448" ht="15" customHeight="1" s="122">
      <c r="M448" s="207">
        <f>IF(B448="","",COUNTIF($B$4:$B$500,B448))</f>
        <v/>
      </c>
    </row>
    <row r="449" ht="15" customHeight="1" s="122">
      <c r="M449" s="207">
        <f>IF(B449="","",COUNTIF($B$4:$B$500,B449))</f>
        <v/>
      </c>
    </row>
    <row r="450" ht="15" customHeight="1" s="122">
      <c r="M450" s="207">
        <f>IF(B450="","",COUNTIF($B$4:$B$500,B450))</f>
        <v/>
      </c>
    </row>
    <row r="451" ht="15" customHeight="1" s="122">
      <c r="M451" s="207">
        <f>IF(B451="","",COUNTIF($B$4:$B$500,B451))</f>
        <v/>
      </c>
    </row>
    <row r="452" ht="15" customHeight="1" s="122">
      <c r="M452" s="207">
        <f>IF(B452="","",COUNTIF($B$4:$B$500,B452))</f>
        <v/>
      </c>
    </row>
    <row r="453" ht="15" customHeight="1" s="122">
      <c r="M453" s="207">
        <f>IF(B453="","",COUNTIF($B$4:$B$500,B453))</f>
        <v/>
      </c>
    </row>
    <row r="454" ht="15" customHeight="1" s="122">
      <c r="M454" s="207">
        <f>IF(B454="","",COUNTIF($B$4:$B$500,B454))</f>
        <v/>
      </c>
    </row>
    <row r="455" ht="15" customHeight="1" s="122">
      <c r="M455" s="207">
        <f>IF(B455="","",COUNTIF($B$4:$B$500,B455))</f>
        <v/>
      </c>
    </row>
    <row r="456" ht="15" customHeight="1" s="122">
      <c r="M456" s="207">
        <f>IF(B456="","",COUNTIF($B$4:$B$500,B456))</f>
        <v/>
      </c>
    </row>
    <row r="457" ht="15" customHeight="1" s="122">
      <c r="M457" s="207">
        <f>IF(B457="","",COUNTIF($B$4:$B$500,B457))</f>
        <v/>
      </c>
    </row>
    <row r="458" ht="15" customHeight="1" s="122">
      <c r="M458" s="207">
        <f>IF(B458="","",COUNTIF($B$4:$B$500,B458))</f>
        <v/>
      </c>
    </row>
    <row r="459" ht="15" customHeight="1" s="122">
      <c r="M459" s="207">
        <f>IF(B459="","",COUNTIF($B$4:$B$500,B459))</f>
        <v/>
      </c>
    </row>
    <row r="460" ht="15" customHeight="1" s="122">
      <c r="M460" s="207">
        <f>IF(B460="","",COUNTIF($B$4:$B$500,B460))</f>
        <v/>
      </c>
    </row>
    <row r="461" ht="15" customHeight="1" s="122">
      <c r="M461" s="207">
        <f>IF(B461="","",COUNTIF($B$4:$B$500,B461))</f>
        <v/>
      </c>
    </row>
    <row r="462" ht="15" customHeight="1" s="122">
      <c r="M462" s="207">
        <f>IF(B462="","",COUNTIF($B$4:$B$500,B462))</f>
        <v/>
      </c>
    </row>
    <row r="463" ht="15" customHeight="1" s="122">
      <c r="M463" s="207">
        <f>IF(B463="","",COUNTIF($B$4:$B$500,B463))</f>
        <v/>
      </c>
    </row>
    <row r="464" ht="15" customHeight="1" s="122">
      <c r="M464" s="207">
        <f>IF(B464="","",COUNTIF($B$4:$B$500,B464))</f>
        <v/>
      </c>
    </row>
    <row r="465" ht="15" customHeight="1" s="122">
      <c r="M465" s="207">
        <f>IF(B465="","",COUNTIF($B$4:$B$500,B465))</f>
        <v/>
      </c>
    </row>
    <row r="466" ht="15" customHeight="1" s="122">
      <c r="M466" s="207">
        <f>IF(B466="","",COUNTIF($B$4:$B$500,B466))</f>
        <v/>
      </c>
    </row>
    <row r="467" ht="15" customHeight="1" s="122">
      <c r="M467" s="207">
        <f>IF(B467="","",COUNTIF($B$4:$B$500,B467))</f>
        <v/>
      </c>
    </row>
    <row r="468" ht="15" customHeight="1" s="122">
      <c r="M468" s="207">
        <f>IF(B468="","",COUNTIF($B$4:$B$500,B468))</f>
        <v/>
      </c>
    </row>
    <row r="469" ht="15" customHeight="1" s="122">
      <c r="M469" s="207">
        <f>IF(B469="","",COUNTIF($B$4:$B$500,B469))</f>
        <v/>
      </c>
    </row>
    <row r="470" ht="15" customHeight="1" s="122">
      <c r="M470" s="207">
        <f>IF(B470="","",COUNTIF($B$4:$B$500,B470))</f>
        <v/>
      </c>
    </row>
    <row r="471" ht="15" customHeight="1" s="122">
      <c r="M471" s="207">
        <f>IF(B471="","",COUNTIF($B$4:$B$500,B471))</f>
        <v/>
      </c>
    </row>
    <row r="472" ht="15" customHeight="1" s="122">
      <c r="M472" s="207">
        <f>IF(B472="","",COUNTIF($B$4:$B$500,B472))</f>
        <v/>
      </c>
    </row>
    <row r="473" ht="15" customHeight="1" s="122">
      <c r="M473" s="207">
        <f>IF(B473="","",COUNTIF($B$4:$B$500,B473))</f>
        <v/>
      </c>
    </row>
    <row r="474" ht="15" customHeight="1" s="122">
      <c r="M474" s="207">
        <f>IF(B474="","",COUNTIF($B$4:$B$500,B474))</f>
        <v/>
      </c>
    </row>
    <row r="475" ht="15" customHeight="1" s="122">
      <c r="M475" s="207">
        <f>IF(B475="","",COUNTIF($B$4:$B$500,B475))</f>
        <v/>
      </c>
    </row>
    <row r="476" ht="15" customHeight="1" s="122">
      <c r="M476" s="207">
        <f>IF(B476="","",COUNTIF($B$4:$B$500,B476))</f>
        <v/>
      </c>
    </row>
    <row r="477" ht="15" customHeight="1" s="122">
      <c r="M477" s="207">
        <f>IF(B477="","",COUNTIF($B$4:$B$500,B477))</f>
        <v/>
      </c>
    </row>
    <row r="478" ht="15" customHeight="1" s="122">
      <c r="M478" s="207">
        <f>IF(B478="","",COUNTIF($B$4:$B$500,B478))</f>
        <v/>
      </c>
    </row>
    <row r="479" ht="15" customHeight="1" s="122">
      <c r="M479" s="207">
        <f>IF(B479="","",COUNTIF($B$4:$B$500,B479))</f>
        <v/>
      </c>
    </row>
    <row r="480" ht="15" customHeight="1" s="122">
      <c r="M480" s="207">
        <f>IF(B480="","",COUNTIF($B$4:$B$500,B480))</f>
        <v/>
      </c>
    </row>
    <row r="481" ht="15" customHeight="1" s="122">
      <c r="M481" s="207">
        <f>IF(B481="","",COUNTIF($B$4:$B$500,B481))</f>
        <v/>
      </c>
    </row>
    <row r="482" ht="15" customHeight="1" s="122">
      <c r="M482" s="207">
        <f>IF(B482="","",COUNTIF($B$4:$B$500,B482))</f>
        <v/>
      </c>
    </row>
    <row r="483" ht="15" customHeight="1" s="122">
      <c r="M483" s="207">
        <f>IF(B483="","",COUNTIF($B$4:$B$500,B483))</f>
        <v/>
      </c>
    </row>
    <row r="484" ht="15" customHeight="1" s="122">
      <c r="M484" s="207">
        <f>IF(B484="","",COUNTIF($B$4:$B$500,B484))</f>
        <v/>
      </c>
    </row>
    <row r="485" ht="15" customHeight="1" s="122">
      <c r="M485" s="207">
        <f>IF(B485="","",COUNTIF($B$4:$B$500,B485))</f>
        <v/>
      </c>
    </row>
    <row r="486" ht="15" customHeight="1" s="122">
      <c r="M486" s="207">
        <f>IF(B486="","",COUNTIF($B$4:$B$500,B486))</f>
        <v/>
      </c>
    </row>
    <row r="487" ht="15" customHeight="1" s="122">
      <c r="M487" s="207">
        <f>IF(B487="","",COUNTIF($B$4:$B$500,B487))</f>
        <v/>
      </c>
    </row>
    <row r="488" ht="15" customHeight="1" s="122">
      <c r="M488" s="207">
        <f>IF(B488="","",COUNTIF($B$4:$B$500,B488))</f>
        <v/>
      </c>
    </row>
    <row r="489" ht="15" customHeight="1" s="122">
      <c r="M489" s="207">
        <f>IF(B489="","",COUNTIF($B$4:$B$500,B489))</f>
        <v/>
      </c>
    </row>
    <row r="490" ht="15" customHeight="1" s="122">
      <c r="M490" s="207">
        <f>IF(B490="","",COUNTIF($B$4:$B$500,B490))</f>
        <v/>
      </c>
    </row>
    <row r="491" ht="15" customHeight="1" s="122">
      <c r="M491" s="207">
        <f>IF(B491="","",COUNTIF($B$4:$B$500,B491))</f>
        <v/>
      </c>
    </row>
    <row r="492" ht="15" customHeight="1" s="122">
      <c r="M492" s="207">
        <f>IF(B492="","",COUNTIF($B$4:$B$500,B492))</f>
        <v/>
      </c>
    </row>
    <row r="493" ht="15" customHeight="1" s="122">
      <c r="M493" s="207">
        <f>IF(B493="","",COUNTIF($B$4:$B$500,B493))</f>
        <v/>
      </c>
    </row>
    <row r="494" ht="15" customHeight="1" s="122">
      <c r="M494" s="207">
        <f>IF(B494="","",COUNTIF($B$4:$B$500,B494))</f>
        <v/>
      </c>
    </row>
    <row r="495" ht="15" customHeight="1" s="122">
      <c r="M495" s="207">
        <f>IF(B495="","",COUNTIF($B$4:$B$500,B495))</f>
        <v/>
      </c>
    </row>
    <row r="496" ht="15" customHeight="1" s="122">
      <c r="M496" s="207">
        <f>IF(B496="","",COUNTIF($B$4:$B$500,B496))</f>
        <v/>
      </c>
    </row>
    <row r="497" ht="15" customHeight="1" s="122">
      <c r="M497" s="207">
        <f>IF(B497="","",COUNTIF($B$4:$B$500,B497))</f>
        <v/>
      </c>
    </row>
    <row r="498" ht="15" customHeight="1" s="122">
      <c r="M498" s="207">
        <f>IF(B498="","",COUNTIF($B$4:$B$500,B498))</f>
        <v/>
      </c>
    </row>
    <row r="499" ht="15" customHeight="1" s="122">
      <c r="M499" s="207">
        <f>IF(B499="","",COUNTIF($B$4:$B$500,B499))</f>
        <v/>
      </c>
    </row>
  </sheetData>
  <autoFilter ref="A3:M3"/>
  <mergeCells count="2">
    <mergeCell ref="A2:L2"/>
    <mergeCell ref="A1:L1"/>
  </mergeCells>
  <conditionalFormatting sqref="A4:M500">
    <cfRule type="expression" rank="0" priority="2" equalAverage="0" aboveAverage="0" dxfId="20" text="" percent="0" bottom="0">
      <formula>$H4="Verbal Warning"</formula>
    </cfRule>
    <cfRule type="expression" rank="0" priority="3" equalAverage="0" aboveAverage="0" dxfId="14" text="" percent="0" bottom="0">
      <formula>$H4="Official Warning"</formula>
    </cfRule>
    <cfRule type="expression" rank="0" priority="4" equalAverage="0" aboveAverage="0" dxfId="13" text="" percent="0" bottom="0">
      <formula>$H4="Show Cause Letter"</formula>
    </cfRule>
    <cfRule type="expression" rank="0" priority="5" equalAverage="0" aboveAverage="0" dxfId="7" text="" percent="0" bottom="0">
      <formula>$H4="Disciplinary Hearing"</formula>
    </cfRule>
    <cfRule type="expression" rank="0" priority="6" equalAverage="0" aboveAverage="0" dxfId="21" text="" percent="0" bottom="0">
      <formula>$H4="Dismissed"</formula>
    </cfRule>
    <cfRule type="expression" rank="0" priority="7" equalAverage="0" aboveAverage="0" dxfId="15" text="" percent="0" bottom="0">
      <formula>$H4="Cleared"</formula>
    </cfRule>
  </conditionalFormatting>
  <dataValidations count="3">
    <dataValidation sqref="F4:F500" showDropDown="0" showInputMessage="0" showErrorMessage="0" allowBlank="1" type="list" errorStyle="stop" operator="between">
      <formula1>"Overspeeding (&gt;90 km/h),Late Night - Past 10pm,Late Night - Past Midnight,Fuel Non-Compliance,PJP Non-Compliance,Multiple Violations"</formula1>
      <formula2>0</formula2>
    </dataValidation>
    <dataValidation sqref="H4:H500" showDropDown="0" showInputMessage="0" showErrorMessage="0" allowBlank="1" type="list" errorStyle="stop" operator="between">
      <formula1>"Verbal Warning,Official Warning,Show Cause Letter,Disciplinary Hearing,Suspended,Dismissed,Cleared"</formula1>
      <formula2>0</formula2>
    </dataValidation>
    <dataValidation sqref="K4:K500" showDropDown="0" showInputMessage="0" showErrorMessage="0" allowBlank="1" type="list" errorStyle="stop" operator="between">
      <formula1>"Pending,Yes,No"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21" min="1" max="1"/>
    <col width="9" customWidth="1" style="121" min="2" max="2"/>
    <col width="12" customWidth="1" style="121" min="3" max="4"/>
    <col width="13" customWidth="1" style="121" min="5" max="5"/>
    <col width="16" customWidth="1" style="121" min="6" max="6"/>
    <col width="9" customWidth="1" style="121" min="7" max="7"/>
    <col width="15" customWidth="1" style="121" min="8" max="8"/>
    <col width="11" customWidth="1" style="121" min="9" max="9"/>
    <col width="14" customWidth="1" style="121" min="10" max="11"/>
    <col width="15" customWidth="1" style="121" min="12" max="12"/>
  </cols>
  <sheetData>
    <row r="1" ht="34.5" customHeight="1" s="122">
      <c r="A1" s="208" t="inlineStr">
        <is>
          <t>📊  FLEET KPI DASHBOARD  —  Monthly Performance Summary</t>
        </is>
      </c>
    </row>
    <row r="2" ht="15.75" customHeight="1" s="122">
      <c r="A2" s="209">
        <f>IFERROR("Reporting Period: "&amp;TEXT(TODAY(),"MMMM YYYY")&amp;"  |  All metrics auto-update when raw data is pasted into Tabs 2–4","Reporting Period: —")</f>
        <v/>
      </c>
    </row>
    <row r="3"/>
    <row r="4" ht="19.5" customHeight="1" s="122">
      <c r="A4" s="210" t="inlineStr">
        <is>
          <t xml:space="preserve">  FLEET OVERVIEW</t>
        </is>
      </c>
    </row>
    <row r="5" ht="18" customHeight="1" s="122">
      <c r="A5" s="211" t="inlineStr">
        <is>
          <t>TOTAL ACTIVE VEHICLES</t>
        </is>
      </c>
      <c r="B5" s="212" t="n"/>
      <c r="C5" s="211" t="inlineStr">
        <is>
          <t>TOTAL FLEET KM (Month)</t>
        </is>
      </c>
      <c r="D5" s="212" t="n"/>
      <c r="E5" s="211" t="inlineStr">
        <is>
          <t>AVG KM PER VEHICLE</t>
        </is>
      </c>
      <c r="F5" s="212" t="n"/>
      <c r="G5" s="211" t="inlineStr">
        <is>
          <t>TOTAL FUEL CONSUMED (L)</t>
        </is>
      </c>
      <c r="H5" s="212" t="n"/>
      <c r="I5" s="211" t="inlineStr">
        <is>
          <t>AVG FUEL EFFICIENCY (KM/L)</t>
        </is>
      </c>
      <c r="J5" s="212" t="n"/>
      <c r="K5" s="211" t="inlineStr">
        <is>
          <t>REPORTING MONTH</t>
        </is>
      </c>
      <c r="L5" s="212" t="n"/>
    </row>
    <row r="6" ht="27.75" customHeight="1" s="122">
      <c r="A6" s="213">
        <f>COUNTA('MONTHLY ANALYSIS'!A4:A58)</f>
        <v/>
      </c>
      <c r="B6" s="212" t="n"/>
      <c r="C6" s="214">
        <f>IFERROR(SUM('MONTHLY ANALYSIS'!G4:G58),0)</f>
        <v/>
      </c>
      <c r="D6" s="212" t="n"/>
      <c r="E6" s="215">
        <f>IFERROR(AVERAGE('MONTHLY ANALYSIS'!G4:G58),0)</f>
        <v/>
      </c>
      <c r="F6" s="212" t="n"/>
      <c r="G6" s="215">
        <f>IFERROR(SUM('MONTHLY ANALYSIS'!H4:H58),0)</f>
        <v/>
      </c>
      <c r="H6" s="212" t="n"/>
      <c r="I6" s="216">
        <f>IFERROR(AVERAGEIF('MONTHLY ANALYSIS'!I4:I58,"&gt;0"),0)</f>
        <v/>
      </c>
      <c r="J6" s="212" t="n"/>
      <c r="K6" s="213">
        <f>TEXT(TODAY(),"MMMM YYYY")</f>
        <v/>
      </c>
      <c r="L6" s="212" t="n"/>
    </row>
    <row r="7" ht="19.5" customHeight="1" s="122">
      <c r="A7" s="217" t="inlineStr">
        <is>
          <t xml:space="preserve">  COMPLIANCE SUMMARY</t>
        </is>
      </c>
    </row>
    <row r="8" ht="18" customHeight="1" s="122">
      <c r="A8" s="218" t="inlineStr">
        <is>
          <t>FUEL COMPLIED</t>
        </is>
      </c>
      <c r="B8" s="212" t="n"/>
      <c r="C8" s="219" t="inlineStr">
        <is>
          <t>FUEL NON-COMPLIANT</t>
        </is>
      </c>
      <c r="D8" s="212" t="n"/>
      <c r="E8" s="218" t="inlineStr">
        <is>
          <t>FUEL COMPLIANCE %</t>
        </is>
      </c>
      <c r="F8" s="212" t="n"/>
      <c r="G8" s="219" t="inlineStr">
        <is>
          <t>SPEED VIOLATIONS (&gt;90)</t>
        </is>
      </c>
      <c r="H8" s="212" t="n"/>
      <c r="I8" s="220" t="inlineStr">
        <is>
          <t>LATE NIGHT DRIVERS</t>
        </is>
      </c>
      <c r="J8" s="212" t="n"/>
      <c r="K8" s="221" t="inlineStr">
        <is>
          <t>PAST MIDNIGHT DRIVERS</t>
        </is>
      </c>
      <c r="L8" s="212" t="n"/>
    </row>
    <row r="9" ht="27.75" customHeight="1" s="122">
      <c r="A9" s="222">
        <f>COUNTIF('MONTHLY ANALYSIS'!K4:K58,"✔ Complied")</f>
        <v/>
      </c>
      <c r="B9" s="212" t="n"/>
      <c r="C9" s="223">
        <f>COUNTIF('MONTHLY ANALYSIS'!K4:K58,"✘ Not Complied")</f>
        <v/>
      </c>
      <c r="D9" s="212" t="n"/>
      <c r="E9" s="224">
        <f>IFERROR(COUNTIF('MONTHLY ANALYSIS'!K4:K58,"✔ Complied")/COUNTA('MONTHLY ANALYSIS'!A4:A58),0)</f>
        <v/>
      </c>
      <c r="F9" s="212" t="n"/>
      <c r="G9" s="223">
        <f>COUNTIF('MONTHLY ANALYSIS'!N4:N58,"&gt;90")</f>
        <v/>
      </c>
      <c r="H9" s="212" t="n"/>
      <c r="I9" s="225">
        <f>COUNTIF('MONTHLY ANALYSIS'!L4:L58,"&gt;0")</f>
        <v/>
      </c>
      <c r="J9" s="212" t="n"/>
      <c r="K9" s="226">
        <f>COUNTIF('MONTHLY ANALYSIS'!M4:M58,"&gt;0")</f>
        <v/>
      </c>
      <c r="L9" s="212" t="n"/>
    </row>
    <row r="10" ht="19.5" customHeight="1" s="122">
      <c r="A10" s="227" t="inlineStr">
        <is>
          <t xml:space="preserve">  DISCIPLINE &amp; ACTIONS</t>
        </is>
      </c>
    </row>
    <row r="11" ht="18" customHeight="1" s="122">
      <c r="A11" s="221" t="inlineStr">
        <is>
          <t>TOTAL VIOLATIONS LOGGED</t>
        </is>
      </c>
      <c r="B11" s="212" t="n"/>
      <c r="C11" s="228" t="inlineStr">
        <is>
          <t>VERBAL WARNINGS</t>
        </is>
      </c>
      <c r="D11" s="212" t="n"/>
      <c r="E11" s="220" t="inlineStr">
        <is>
          <t>OFFICIAL WARNINGS</t>
        </is>
      </c>
      <c r="F11" s="212" t="n"/>
      <c r="G11" s="219" t="inlineStr">
        <is>
          <t>SHOW CAUSE LETTERS</t>
        </is>
      </c>
      <c r="H11" s="212" t="n"/>
      <c r="I11" s="221" t="inlineStr">
        <is>
          <t>PENDING ACTIONS</t>
        </is>
      </c>
      <c r="J11" s="212" t="n"/>
      <c r="K11" s="218" t="inlineStr">
        <is>
          <t>CLEARED / RESOLVED</t>
        </is>
      </c>
      <c r="L11" s="212" t="n"/>
    </row>
    <row r="12" ht="27.75" customHeight="1" s="122">
      <c r="A12" s="226">
        <f>COUNTA('DISCIPLINE TRACKER'!B4:B500)</f>
        <v/>
      </c>
      <c r="B12" s="212" t="n"/>
      <c r="C12" s="229">
        <f>COUNTIF('DISCIPLINE TRACKER'!H4:H500,"Verbal Warning")</f>
        <v/>
      </c>
      <c r="D12" s="212" t="n"/>
      <c r="E12" s="225">
        <f>COUNTIF('DISCIPLINE TRACKER'!H4:H500,"Official Warning")</f>
        <v/>
      </c>
      <c r="F12" s="212" t="n"/>
      <c r="G12" s="223">
        <f>COUNTIF('DISCIPLINE TRACKER'!H4:H500,"Show Cause Letter")</f>
        <v/>
      </c>
      <c r="H12" s="212" t="n"/>
      <c r="I12" s="226">
        <f>COUNTIFS('DISCIPLINE TRACKER'!H4:H500,"None",'DISCIPLINE TRACKER'!B4:B500,"&lt;&gt;")</f>
        <v/>
      </c>
      <c r="J12" s="212" t="n"/>
      <c r="K12" s="222">
        <f>COUNTIF('DISCIPLINE TRACKER'!H4:H500,"Cleared")</f>
        <v/>
      </c>
      <c r="L12" s="212" t="n"/>
    </row>
    <row r="13" ht="7.5" customHeight="1" s="122"/>
    <row r="14" ht="19.5" customHeight="1" s="122">
      <c r="A14" s="230" t="inlineStr">
        <is>
          <t xml:space="preserve">  REGIONAL BREAKDOWN</t>
        </is>
      </c>
    </row>
    <row r="15" ht="30" customHeight="1" s="122">
      <c r="A15" s="162" t="inlineStr">
        <is>
          <t>Region</t>
        </is>
      </c>
      <c r="B15" s="162" t="inlineStr">
        <is>
          <t>Vehicles</t>
        </is>
      </c>
      <c r="C15" s="162" t="inlineStr">
        <is>
          <t>Total KM</t>
        </is>
      </c>
      <c r="D15" s="162" t="inlineStr">
        <is>
          <t>Avg KM</t>
        </is>
      </c>
      <c r="E15" s="162" t="inlineStr">
        <is>
          <t>Fuel Complied</t>
        </is>
      </c>
      <c r="F15" s="162" t="inlineStr">
        <is>
          <t>Fuel Not Complied</t>
        </is>
      </c>
      <c r="G15" s="162" t="inlineStr">
        <is>
          <t>Fuel %</t>
        </is>
      </c>
      <c r="H15" s="162" t="inlineStr">
        <is>
          <t>Speed Violations</t>
        </is>
      </c>
      <c r="I15" s="162" t="inlineStr">
        <is>
          <t>Late Night</t>
        </is>
      </c>
      <c r="J15" s="162" t="inlineStr">
        <is>
          <t>Past Midnight</t>
        </is>
      </c>
      <c r="K15" s="162" t="inlineStr">
        <is>
          <t>Actions Issued</t>
        </is>
      </c>
      <c r="L15" s="162" t="inlineStr">
        <is>
          <t>Actions Pending</t>
        </is>
      </c>
    </row>
    <row r="16" ht="18" customHeight="1" s="122">
      <c r="A16" s="231" t="inlineStr">
        <is>
          <t>Territory_25</t>
        </is>
      </c>
      <c r="B16" s="163">
        <f>COUNTIF('MONTHLY ANALYSIS'!D4:D58,A16)</f>
        <v/>
      </c>
      <c r="C16" s="232">
        <f>IFERROR(SUMIF('MONTHLY ANALYSIS'!D4:D58,A16,'MONTHLY ANALYSIS'!G4:G58),0)</f>
        <v/>
      </c>
      <c r="D16" s="233">
        <f>IFERROR(AVERAGEIF('MONTHLY ANALYSIS'!D4:D58,A16,'MONTHLY ANALYSIS'!G4:G58),0)</f>
        <v/>
      </c>
      <c r="E16" s="163">
        <f>COUNTIFS('MONTHLY ANALYSIS'!D4:D58,A16,'MONTHLY ANALYSIS'!K4:K58,"✔ Complied")</f>
        <v/>
      </c>
      <c r="F16" s="163">
        <f>COUNTIFS('MONTHLY ANALYSIS'!D4:D58,A16,'MONTHLY ANALYSIS'!K4:K58,"✘ Not Complied")</f>
        <v/>
      </c>
      <c r="G16" s="234">
        <f>IFERROR(E16/B16,0)</f>
        <v/>
      </c>
      <c r="H16" s="235">
        <f>COUNTIFS('MONTHLY ANALYSIS'!D4:D58,A16,'MONTHLY ANALYSIS'!N4:N58,"&gt;90")</f>
        <v/>
      </c>
      <c r="I16" s="197">
        <f>COUNTIFS('MONTHLY ANALYSIS'!D4:D58,A16,'MONTHLY ANALYSIS'!L4:L58,"&gt;0")</f>
        <v/>
      </c>
      <c r="J16" s="235">
        <f>COUNTIFS('MONTHLY ANALYSIS'!D4:D58,A16,'MONTHLY ANALYSIS'!M4:M58,"&gt;0")</f>
        <v/>
      </c>
      <c r="K16" s="163">
        <f>COUNTIFS('DISCIPLINE TRACKER'!E4:E500,A16,'DISCIPLINE TRACKER'!H4:H500,"&lt;&gt;None")</f>
        <v/>
      </c>
      <c r="L16" s="197">
        <f>COUNTIFS('DISCIPLINE TRACKER'!E4:E500,A16,'DISCIPLINE TRACKER'!H4:H500,"None",'DISCIPLINE TRACKER'!B4:B500,"&lt;&gt;")</f>
        <v/>
      </c>
    </row>
    <row r="17" ht="18" customHeight="1" s="122">
      <c r="A17" s="236" t="inlineStr">
        <is>
          <t>Territory_03</t>
        </is>
      </c>
      <c r="B17" s="166">
        <f>COUNTIF('MONTHLY ANALYSIS'!D4:D58,A17)</f>
        <v/>
      </c>
      <c r="C17" s="237">
        <f>IFERROR(SUMIF('MONTHLY ANALYSIS'!D4:D58,A17,'MONTHLY ANALYSIS'!G4:G58),0)</f>
        <v/>
      </c>
      <c r="D17" s="238">
        <f>IFERROR(AVERAGEIF('MONTHLY ANALYSIS'!D4:D58,A17,'MONTHLY ANALYSIS'!G4:G58),0)</f>
        <v/>
      </c>
      <c r="E17" s="166">
        <f>COUNTIFS('MONTHLY ANALYSIS'!D4:D58,A17,'MONTHLY ANALYSIS'!K4:K58,"✔ Complied")</f>
        <v/>
      </c>
      <c r="F17" s="166">
        <f>COUNTIFS('MONTHLY ANALYSIS'!D4:D58,A17,'MONTHLY ANALYSIS'!K4:K58,"✘ Not Complied")</f>
        <v/>
      </c>
      <c r="G17" s="239">
        <f>IFERROR(E17/B17,0)</f>
        <v/>
      </c>
      <c r="H17" s="235">
        <f>COUNTIFS('MONTHLY ANALYSIS'!D4:D58,A17,'MONTHLY ANALYSIS'!N4:N58,"&gt;90")</f>
        <v/>
      </c>
      <c r="I17" s="197">
        <f>COUNTIFS('MONTHLY ANALYSIS'!D4:D58,A17,'MONTHLY ANALYSIS'!L4:L58,"&gt;0")</f>
        <v/>
      </c>
      <c r="J17" s="235">
        <f>COUNTIFS('MONTHLY ANALYSIS'!D4:D58,A17,'MONTHLY ANALYSIS'!M4:M58,"&gt;0")</f>
        <v/>
      </c>
      <c r="K17" s="166">
        <f>COUNTIFS('DISCIPLINE TRACKER'!E4:E500,A17,'DISCIPLINE TRACKER'!H4:H500,"&lt;&gt;None")</f>
        <v/>
      </c>
      <c r="L17" s="197">
        <f>COUNTIFS('DISCIPLINE TRACKER'!E4:E500,A17,'DISCIPLINE TRACKER'!H4:H500,"None",'DISCIPLINE TRACKER'!B4:B500,"&lt;&gt;")</f>
        <v/>
      </c>
    </row>
    <row r="18" ht="18" customHeight="1" s="122">
      <c r="A18" s="231" t="inlineStr">
        <is>
          <t>Mountain</t>
        </is>
      </c>
      <c r="B18" s="163">
        <f>COUNTIF('MONTHLY ANALYSIS'!D4:D58,A18)</f>
        <v/>
      </c>
      <c r="C18" s="232">
        <f>IFERROR(SUMIF('MONTHLY ANALYSIS'!D4:D58,A18,'MONTHLY ANALYSIS'!G4:G58),0)</f>
        <v/>
      </c>
      <c r="D18" s="233">
        <f>IFERROR(AVERAGEIF('MONTHLY ANALYSIS'!D4:D58,A18,'MONTHLY ANALYSIS'!G4:G58),0)</f>
        <v/>
      </c>
      <c r="E18" s="163">
        <f>COUNTIFS('MONTHLY ANALYSIS'!D4:D58,A18,'MONTHLY ANALYSIS'!K4:K58,"✔ Complied")</f>
        <v/>
      </c>
      <c r="F18" s="163">
        <f>COUNTIFS('MONTHLY ANALYSIS'!D4:D58,A18,'MONTHLY ANALYSIS'!K4:K58,"✘ Not Complied")</f>
        <v/>
      </c>
      <c r="G18" s="234">
        <f>IFERROR(E18/B18,0)</f>
        <v/>
      </c>
      <c r="H18" s="235">
        <f>COUNTIFS('MONTHLY ANALYSIS'!D4:D58,A18,'MONTHLY ANALYSIS'!N4:N58,"&gt;90")</f>
        <v/>
      </c>
      <c r="I18" s="197">
        <f>COUNTIFS('MONTHLY ANALYSIS'!D4:D58,A18,'MONTHLY ANALYSIS'!L4:L58,"&gt;0")</f>
        <v/>
      </c>
      <c r="J18" s="235">
        <f>COUNTIFS('MONTHLY ANALYSIS'!D4:D58,A18,'MONTHLY ANALYSIS'!M4:M58,"&gt;0")</f>
        <v/>
      </c>
      <c r="K18" s="163">
        <f>COUNTIFS('DISCIPLINE TRACKER'!E4:E500,A18,'DISCIPLINE TRACKER'!H4:H500,"&lt;&gt;None")</f>
        <v/>
      </c>
      <c r="L18" s="197">
        <f>COUNTIFS('DISCIPLINE TRACKER'!E4:E500,A18,'DISCIPLINE TRACKER'!H4:H500,"None",'DISCIPLINE TRACKER'!B4:B500,"&lt;&gt;")</f>
        <v/>
      </c>
    </row>
    <row r="19" ht="18" customHeight="1" s="122">
      <c r="A19" s="236" t="inlineStr">
        <is>
          <t>Nyanza</t>
        </is>
      </c>
      <c r="B19" s="166">
        <f>COUNTIF('MONTHLY ANALYSIS'!D4:D58,A19)</f>
        <v/>
      </c>
      <c r="C19" s="237">
        <f>IFERROR(SUMIF('MONTHLY ANALYSIS'!D4:D58,A19,'MONTHLY ANALYSIS'!G4:G58),0)</f>
        <v/>
      </c>
      <c r="D19" s="238">
        <f>IFERROR(AVERAGEIF('MONTHLY ANALYSIS'!D4:D58,A19,'MONTHLY ANALYSIS'!G4:G58),0)</f>
        <v/>
      </c>
      <c r="E19" s="166">
        <f>COUNTIFS('MONTHLY ANALYSIS'!D4:D58,A19,'MONTHLY ANALYSIS'!K4:K58,"✔ Complied")</f>
        <v/>
      </c>
      <c r="F19" s="166">
        <f>COUNTIFS('MONTHLY ANALYSIS'!D4:D58,A19,'MONTHLY ANALYSIS'!K4:K58,"✘ Not Complied")</f>
        <v/>
      </c>
      <c r="G19" s="239">
        <f>IFERROR(E19/B19,0)</f>
        <v/>
      </c>
      <c r="H19" s="235">
        <f>COUNTIFS('MONTHLY ANALYSIS'!D4:D58,A19,'MONTHLY ANALYSIS'!N4:N58,"&gt;90")</f>
        <v/>
      </c>
      <c r="I19" s="197">
        <f>COUNTIFS('MONTHLY ANALYSIS'!D4:D58,A19,'MONTHLY ANALYSIS'!L4:L58,"&gt;0")</f>
        <v/>
      </c>
      <c r="J19" s="235">
        <f>COUNTIFS('MONTHLY ANALYSIS'!D4:D58,A19,'MONTHLY ANALYSIS'!M4:M58,"&gt;0")</f>
        <v/>
      </c>
      <c r="K19" s="166">
        <f>COUNTIFS('DISCIPLINE TRACKER'!E4:E500,A19,'DISCIPLINE TRACKER'!H4:H500,"&lt;&gt;None")</f>
        <v/>
      </c>
      <c r="L19" s="197">
        <f>COUNTIFS('DISCIPLINE TRACKER'!E4:E500,A19,'DISCIPLINE TRACKER'!H4:H500,"None",'DISCIPLINE TRACKER'!B4:B500,"&lt;&gt;")</f>
        <v/>
      </c>
    </row>
    <row r="20" ht="18" customHeight="1" s="122">
      <c r="A20" s="231" t="inlineStr">
        <is>
          <t>North Rift</t>
        </is>
      </c>
      <c r="B20" s="163">
        <f>COUNTIF('MONTHLY ANALYSIS'!D4:D58,A20)</f>
        <v/>
      </c>
      <c r="C20" s="232">
        <f>IFERROR(SUMIF('MONTHLY ANALYSIS'!D4:D58,A20,'MONTHLY ANALYSIS'!G4:G58),0)</f>
        <v/>
      </c>
      <c r="D20" s="233">
        <f>IFERROR(AVERAGEIF('MONTHLY ANALYSIS'!D4:D58,A20,'MONTHLY ANALYSIS'!G4:G58),0)</f>
        <v/>
      </c>
      <c r="E20" s="163">
        <f>COUNTIFS('MONTHLY ANALYSIS'!D4:D58,A20,'MONTHLY ANALYSIS'!K4:K58,"✔ Complied")</f>
        <v/>
      </c>
      <c r="F20" s="163">
        <f>COUNTIFS('MONTHLY ANALYSIS'!D4:D58,A20,'MONTHLY ANALYSIS'!K4:K58,"✘ Not Complied")</f>
        <v/>
      </c>
      <c r="G20" s="234">
        <f>IFERROR(E20/B20,0)</f>
        <v/>
      </c>
      <c r="H20" s="235">
        <f>COUNTIFS('MONTHLY ANALYSIS'!D4:D58,A20,'MONTHLY ANALYSIS'!N4:N58,"&gt;90")</f>
        <v/>
      </c>
      <c r="I20" s="197">
        <f>COUNTIFS('MONTHLY ANALYSIS'!D4:D58,A20,'MONTHLY ANALYSIS'!L4:L58,"&gt;0")</f>
        <v/>
      </c>
      <c r="J20" s="235">
        <f>COUNTIFS('MONTHLY ANALYSIS'!D4:D58,A20,'MONTHLY ANALYSIS'!M4:M58,"&gt;0")</f>
        <v/>
      </c>
      <c r="K20" s="163">
        <f>COUNTIFS('DISCIPLINE TRACKER'!E4:E500,A20,'DISCIPLINE TRACKER'!H4:H500,"&lt;&gt;None")</f>
        <v/>
      </c>
      <c r="L20" s="197">
        <f>COUNTIFS('DISCIPLINE TRACKER'!E4:E500,A20,'DISCIPLINE TRACKER'!H4:H500,"None",'DISCIPLINE TRACKER'!B4:B500,"&lt;&gt;")</f>
        <v/>
      </c>
    </row>
    <row r="21" ht="18" customHeight="1" s="122">
      <c r="A21" s="236" t="inlineStr">
        <is>
          <t>South Rift</t>
        </is>
      </c>
      <c r="B21" s="166">
        <f>COUNTIF('MONTHLY ANALYSIS'!D4:D58,A21)</f>
        <v/>
      </c>
      <c r="C21" s="237">
        <f>IFERROR(SUMIF('MONTHLY ANALYSIS'!D4:D58,A21,'MONTHLY ANALYSIS'!G4:G58),0)</f>
        <v/>
      </c>
      <c r="D21" s="238">
        <f>IFERROR(AVERAGEIF('MONTHLY ANALYSIS'!D4:D58,A21,'MONTHLY ANALYSIS'!G4:G58),0)</f>
        <v/>
      </c>
      <c r="E21" s="166">
        <f>COUNTIFS('MONTHLY ANALYSIS'!D4:D58,A21,'MONTHLY ANALYSIS'!K4:K58,"✔ Complied")</f>
        <v/>
      </c>
      <c r="F21" s="166">
        <f>COUNTIFS('MONTHLY ANALYSIS'!D4:D58,A21,'MONTHLY ANALYSIS'!K4:K58,"✘ Not Complied")</f>
        <v/>
      </c>
      <c r="G21" s="239">
        <f>IFERROR(E21/B21,0)</f>
        <v/>
      </c>
      <c r="H21" s="235">
        <f>COUNTIFS('MONTHLY ANALYSIS'!D4:D58,A21,'MONTHLY ANALYSIS'!N4:N58,"&gt;90")</f>
        <v/>
      </c>
      <c r="I21" s="197">
        <f>COUNTIFS('MONTHLY ANALYSIS'!D4:D58,A21,'MONTHLY ANALYSIS'!L4:L58,"&gt;0")</f>
        <v/>
      </c>
      <c r="J21" s="235">
        <f>COUNTIFS('MONTHLY ANALYSIS'!D4:D58,A21,'MONTHLY ANALYSIS'!M4:M58,"&gt;0")</f>
        <v/>
      </c>
      <c r="K21" s="166">
        <f>COUNTIFS('DISCIPLINE TRACKER'!E4:E500,A21,'DISCIPLINE TRACKER'!H4:H500,"&lt;&gt;None")</f>
        <v/>
      </c>
      <c r="L21" s="197">
        <f>COUNTIFS('DISCIPLINE TRACKER'!E4:E500,A21,'DISCIPLINE TRACKER'!H4:H500,"None",'DISCIPLINE TRACKER'!B4:B500,"&lt;&gt;")</f>
        <v/>
      </c>
    </row>
    <row r="22" ht="18" customHeight="1" s="122">
      <c r="A22" s="231" t="inlineStr">
        <is>
          <t>Territory_42</t>
        </is>
      </c>
      <c r="B22" s="163">
        <f>COUNTIF('MONTHLY ANALYSIS'!D4:D58,A22)</f>
        <v/>
      </c>
      <c r="C22" s="232">
        <f>IFERROR(SUMIF('MONTHLY ANALYSIS'!D4:D58,A22,'MONTHLY ANALYSIS'!G4:G58),0)</f>
        <v/>
      </c>
      <c r="D22" s="233">
        <f>IFERROR(AVERAGEIF('MONTHLY ANALYSIS'!D4:D58,A22,'MONTHLY ANALYSIS'!G4:G58),0)</f>
        <v/>
      </c>
      <c r="E22" s="163">
        <f>COUNTIFS('MONTHLY ANALYSIS'!D4:D58,A22,'MONTHLY ANALYSIS'!K4:K58,"✔ Complied")</f>
        <v/>
      </c>
      <c r="F22" s="163">
        <f>COUNTIFS('MONTHLY ANALYSIS'!D4:D58,A22,'MONTHLY ANALYSIS'!K4:K58,"✘ Not Complied")</f>
        <v/>
      </c>
      <c r="G22" s="234">
        <f>IFERROR(E22/B22,0)</f>
        <v/>
      </c>
      <c r="H22" s="235">
        <f>COUNTIFS('MONTHLY ANALYSIS'!D4:D58,A22,'MONTHLY ANALYSIS'!N4:N58,"&gt;90")</f>
        <v/>
      </c>
      <c r="I22" s="197">
        <f>COUNTIFS('MONTHLY ANALYSIS'!D4:D58,A22,'MONTHLY ANALYSIS'!L4:L58,"&gt;0")</f>
        <v/>
      </c>
      <c r="J22" s="235">
        <f>COUNTIFS('MONTHLY ANALYSIS'!D4:D58,A22,'MONTHLY ANALYSIS'!M4:M58,"&gt;0")</f>
        <v/>
      </c>
      <c r="K22" s="163">
        <f>COUNTIFS('DISCIPLINE TRACKER'!E4:E500,A22,'DISCIPLINE TRACKER'!H4:H500,"&lt;&gt;None")</f>
        <v/>
      </c>
      <c r="L22" s="197">
        <f>COUNTIFS('DISCIPLINE TRACKER'!E4:E500,A22,'DISCIPLINE TRACKER'!H4:H500,"None",'DISCIPLINE TRACKER'!B4:B500,"&lt;&gt;")</f>
        <v/>
      </c>
    </row>
    <row r="23" ht="19.5" customHeight="1" s="122">
      <c r="A23" s="240" t="inlineStr">
        <is>
          <t>TOTAL</t>
        </is>
      </c>
      <c r="B23" s="240">
        <f>SUM(B16:B22)</f>
        <v/>
      </c>
      <c r="C23" s="240">
        <f>SUM(C16:C22)</f>
        <v/>
      </c>
      <c r="D23" s="240">
        <f>SUM(D16:D22)</f>
        <v/>
      </c>
      <c r="E23" s="240">
        <f>SUM(E16:E22)</f>
        <v/>
      </c>
      <c r="F23" s="240">
        <f>SUM(F16:F22)</f>
        <v/>
      </c>
      <c r="G23" s="241">
        <f>IFERROR(E23/B23,0)</f>
        <v/>
      </c>
      <c r="H23" s="240">
        <f>SUM(H16:H22)</f>
        <v/>
      </c>
      <c r="I23" s="240">
        <f>SUM(I16:I22)</f>
        <v/>
      </c>
      <c r="J23" s="240">
        <f>SUM(J16:J22)</f>
        <v/>
      </c>
      <c r="K23" s="240">
        <f>SUM(K16:K22)</f>
        <v/>
      </c>
      <c r="L23" s="240">
        <f>SUM(L16:L22)</f>
        <v/>
      </c>
    </row>
    <row r="24" ht="7.5" customHeight="1" s="122"/>
    <row r="25" ht="19.5" customHeight="1" s="122">
      <c r="A25" s="227" t="inlineStr">
        <is>
          <t xml:space="preserve">  TOP OFFENDERS — HIGHEST ALL-TIME OFFENCE COUNT (from Discipline Tracker)</t>
        </is>
      </c>
    </row>
    <row r="26" ht="19.5" customHeight="1" s="122">
      <c r="A26" s="195" t="inlineStr">
        <is>
          <t>Reg No</t>
        </is>
      </c>
      <c r="B26" s="195" t="inlineStr">
        <is>
          <t>Driver Name</t>
        </is>
      </c>
      <c r="C26" s="195" t="inlineStr">
        <is>
          <t>Region</t>
        </is>
      </c>
      <c r="D26" s="195" t="inlineStr">
        <is>
          <t>All-time Offence Count</t>
        </is>
      </c>
      <c r="E26" s="195" t="inlineStr">
        <is>
          <t>Last Action Taken</t>
        </is>
      </c>
    </row>
    <row r="27" ht="15.75" customHeight="1" s="122">
      <c r="A27" s="242" t="inlineStr">
        <is>
          <t>ℹ  Top offenders: sort the DISCIPLINE TRACKER tab by column M (All-time Offence Count) descending, then paste the top 5 here monthly.</t>
        </is>
      </c>
    </row>
  </sheetData>
  <mergeCells count="44">
    <mergeCell ref="E12:F12"/>
    <mergeCell ref="G12:H12"/>
    <mergeCell ref="C6:D6"/>
    <mergeCell ref="I6:J6"/>
    <mergeCell ref="A11:B11"/>
    <mergeCell ref="G11:H11"/>
    <mergeCell ref="C5:D5"/>
    <mergeCell ref="K9:L9"/>
    <mergeCell ref="E5:F5"/>
    <mergeCell ref="K5:L5"/>
    <mergeCell ref="I11:J11"/>
    <mergeCell ref="G8:H8"/>
    <mergeCell ref="A6:B6"/>
    <mergeCell ref="E8:F8"/>
    <mergeCell ref="A1:N1"/>
    <mergeCell ref="K11:L11"/>
    <mergeCell ref="A7:N7"/>
    <mergeCell ref="A25:N25"/>
    <mergeCell ref="G6:H6"/>
    <mergeCell ref="C9:D9"/>
    <mergeCell ref="E9:F9"/>
    <mergeCell ref="A12:B12"/>
    <mergeCell ref="C12:D12"/>
    <mergeCell ref="I12:J12"/>
    <mergeCell ref="E6:F6"/>
    <mergeCell ref="A27:N27"/>
    <mergeCell ref="K12:L12"/>
    <mergeCell ref="K8:L8"/>
    <mergeCell ref="C11:D11"/>
    <mergeCell ref="A2:N2"/>
    <mergeCell ref="E11:F11"/>
    <mergeCell ref="A5:B5"/>
    <mergeCell ref="G5:H5"/>
    <mergeCell ref="K6:L6"/>
    <mergeCell ref="I5:J5"/>
    <mergeCell ref="I8:J8"/>
    <mergeCell ref="A8:B8"/>
    <mergeCell ref="A14:N14"/>
    <mergeCell ref="C8:D8"/>
    <mergeCell ref="A4:N4"/>
    <mergeCell ref="A10:N10"/>
    <mergeCell ref="A9:B9"/>
    <mergeCell ref="G9:H9"/>
    <mergeCell ref="I9:J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2026-03-25T09:41:27Z</dcterms:created>
  <dcterms:modified xmlns:dcterms="http://purl.org/dc/terms/" xmlns:xsi="http://www.w3.org/2001/XMLSchema-instance" xsi:type="dcterms:W3CDTF">2026-03-26T05:13:49Z</dcterms:modified>
  <cp:revision>0</cp:revision>
</cp:coreProperties>
</file>